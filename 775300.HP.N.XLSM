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30" windowWidth="28590" windowHeight="12585"/>
  </bookViews>
  <sheets>
    <sheet name="ImportantDisclosures" sheetId="22" r:id="rId1"/>
    <sheet name="Financials" sheetId="2" r:id="rId2"/>
    <sheet name="IndexInformation" sheetId="23" r:id="rId3"/>
    <sheet name="ModPubIndex" sheetId="24" r:id="rId4"/>
    <sheet name="MW-Cache" sheetId="18" state="veryHidden" r:id="rId5"/>
  </sheets>
  <definedNames>
    <definedName name="__FDS_HYPERLINK_TOGGLE_STATE__" hidden="1">"ON"</definedName>
    <definedName name="_xlnm._FilterDatabase" localSheetId="1">Financials!$W$9:$W$375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Financials!$B$249:$AC$296</definedName>
    <definedName name="Linking_10">Financials!$W$8</definedName>
    <definedName name="Linking_12">Financials!$B$9:$AE$58</definedName>
    <definedName name="Linking_13">Financials!$B$60:$AE$100</definedName>
    <definedName name="Linking_14">Financials!$B$9:$AF$58</definedName>
    <definedName name="Linking_15">Financials!$B$60:$AF$99</definedName>
    <definedName name="Linking_16">Financials!$B$214:$AF$246</definedName>
    <definedName name="Linking_17">Financials!$B$249:$AF$296</definedName>
    <definedName name="Linking_2">Financials!$B$9:$AD$77</definedName>
    <definedName name="Linking_3">Financials!$B$214:$AD$246</definedName>
    <definedName name="Linking_4">Financials!$B$249:$AD$296</definedName>
    <definedName name="Linking_7">Financials!$B$9:$AE$77</definedName>
    <definedName name="Linking_8">Financials!$B$214:$AE$246</definedName>
    <definedName name="Linking_9">Financials!$B$249:$AE$296</definedName>
    <definedName name="Linking_Range_10">Financials!$B$9:$AC$77</definedName>
    <definedName name="Linking_Range_11">Financials!$B$214:$AC$246</definedName>
    <definedName name="Linking_Range_12">Financials!$B$249:$AC$343</definedName>
    <definedName name="Linking_Range_3">Financials!$B$8:$AA$77</definedName>
    <definedName name="Linking_Range_5">Financials!$B$249:$AB$343</definedName>
    <definedName name="Linking_Range_6">Financials!$B$214:$AB$246</definedName>
    <definedName name="Linking_Range_7">Financials!$B$60:$AB$77</definedName>
    <definedName name="Linking_Range_8">Financials!$B$9:$AB$58</definedName>
    <definedName name="Linking_Range_9">Financials!$B$249:$AB$279</definedName>
    <definedName name="MacroVersion" localSheetId="2">IndexInformation!$B$1</definedName>
    <definedName name="model">Financials!$B$6:$ES$375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_xlnm.Print_Area" localSheetId="1">Financials!$B$8:$AE$58,Financials!$DS$8:$ED$58,Financials!$B$60:$AE$98,Financials!$DS$60:$ED$98,Financials!$B$213:$AE$246,Financials!$DS$214:$ED$246,Financials!$B$248:$AE$296,Financials!$DS$248:$ED$296</definedName>
    <definedName name="_xlnm.Print_Titles" localSheetId="1">Financials!$B:$B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/>
</workbook>
</file>

<file path=xl/calcChain.xml><?xml version="1.0" encoding="utf-8"?>
<calcChain xmlns="http://schemas.openxmlformats.org/spreadsheetml/2006/main">
  <c r="ES24" i="2" l="1"/>
  <c r="ES25" i="2" s="1"/>
  <c r="ES26" i="2" s="1"/>
  <c r="ES27" i="2" s="1"/>
  <c r="ES28" i="2" s="1"/>
  <c r="ES29" i="2" s="1"/>
  <c r="ES30" i="2" s="1"/>
  <c r="ES31" i="2" s="1"/>
  <c r="ES32" i="2" s="1"/>
  <c r="ES33" i="2" s="1"/>
  <c r="ES34" i="2" s="1"/>
  <c r="ES35" i="2" s="1"/>
  <c r="ES36" i="2" s="1"/>
  <c r="ES37" i="2" s="1"/>
  <c r="ES38" i="2" s="1"/>
  <c r="ES39" i="2" s="1"/>
  <c r="ES40" i="2" s="1"/>
  <c r="ES41" i="2" s="1"/>
  <c r="ES42" i="2" s="1"/>
  <c r="ES43" i="2" s="1"/>
  <c r="ES44" i="2" s="1"/>
  <c r="ES45" i="2" s="1"/>
  <c r="ES46" i="2" s="1"/>
  <c r="ES47" i="2" s="1"/>
  <c r="ES48" i="2" s="1"/>
  <c r="ES49" i="2" s="1"/>
  <c r="ES50" i="2" s="1"/>
  <c r="ES51" i="2" s="1"/>
  <c r="ES52" i="2" s="1"/>
  <c r="ES53" i="2" s="1"/>
  <c r="ES54" i="2" s="1"/>
  <c r="ES55" i="2" s="1"/>
  <c r="ES56" i="2" s="1"/>
  <c r="ES57" i="2" s="1"/>
  <c r="ES58" i="2" s="1"/>
  <c r="ES59" i="2" s="1"/>
  <c r="ES60" i="2" s="1"/>
  <c r="ES61" i="2" s="1"/>
  <c r="ES62" i="2" s="1"/>
  <c r="ES63" i="2" s="1"/>
  <c r="ES64" i="2" s="1"/>
  <c r="ES65" i="2" s="1"/>
  <c r="ES66" i="2" s="1"/>
  <c r="ES67" i="2" s="1"/>
  <c r="ES68" i="2" s="1"/>
  <c r="ES69" i="2" s="1"/>
  <c r="ES70" i="2" s="1"/>
  <c r="ES71" i="2" s="1"/>
  <c r="ES72" i="2" s="1"/>
  <c r="ES73" i="2" s="1"/>
  <c r="ES74" i="2" s="1"/>
  <c r="ES75" i="2" s="1"/>
  <c r="ES76" i="2" s="1"/>
  <c r="ES77" i="2" s="1"/>
  <c r="ES78" i="2" s="1"/>
  <c r="ES79" i="2" s="1"/>
  <c r="ES80" i="2" s="1"/>
  <c r="ES81" i="2" s="1"/>
  <c r="ES82" i="2" s="1"/>
  <c r="ES83" i="2" s="1"/>
  <c r="ES84" i="2" s="1"/>
  <c r="ES85" i="2" s="1"/>
  <c r="ES86" i="2" s="1"/>
  <c r="ES87" i="2" s="1"/>
  <c r="ES88" i="2" s="1"/>
  <c r="ES89" i="2" s="1"/>
  <c r="ES90" i="2" s="1"/>
  <c r="ES91" i="2" s="1"/>
  <c r="ES92" i="2" s="1"/>
  <c r="ES93" i="2" s="1"/>
  <c r="ES94" i="2" s="1"/>
  <c r="ES95" i="2" s="1"/>
  <c r="ES96" i="2" s="1"/>
  <c r="ES97" i="2" s="1"/>
  <c r="ES98" i="2" s="1"/>
  <c r="ES99" i="2" s="1"/>
  <c r="ES100" i="2" s="1"/>
  <c r="ES101" i="2" s="1"/>
  <c r="ES102" i="2" s="1"/>
  <c r="ES103" i="2" s="1"/>
  <c r="ES104" i="2" s="1"/>
  <c r="ES105" i="2" s="1"/>
  <c r="ES106" i="2" s="1"/>
  <c r="ES107" i="2" s="1"/>
  <c r="ES108" i="2" s="1"/>
  <c r="ES109" i="2" s="1"/>
  <c r="ES110" i="2" s="1"/>
  <c r="ES111" i="2" s="1"/>
  <c r="ES112" i="2" s="1"/>
  <c r="ES113" i="2" s="1"/>
  <c r="ES114" i="2" s="1"/>
  <c r="ES115" i="2" s="1"/>
  <c r="ES116" i="2" s="1"/>
  <c r="ES117" i="2" s="1"/>
  <c r="ES118" i="2" s="1"/>
  <c r="ES119" i="2" s="1"/>
  <c r="ES120" i="2" s="1"/>
  <c r="ES121" i="2" s="1"/>
  <c r="ES122" i="2" s="1"/>
  <c r="ES123" i="2" s="1"/>
  <c r="ES124" i="2" s="1"/>
  <c r="ES125" i="2" s="1"/>
  <c r="ES126" i="2" s="1"/>
  <c r="ES127" i="2" s="1"/>
  <c r="ES128" i="2" s="1"/>
  <c r="ES129" i="2" s="1"/>
  <c r="ES130" i="2" s="1"/>
  <c r="ES131" i="2" s="1"/>
  <c r="ES132" i="2" s="1"/>
  <c r="ES133" i="2" s="1"/>
  <c r="ES134" i="2" s="1"/>
  <c r="ES135" i="2" s="1"/>
  <c r="ES136" i="2" s="1"/>
  <c r="ES137" i="2" s="1"/>
  <c r="ES138" i="2" s="1"/>
  <c r="ES139" i="2" s="1"/>
  <c r="ES140" i="2" s="1"/>
  <c r="ES141" i="2" s="1"/>
  <c r="ES142" i="2" s="1"/>
  <c r="ES143" i="2" s="1"/>
  <c r="ES144" i="2" s="1"/>
  <c r="ES145" i="2" s="1"/>
  <c r="ES146" i="2" s="1"/>
  <c r="ES147" i="2" s="1"/>
  <c r="ES148" i="2" s="1"/>
  <c r="ES149" i="2" s="1"/>
  <c r="ES150" i="2" s="1"/>
  <c r="ES151" i="2" s="1"/>
  <c r="ES152" i="2" s="1"/>
  <c r="ES153" i="2" s="1"/>
  <c r="ES154" i="2" s="1"/>
  <c r="ES155" i="2" s="1"/>
  <c r="ES156" i="2" s="1"/>
  <c r="ES157" i="2" s="1"/>
  <c r="ES158" i="2" s="1"/>
  <c r="ES159" i="2" s="1"/>
  <c r="ES160" i="2" s="1"/>
  <c r="ES161" i="2" s="1"/>
  <c r="ES162" i="2" s="1"/>
  <c r="ES163" i="2" s="1"/>
  <c r="ES164" i="2" s="1"/>
  <c r="ES165" i="2" s="1"/>
  <c r="ES166" i="2" s="1"/>
  <c r="ES167" i="2" s="1"/>
  <c r="ES168" i="2" s="1"/>
  <c r="ES169" i="2" s="1"/>
  <c r="ES170" i="2" s="1"/>
  <c r="ES171" i="2" s="1"/>
  <c r="ES172" i="2" s="1"/>
  <c r="ES173" i="2" s="1"/>
  <c r="ES174" i="2" s="1"/>
  <c r="ES175" i="2" s="1"/>
  <c r="ES176" i="2" s="1"/>
  <c r="ES177" i="2" s="1"/>
  <c r="ES178" i="2" s="1"/>
  <c r="ES179" i="2" s="1"/>
  <c r="ES180" i="2" s="1"/>
  <c r="ES181" i="2" s="1"/>
  <c r="ES182" i="2" s="1"/>
  <c r="ES183" i="2" s="1"/>
  <c r="ES184" i="2" s="1"/>
  <c r="ES185" i="2" s="1"/>
  <c r="ES186" i="2" s="1"/>
  <c r="ES187" i="2" s="1"/>
  <c r="ES188" i="2" s="1"/>
  <c r="ES189" i="2" s="1"/>
  <c r="ES190" i="2" s="1"/>
  <c r="ES191" i="2" s="1"/>
  <c r="ES192" i="2" s="1"/>
  <c r="ES193" i="2" s="1"/>
  <c r="ES194" i="2" s="1"/>
  <c r="ES195" i="2" s="1"/>
  <c r="ES196" i="2" s="1"/>
  <c r="ES197" i="2" s="1"/>
  <c r="ES198" i="2" s="1"/>
  <c r="ES199" i="2" s="1"/>
  <c r="ES200" i="2" s="1"/>
  <c r="ES201" i="2" s="1"/>
  <c r="ES202" i="2" s="1"/>
  <c r="ES203" i="2" s="1"/>
  <c r="ES204" i="2" s="1"/>
  <c r="ES205" i="2" s="1"/>
  <c r="ES206" i="2" s="1"/>
  <c r="ES207" i="2" s="1"/>
  <c r="ES208" i="2" s="1"/>
  <c r="ES209" i="2" s="1"/>
  <c r="ES210" i="2" s="1"/>
  <c r="ES211" i="2" s="1"/>
  <c r="ES212" i="2" s="1"/>
  <c r="ES213" i="2" s="1"/>
  <c r="ES214" i="2" s="1"/>
  <c r="ES215" i="2" s="1"/>
  <c r="ES216" i="2" s="1"/>
  <c r="ES217" i="2" s="1"/>
  <c r="ES218" i="2" s="1"/>
  <c r="ES219" i="2" s="1"/>
  <c r="ES220" i="2" s="1"/>
  <c r="ES221" i="2" s="1"/>
  <c r="ES222" i="2" s="1"/>
  <c r="ES223" i="2" s="1"/>
  <c r="ES224" i="2" s="1"/>
  <c r="ES225" i="2" s="1"/>
  <c r="ES226" i="2" s="1"/>
  <c r="ES227" i="2" s="1"/>
  <c r="ES228" i="2" s="1"/>
  <c r="ES229" i="2" s="1"/>
  <c r="ES230" i="2" s="1"/>
  <c r="ES231" i="2" s="1"/>
  <c r="ES232" i="2" s="1"/>
  <c r="ES233" i="2" s="1"/>
  <c r="ES234" i="2" s="1"/>
  <c r="ES235" i="2" s="1"/>
  <c r="ES236" i="2" s="1"/>
  <c r="ES237" i="2" s="1"/>
  <c r="ES238" i="2" s="1"/>
  <c r="ES239" i="2" s="1"/>
  <c r="ES240" i="2" s="1"/>
  <c r="ES241" i="2" s="1"/>
  <c r="ES242" i="2" s="1"/>
  <c r="ES243" i="2" s="1"/>
  <c r="ES244" i="2" s="1"/>
  <c r="ES245" i="2" s="1"/>
  <c r="ES246" i="2" s="1"/>
  <c r="ES247" i="2" s="1"/>
  <c r="ES248" i="2" s="1"/>
  <c r="ES249" i="2" s="1"/>
  <c r="ES250" i="2" s="1"/>
  <c r="ES251" i="2" s="1"/>
  <c r="ES252" i="2" s="1"/>
  <c r="ES253" i="2" s="1"/>
  <c r="ES254" i="2" s="1"/>
  <c r="ES255" i="2" s="1"/>
  <c r="ES256" i="2" s="1"/>
  <c r="ES257" i="2" s="1"/>
  <c r="ES258" i="2" s="1"/>
  <c r="ES259" i="2" s="1"/>
  <c r="ES260" i="2" s="1"/>
  <c r="ES261" i="2" s="1"/>
  <c r="ES262" i="2" s="1"/>
  <c r="ES263" i="2" s="1"/>
  <c r="ES264" i="2" s="1"/>
  <c r="ES265" i="2" s="1"/>
  <c r="ES266" i="2" s="1"/>
  <c r="ES267" i="2" s="1"/>
  <c r="ES268" i="2" s="1"/>
  <c r="ES269" i="2" s="1"/>
  <c r="ES270" i="2" s="1"/>
  <c r="ES271" i="2" s="1"/>
  <c r="ES272" i="2" s="1"/>
  <c r="ES273" i="2" s="1"/>
  <c r="ES274" i="2" s="1"/>
  <c r="ES275" i="2" s="1"/>
  <c r="ES276" i="2" s="1"/>
  <c r="ES277" i="2" s="1"/>
  <c r="ES278" i="2" s="1"/>
  <c r="ES279" i="2" s="1"/>
  <c r="ES280" i="2" s="1"/>
  <c r="ES281" i="2" s="1"/>
  <c r="ES282" i="2" s="1"/>
  <c r="ES283" i="2" s="1"/>
  <c r="ES284" i="2" s="1"/>
  <c r="ES285" i="2" s="1"/>
  <c r="ES286" i="2" s="1"/>
  <c r="ES287" i="2" s="1"/>
  <c r="ES288" i="2" s="1"/>
  <c r="ES289" i="2" s="1"/>
  <c r="ES290" i="2" s="1"/>
  <c r="ES291" i="2" s="1"/>
  <c r="ES292" i="2" s="1"/>
  <c r="ES293" i="2" s="1"/>
  <c r="ES294" i="2" s="1"/>
  <c r="ES295" i="2" s="1"/>
  <c r="ES296" i="2" s="1"/>
  <c r="ES297" i="2" s="1"/>
  <c r="ES298" i="2" s="1"/>
  <c r="ES299" i="2" s="1"/>
  <c r="ES300" i="2" s="1"/>
  <c r="ES301" i="2" s="1"/>
  <c r="ES302" i="2" s="1"/>
  <c r="ES303" i="2" s="1"/>
  <c r="ES304" i="2" s="1"/>
  <c r="ES305" i="2" s="1"/>
  <c r="ES306" i="2" s="1"/>
  <c r="ES307" i="2" s="1"/>
  <c r="ES308" i="2" s="1"/>
  <c r="ES309" i="2" s="1"/>
  <c r="ES310" i="2" s="1"/>
  <c r="ES311" i="2" s="1"/>
  <c r="ES312" i="2" s="1"/>
  <c r="ES313" i="2" s="1"/>
  <c r="ES314" i="2" s="1"/>
  <c r="ES315" i="2" s="1"/>
  <c r="ES316" i="2" s="1"/>
  <c r="ES317" i="2" s="1"/>
  <c r="ES318" i="2" s="1"/>
  <c r="ES319" i="2" s="1"/>
  <c r="ES320" i="2" s="1"/>
  <c r="ES321" i="2" s="1"/>
  <c r="ES322" i="2" s="1"/>
  <c r="ES323" i="2" s="1"/>
  <c r="ES324" i="2" s="1"/>
  <c r="ES325" i="2" s="1"/>
  <c r="ES326" i="2" s="1"/>
  <c r="ES327" i="2" s="1"/>
  <c r="ES328" i="2" s="1"/>
  <c r="ES329" i="2" s="1"/>
  <c r="ES330" i="2" s="1"/>
  <c r="ES331" i="2" s="1"/>
  <c r="ES332" i="2" s="1"/>
  <c r="ES333" i="2" s="1"/>
  <c r="ES334" i="2" s="1"/>
  <c r="ES335" i="2" s="1"/>
  <c r="ES336" i="2" s="1"/>
  <c r="ES337" i="2" s="1"/>
  <c r="ES338" i="2" s="1"/>
  <c r="ES339" i="2" s="1"/>
  <c r="ES340" i="2" s="1"/>
  <c r="ES341" i="2" s="1"/>
  <c r="ES342" i="2" s="1"/>
  <c r="ES343" i="2" s="1"/>
  <c r="ES344" i="2" s="1"/>
  <c r="ES345" i="2" s="1"/>
  <c r="ES346" i="2" s="1"/>
  <c r="ES347" i="2" s="1"/>
  <c r="ES348" i="2" s="1"/>
  <c r="ES349" i="2" s="1"/>
  <c r="ES350" i="2" s="1"/>
  <c r="ES351" i="2" s="1"/>
  <c r="ES352" i="2" s="1"/>
  <c r="ES353" i="2" s="1"/>
  <c r="ES354" i="2" s="1"/>
  <c r="ES355" i="2" s="1"/>
  <c r="ES356" i="2" s="1"/>
  <c r="ES357" i="2" s="1"/>
  <c r="ES358" i="2" s="1"/>
  <c r="ES359" i="2" s="1"/>
  <c r="ES360" i="2" s="1"/>
  <c r="ES361" i="2" s="1"/>
  <c r="ES362" i="2" s="1"/>
  <c r="ES363" i="2" s="1"/>
  <c r="ES364" i="2" s="1"/>
  <c r="ES365" i="2" s="1"/>
  <c r="ES366" i="2" s="1"/>
  <c r="ES367" i="2" s="1"/>
  <c r="ES368" i="2" s="1"/>
  <c r="ES369" i="2" s="1"/>
  <c r="ES370" i="2" s="1"/>
  <c r="ES371" i="2" s="1"/>
  <c r="ES372" i="2" s="1"/>
  <c r="ES373" i="2" s="1"/>
  <c r="ES374" i="2" s="1"/>
  <c r="ES8" i="2"/>
  <c r="ES9" i="2" s="1"/>
  <c r="ES10" i="2" s="1"/>
  <c r="ES11" i="2" s="1"/>
  <c r="ES12" i="2" s="1"/>
  <c r="ES13" i="2" s="1"/>
  <c r="ES14" i="2" s="1"/>
  <c r="ES15" i="2" s="1"/>
  <c r="ES16" i="2" s="1"/>
  <c r="ES17" i="2" s="1"/>
  <c r="ES18" i="2" s="1"/>
  <c r="ES19" i="2" s="1"/>
  <c r="ES20" i="2" s="1"/>
  <c r="ES21" i="2" s="1"/>
  <c r="ES22" i="2" s="1"/>
  <c r="ES23" i="2" s="1"/>
  <c r="ES7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DA373" i="2"/>
  <c r="CZ373" i="2"/>
  <c r="CY373" i="2"/>
  <c r="CX373" i="2"/>
  <c r="CW373" i="2"/>
  <c r="CV373" i="2"/>
  <c r="CU373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C373" i="2"/>
  <c r="CB373" i="2"/>
  <c r="CA373" i="2"/>
  <c r="BA373" i="2"/>
  <c r="AZ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ED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DA372" i="2"/>
  <c r="CZ372" i="2"/>
  <c r="CY372" i="2"/>
  <c r="CX372" i="2"/>
  <c r="CW372" i="2"/>
  <c r="CV372" i="2"/>
  <c r="CU372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BZ372" i="2"/>
  <c r="BY372" i="2"/>
  <c r="BX372" i="2"/>
  <c r="BW372" i="2"/>
  <c r="BV372" i="2"/>
  <c r="BU372" i="2"/>
  <c r="BT372" i="2"/>
  <c r="BS372" i="2"/>
  <c r="BR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BB372" i="2"/>
  <c r="BA372" i="2"/>
  <c r="AZ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AM372" i="2"/>
  <c r="AL372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DA371" i="2"/>
  <c r="CZ371" i="2"/>
  <c r="CY371" i="2"/>
  <c r="CX371" i="2"/>
  <c r="CW371" i="2"/>
  <c r="CV371" i="2"/>
  <c r="CU371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BZ371" i="2"/>
  <c r="BY371" i="2"/>
  <c r="BX371" i="2"/>
  <c r="BW371" i="2"/>
  <c r="BV371" i="2"/>
  <c r="BU371" i="2"/>
  <c r="BT371" i="2"/>
  <c r="BS371" i="2"/>
  <c r="BR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BB371" i="2"/>
  <c r="BA371" i="2"/>
  <c r="AZ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F370" i="2"/>
  <c r="AE370" i="2"/>
  <c r="AD370" i="2"/>
  <c r="AC370" i="2"/>
  <c r="AB370" i="2"/>
  <c r="AA370" i="2"/>
  <c r="Z370" i="2"/>
  <c r="Y370" i="2"/>
  <c r="X370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CR367" i="2"/>
  <c r="CQ367" i="2" s="1"/>
  <c r="CJ367" i="2"/>
  <c r="CI367" i="2" s="1"/>
  <c r="CH367" i="2" s="1"/>
  <c r="CG367" i="2"/>
  <c r="CF367" i="2"/>
  <c r="CQ366" i="2"/>
  <c r="CP366" i="2"/>
  <c r="CR365" i="2"/>
  <c r="CQ365" i="2" s="1"/>
  <c r="CP365" i="2" s="1"/>
  <c r="CN367" i="2"/>
  <c r="CN366" i="2"/>
  <c r="CM366" i="2"/>
  <c r="CL366" i="2" s="1"/>
  <c r="CN365" i="2"/>
  <c r="CM365" i="2"/>
  <c r="CL365" i="2"/>
  <c r="CJ366" i="2"/>
  <c r="CI366" i="2"/>
  <c r="CH366" i="2"/>
  <c r="CJ365" i="2"/>
  <c r="CF366" i="2"/>
  <c r="CE366" i="2"/>
  <c r="CD366" i="2" s="1"/>
  <c r="CF365" i="2"/>
  <c r="CE365" i="2"/>
  <c r="CD365" i="2"/>
  <c r="CB367" i="2"/>
  <c r="CA367" i="2"/>
  <c r="BZ367" i="2"/>
  <c r="CB366" i="2"/>
  <c r="CB365" i="2"/>
  <c r="CA365" i="2"/>
  <c r="BZ365" i="2" s="1"/>
  <c r="BX367" i="2"/>
  <c r="BW367" i="2"/>
  <c r="BV367" i="2"/>
  <c r="BX366" i="2"/>
  <c r="BW366" i="2"/>
  <c r="BV366" i="2"/>
  <c r="BX365" i="2"/>
  <c r="BT367" i="2"/>
  <c r="BS367" i="2"/>
  <c r="BT366" i="2"/>
  <c r="BS366" i="2" s="1"/>
  <c r="BR366" i="2" s="1"/>
  <c r="BT365" i="2"/>
  <c r="BS365" i="2"/>
  <c r="BR365" i="2" s="1"/>
  <c r="BP367" i="2"/>
  <c r="BP366" i="2"/>
  <c r="BO366" i="2"/>
  <c r="BN366" i="2" s="1"/>
  <c r="BP365" i="2"/>
  <c r="BO365" i="2" s="1"/>
  <c r="BL367" i="2"/>
  <c r="BK367" i="2"/>
  <c r="BJ367" i="2" s="1"/>
  <c r="BL366" i="2"/>
  <c r="BL365" i="2"/>
  <c r="BK365" i="2"/>
  <c r="BJ365" i="2" s="1"/>
  <c r="BH367" i="2"/>
  <c r="BG367" i="2" s="1"/>
  <c r="BF367" i="2"/>
  <c r="BH366" i="2"/>
  <c r="BG366" i="2"/>
  <c r="BF366" i="2" s="1"/>
  <c r="BH365" i="2"/>
  <c r="BD367" i="2"/>
  <c r="BC367" i="2"/>
  <c r="BB367" i="2" s="1"/>
  <c r="BD366" i="2"/>
  <c r="BC366" i="2" s="1"/>
  <c r="BB366" i="2"/>
  <c r="BD365" i="2"/>
  <c r="BC365" i="2"/>
  <c r="BB365" i="2" s="1"/>
  <c r="AZ367" i="2"/>
  <c r="AZ366" i="2"/>
  <c r="AY366" i="2"/>
  <c r="AZ365" i="2"/>
  <c r="AY365" i="2" s="1"/>
  <c r="AX365" i="2" s="1"/>
  <c r="AV367" i="2"/>
  <c r="AU367" i="2"/>
  <c r="AT367" i="2" s="1"/>
  <c r="AV366" i="2"/>
  <c r="AU366" i="2" s="1"/>
  <c r="AT366" i="2" s="1"/>
  <c r="AV365" i="2"/>
  <c r="AU365" i="2"/>
  <c r="AT365" i="2" s="1"/>
  <c r="AR367" i="2"/>
  <c r="AQ367" i="2"/>
  <c r="AP367" i="2"/>
  <c r="AP364" i="2" s="1"/>
  <c r="AR366" i="2"/>
  <c r="AQ366" i="2"/>
  <c r="AP366" i="2"/>
  <c r="AR365" i="2"/>
  <c r="AQ365" i="2"/>
  <c r="AP365" i="2"/>
  <c r="AN367" i="2"/>
  <c r="AM367" i="2"/>
  <c r="AL367" i="2"/>
  <c r="AN366" i="2"/>
  <c r="AM366" i="2"/>
  <c r="AL366" i="2"/>
  <c r="AL364" i="2" s="1"/>
  <c r="AN365" i="2"/>
  <c r="AM365" i="2"/>
  <c r="AL365" i="2"/>
  <c r="AJ367" i="2"/>
  <c r="AI367" i="2"/>
  <c r="AH367" i="2"/>
  <c r="AJ366" i="2"/>
  <c r="AI366" i="2"/>
  <c r="AH366" i="2"/>
  <c r="AJ365" i="2"/>
  <c r="AI365" i="2"/>
  <c r="AH365" i="2"/>
  <c r="AH364" i="2" s="1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DA364" i="2"/>
  <c r="CZ364" i="2"/>
  <c r="CY364" i="2"/>
  <c r="CX364" i="2"/>
  <c r="CW364" i="2"/>
  <c r="CV364" i="2"/>
  <c r="CU364" i="2"/>
  <c r="CT364" i="2"/>
  <c r="CS364" i="2"/>
  <c r="CR364" i="2"/>
  <c r="CO364" i="2"/>
  <c r="CK364" i="2"/>
  <c r="CG364" i="2"/>
  <c r="CC364" i="2"/>
  <c r="BY364" i="2"/>
  <c r="BU364" i="2"/>
  <c r="BT364" i="2"/>
  <c r="BQ364" i="2"/>
  <c r="BM364" i="2"/>
  <c r="BI364" i="2"/>
  <c r="BE364" i="2"/>
  <c r="BD364" i="2"/>
  <c r="BC364" i="2"/>
  <c r="BA364" i="2"/>
  <c r="AW364" i="2"/>
  <c r="AV364" i="2"/>
  <c r="AU364" i="2"/>
  <c r="AS364" i="2"/>
  <c r="AR364" i="2"/>
  <c r="AQ364" i="2"/>
  <c r="AO364" i="2"/>
  <c r="AN364" i="2"/>
  <c r="AM364" i="2"/>
  <c r="AK364" i="2"/>
  <c r="AJ364" i="2"/>
  <c r="AI364" i="2"/>
  <c r="AF367" i="2"/>
  <c r="AE367" i="2"/>
  <c r="AD367" i="2"/>
  <c r="AC367" i="2"/>
  <c r="AB367" i="2"/>
  <c r="AA367" i="2"/>
  <c r="Z367" i="2"/>
  <c r="Y367" i="2"/>
  <c r="X367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AF366" i="2"/>
  <c r="AE366" i="2"/>
  <c r="AD366" i="2"/>
  <c r="AC366" i="2"/>
  <c r="AB366" i="2"/>
  <c r="AA366" i="2"/>
  <c r="Z366" i="2"/>
  <c r="Y366" i="2"/>
  <c r="X366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AF365" i="2"/>
  <c r="AE365" i="2"/>
  <c r="AD365" i="2"/>
  <c r="AC365" i="2"/>
  <c r="AB365" i="2"/>
  <c r="AA365" i="2"/>
  <c r="Z365" i="2"/>
  <c r="Y365" i="2"/>
  <c r="X365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AF364" i="2"/>
  <c r="AE364" i="2"/>
  <c r="AD364" i="2"/>
  <c r="AC364" i="2"/>
  <c r="AB364" i="2"/>
  <c r="AA364" i="2"/>
  <c r="Z364" i="2"/>
  <c r="Y364" i="2"/>
  <c r="X364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P348" i="2"/>
  <c r="CX348" i="2"/>
  <c r="CV348" i="2"/>
  <c r="CU348" i="2"/>
  <c r="CU359" i="2" s="1"/>
  <c r="CT348" i="2"/>
  <c r="CT359" i="2" s="1"/>
  <c r="CS348" i="2"/>
  <c r="CR348" i="2"/>
  <c r="CQ348" i="2"/>
  <c r="CQ359" i="2" s="1"/>
  <c r="CP348" i="2"/>
  <c r="CP359" i="2" s="1"/>
  <c r="CO348" i="2"/>
  <c r="CH348" i="2"/>
  <c r="CF348" i="2"/>
  <c r="CE348" i="2"/>
  <c r="CE359" i="2" s="1"/>
  <c r="CD348" i="2"/>
  <c r="CD359" i="2" s="1"/>
  <c r="CC348" i="2"/>
  <c r="BZ348" i="2"/>
  <c r="BZ359" i="2" s="1"/>
  <c r="BY348" i="2"/>
  <c r="BX348" i="2"/>
  <c r="BW348" i="2"/>
  <c r="BW359" i="2" s="1"/>
  <c r="BV348" i="2"/>
  <c r="BU348" i="2"/>
  <c r="BT348" i="2"/>
  <c r="BS348" i="2"/>
  <c r="BR348" i="2"/>
  <c r="BP348" i="2"/>
  <c r="BO348" i="2"/>
  <c r="BN348" i="2"/>
  <c r="BN359" i="2" s="1"/>
  <c r="BM348" i="2"/>
  <c r="BL348" i="2"/>
  <c r="BK348" i="2"/>
  <c r="BJ348" i="2"/>
  <c r="BI348" i="2"/>
  <c r="BE348" i="2"/>
  <c r="ED345" i="2"/>
  <c r="EC345" i="2"/>
  <c r="EB345" i="2"/>
  <c r="EA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CZ345" i="2"/>
  <c r="CY345" i="2"/>
  <c r="CW345" i="2"/>
  <c r="CV345" i="2"/>
  <c r="CU345" i="2"/>
  <c r="CT345" i="2"/>
  <c r="BX345" i="2"/>
  <c r="BR345" i="2"/>
  <c r="BD345" i="2"/>
  <c r="BC345" i="2"/>
  <c r="BB345" i="2"/>
  <c r="AV345" i="2"/>
  <c r="AU345" i="2"/>
  <c r="AT345" i="2"/>
  <c r="AN345" i="2"/>
  <c r="AM345" i="2"/>
  <c r="AL345" i="2"/>
  <c r="CX339" i="2"/>
  <c r="EB337" i="2"/>
  <c r="DQ337" i="2"/>
  <c r="DL337" i="2"/>
  <c r="DA337" i="2"/>
  <c r="CV337" i="2"/>
  <c r="CQ337" i="2"/>
  <c r="CM337" i="2"/>
  <c r="CI337" i="2"/>
  <c r="DO336" i="2"/>
  <c r="DN336" i="2"/>
  <c r="DB336" i="2"/>
  <c r="DA336" i="2"/>
  <c r="CY336" i="2"/>
  <c r="CX336" i="2"/>
  <c r="CW336" i="2"/>
  <c r="CV336" i="2"/>
  <c r="CU336" i="2"/>
  <c r="CT336" i="2"/>
  <c r="CS336" i="2"/>
  <c r="T336" i="2" s="1"/>
  <c r="CR336" i="2"/>
  <c r="CQ336" i="2"/>
  <c r="CP336" i="2"/>
  <c r="CO336" i="2"/>
  <c r="S336" i="2" s="1"/>
  <c r="CN336" i="2"/>
  <c r="CM336" i="2"/>
  <c r="CL336" i="2"/>
  <c r="CK336" i="2"/>
  <c r="R336" i="2" s="1"/>
  <c r="CJ336" i="2"/>
  <c r="CI336" i="2"/>
  <c r="CH336" i="2"/>
  <c r="CG336" i="2"/>
  <c r="Q336" i="2" s="1"/>
  <c r="CF336" i="2"/>
  <c r="CE336" i="2"/>
  <c r="CD336" i="2"/>
  <c r="CC336" i="2"/>
  <c r="P336" i="2" s="1"/>
  <c r="CB336" i="2"/>
  <c r="CA336" i="2"/>
  <c r="BZ336" i="2"/>
  <c r="BY336" i="2"/>
  <c r="O336" i="2" s="1"/>
  <c r="BX336" i="2"/>
  <c r="BW336" i="2"/>
  <c r="BV336" i="2"/>
  <c r="BU336" i="2"/>
  <c r="N336" i="2" s="1"/>
  <c r="BT336" i="2"/>
  <c r="BS336" i="2"/>
  <c r="BR336" i="2"/>
  <c r="BQ336" i="2"/>
  <c r="BP336" i="2"/>
  <c r="BO336" i="2"/>
  <c r="BN336" i="2"/>
  <c r="BM336" i="2"/>
  <c r="L336" i="2" s="1"/>
  <c r="BL336" i="2"/>
  <c r="BK336" i="2"/>
  <c r="BJ336" i="2"/>
  <c r="BI336" i="2"/>
  <c r="K336" i="2" s="1"/>
  <c r="BH336" i="2"/>
  <c r="BG336" i="2"/>
  <c r="BF336" i="2"/>
  <c r="BE336" i="2"/>
  <c r="J336" i="2" s="1"/>
  <c r="BD336" i="2"/>
  <c r="BC336" i="2"/>
  <c r="BB336" i="2"/>
  <c r="BA336" i="2"/>
  <c r="AZ336" i="2"/>
  <c r="AY336" i="2"/>
  <c r="AX336" i="2"/>
  <c r="AW336" i="2"/>
  <c r="H336" i="2" s="1"/>
  <c r="AV336" i="2"/>
  <c r="AU336" i="2"/>
  <c r="AT336" i="2"/>
  <c r="AS336" i="2"/>
  <c r="G336" i="2" s="1"/>
  <c r="AR336" i="2"/>
  <c r="AO336" i="2"/>
  <c r="F336" i="2" s="1"/>
  <c r="AK336" i="2"/>
  <c r="ED335" i="2"/>
  <c r="EC335" i="2"/>
  <c r="EB335" i="2"/>
  <c r="EA335" i="2"/>
  <c r="EA337" i="2" s="1"/>
  <c r="DZ335" i="2"/>
  <c r="DZ337" i="2" s="1"/>
  <c r="DY335" i="2"/>
  <c r="DY337" i="2" s="1"/>
  <c r="DX335" i="2"/>
  <c r="DX337" i="2" s="1"/>
  <c r="DW335" i="2"/>
  <c r="DW337" i="2" s="1"/>
  <c r="DV335" i="2"/>
  <c r="DV337" i="2" s="1"/>
  <c r="DU335" i="2"/>
  <c r="DU337" i="2" s="1"/>
  <c r="DT335" i="2"/>
  <c r="DT337" i="2" s="1"/>
  <c r="DS335" i="2"/>
  <c r="DS337" i="2" s="1"/>
  <c r="DR335" i="2"/>
  <c r="DR337" i="2" s="1"/>
  <c r="DQ335" i="2"/>
  <c r="DP335" i="2"/>
  <c r="DP337" i="2" s="1"/>
  <c r="DO335" i="2"/>
  <c r="DO337" i="2" s="1"/>
  <c r="DN335" i="2"/>
  <c r="DN337" i="2" s="1"/>
  <c r="DM335" i="2"/>
  <c r="DM337" i="2" s="1"/>
  <c r="DL335" i="2"/>
  <c r="DK335" i="2"/>
  <c r="DK337" i="2" s="1"/>
  <c r="DJ335" i="2"/>
  <c r="DJ337" i="2" s="1"/>
  <c r="DI335" i="2"/>
  <c r="DI337" i="2" s="1"/>
  <c r="DH335" i="2"/>
  <c r="DH337" i="2" s="1"/>
  <c r="DG335" i="2"/>
  <c r="DG337" i="2" s="1"/>
  <c r="DF335" i="2"/>
  <c r="DF337" i="2" s="1"/>
  <c r="DE335" i="2"/>
  <c r="DE337" i="2" s="1"/>
  <c r="DD335" i="2"/>
  <c r="DD337" i="2" s="1"/>
  <c r="DC335" i="2"/>
  <c r="DC337" i="2" s="1"/>
  <c r="DB335" i="2"/>
  <c r="DB337" i="2" s="1"/>
  <c r="DA335" i="2"/>
  <c r="CZ335" i="2"/>
  <c r="CZ337" i="2" s="1"/>
  <c r="CY335" i="2"/>
  <c r="CY337" i="2" s="1"/>
  <c r="CX335" i="2"/>
  <c r="CX337" i="2" s="1"/>
  <c r="CW335" i="2"/>
  <c r="CW337" i="2" s="1"/>
  <c r="CV335" i="2"/>
  <c r="CU335" i="2"/>
  <c r="CU337" i="2" s="1"/>
  <c r="CT335" i="2"/>
  <c r="CT337" i="2" s="1"/>
  <c r="CS335" i="2"/>
  <c r="CS337" i="2" s="1"/>
  <c r="CR335" i="2"/>
  <c r="CR337" i="2" s="1"/>
  <c r="CQ335" i="2"/>
  <c r="CP335" i="2"/>
  <c r="CP337" i="2" s="1"/>
  <c r="CO335" i="2"/>
  <c r="CO337" i="2" s="1"/>
  <c r="CN335" i="2"/>
  <c r="CN337" i="2" s="1"/>
  <c r="CM335" i="2"/>
  <c r="CL335" i="2"/>
  <c r="CL337" i="2" s="1"/>
  <c r="CK335" i="2"/>
  <c r="CK337" i="2" s="1"/>
  <c r="CJ335" i="2"/>
  <c r="CJ337" i="2" s="1"/>
  <c r="CI335" i="2"/>
  <c r="CH335" i="2"/>
  <c r="CH337" i="2" s="1"/>
  <c r="CG335" i="2"/>
  <c r="CG337" i="2" s="1"/>
  <c r="CF335" i="2"/>
  <c r="CF337" i="2" s="1"/>
  <c r="V336" i="2"/>
  <c r="U336" i="2"/>
  <c r="M336" i="2"/>
  <c r="I336" i="2"/>
  <c r="E336" i="2"/>
  <c r="T335" i="2"/>
  <c r="T337" i="2" s="1"/>
  <c r="S335" i="2"/>
  <c r="S337" i="2" s="1"/>
  <c r="R335" i="2"/>
  <c r="R337" i="2" s="1"/>
  <c r="Q335" i="2"/>
  <c r="Q337" i="2" s="1"/>
  <c r="EE336" i="2"/>
  <c r="EE334" i="2"/>
  <c r="CE334" i="2"/>
  <c r="CD334" i="2"/>
  <c r="CC334" i="2"/>
  <c r="CB334" i="2"/>
  <c r="CA334" i="2"/>
  <c r="BZ334" i="2"/>
  <c r="BY334" i="2"/>
  <c r="BX334" i="2"/>
  <c r="BW334" i="2"/>
  <c r="BV334" i="2"/>
  <c r="BU334" i="2"/>
  <c r="BT334" i="2"/>
  <c r="BS334" i="2"/>
  <c r="BR334" i="2"/>
  <c r="BQ334" i="2"/>
  <c r="BP334" i="2"/>
  <c r="BO334" i="2"/>
  <c r="BN334" i="2"/>
  <c r="BM334" i="2"/>
  <c r="BL334" i="2"/>
  <c r="BK334" i="2"/>
  <c r="BJ334" i="2"/>
  <c r="BH334" i="2"/>
  <c r="BG334" i="2"/>
  <c r="BF334" i="2"/>
  <c r="BD334" i="2"/>
  <c r="BC334" i="2"/>
  <c r="BB334" i="2"/>
  <c r="AZ334" i="2"/>
  <c r="AY334" i="2"/>
  <c r="AX334" i="2"/>
  <c r="AV334" i="2"/>
  <c r="AU334" i="2"/>
  <c r="AT334" i="2"/>
  <c r="AR334" i="2"/>
  <c r="AQ336" i="2" s="1"/>
  <c r="AQ334" i="2"/>
  <c r="AP336" i="2" s="1"/>
  <c r="AP334" i="2"/>
  <c r="AN334" i="2"/>
  <c r="AM334" i="2"/>
  <c r="AL334" i="2"/>
  <c r="AJ334" i="2"/>
  <c r="AI334" i="2"/>
  <c r="AH334" i="2"/>
  <c r="V334" i="2"/>
  <c r="U334" i="2"/>
  <c r="P334" i="2"/>
  <c r="O334" i="2"/>
  <c r="N334" i="2"/>
  <c r="M334" i="2"/>
  <c r="L334" i="2"/>
  <c r="K334" i="2"/>
  <c r="BI334" i="2" s="1"/>
  <c r="J334" i="2"/>
  <c r="BE334" i="2" s="1"/>
  <c r="I334" i="2"/>
  <c r="BA334" i="2" s="1"/>
  <c r="H334" i="2"/>
  <c r="G334" i="2"/>
  <c r="AS334" i="2" s="1"/>
  <c r="F334" i="2"/>
  <c r="AO334" i="2" s="1"/>
  <c r="AN336" i="2" s="1"/>
  <c r="E334" i="2"/>
  <c r="AK334" i="2" s="1"/>
  <c r="AJ336" i="2" s="1"/>
  <c r="M331" i="2"/>
  <c r="E331" i="2"/>
  <c r="EA332" i="2"/>
  <c r="DY332" i="2"/>
  <c r="DQ332" i="2"/>
  <c r="DP332" i="2"/>
  <c r="DM332" i="2"/>
  <c r="DL332" i="2"/>
  <c r="DI332" i="2"/>
  <c r="DH332" i="2"/>
  <c r="DE332" i="2"/>
  <c r="DD332" i="2"/>
  <c r="DA332" i="2"/>
  <c r="CZ332" i="2"/>
  <c r="CW332" i="2"/>
  <c r="CV332" i="2"/>
  <c r="ED331" i="2"/>
  <c r="ED332" i="2" s="1"/>
  <c r="EC331" i="2"/>
  <c r="EC332" i="2" s="1"/>
  <c r="EB331" i="2"/>
  <c r="EB332" i="2" s="1"/>
  <c r="EA331" i="2"/>
  <c r="DZ331" i="2"/>
  <c r="DZ332" i="2" s="1"/>
  <c r="DY331" i="2"/>
  <c r="DX331" i="2"/>
  <c r="DX332" i="2" s="1"/>
  <c r="DW331" i="2"/>
  <c r="DW332" i="2" s="1"/>
  <c r="DV331" i="2"/>
  <c r="DV332" i="2" s="1"/>
  <c r="DU331" i="2"/>
  <c r="DU332" i="2" s="1"/>
  <c r="DT331" i="2"/>
  <c r="DT332" i="2" s="1"/>
  <c r="DS331" i="2"/>
  <c r="DS332" i="2" s="1"/>
  <c r="DR331" i="2"/>
  <c r="DR332" i="2" s="1"/>
  <c r="DQ331" i="2"/>
  <c r="DP331" i="2"/>
  <c r="DO331" i="2"/>
  <c r="DO332" i="2" s="1"/>
  <c r="DN331" i="2"/>
  <c r="DN332" i="2" s="1"/>
  <c r="DM331" i="2"/>
  <c r="DL331" i="2"/>
  <c r="DK331" i="2"/>
  <c r="DK332" i="2" s="1"/>
  <c r="DJ331" i="2"/>
  <c r="DJ332" i="2" s="1"/>
  <c r="DI331" i="2"/>
  <c r="DH331" i="2"/>
  <c r="DG331" i="2"/>
  <c r="DG332" i="2" s="1"/>
  <c r="DF331" i="2"/>
  <c r="DF332" i="2" s="1"/>
  <c r="DE331" i="2"/>
  <c r="DD331" i="2"/>
  <c r="DC331" i="2"/>
  <c r="DC332" i="2" s="1"/>
  <c r="DB331" i="2"/>
  <c r="DB332" i="2" s="1"/>
  <c r="DA331" i="2"/>
  <c r="CZ331" i="2"/>
  <c r="CY331" i="2"/>
  <c r="CY332" i="2" s="1"/>
  <c r="CX331" i="2"/>
  <c r="CX332" i="2" s="1"/>
  <c r="CW331" i="2"/>
  <c r="CV331" i="2"/>
  <c r="CU331" i="2"/>
  <c r="CU332" i="2" s="1"/>
  <c r="CT331" i="2"/>
  <c r="CT332" i="2" s="1"/>
  <c r="CS330" i="2"/>
  <c r="CS329" i="2"/>
  <c r="T329" i="2"/>
  <c r="T331" i="2" s="1"/>
  <c r="S329" i="2"/>
  <c r="R329" i="2"/>
  <c r="R331" i="2" s="1"/>
  <c r="Q329" i="2"/>
  <c r="Q331" i="2" s="1"/>
  <c r="P329" i="2"/>
  <c r="P331" i="2" s="1"/>
  <c r="O329" i="2"/>
  <c r="N329" i="2"/>
  <c r="N331" i="2" s="1"/>
  <c r="M329" i="2"/>
  <c r="L329" i="2"/>
  <c r="L331" i="2" s="1"/>
  <c r="K329" i="2"/>
  <c r="J329" i="2"/>
  <c r="J331" i="2" s="1"/>
  <c r="I329" i="2"/>
  <c r="I331" i="2" s="1"/>
  <c r="H329" i="2"/>
  <c r="H331" i="2" s="1"/>
  <c r="G329" i="2"/>
  <c r="F329" i="2"/>
  <c r="F331" i="2" s="1"/>
  <c r="E329" i="2"/>
  <c r="DM322" i="2"/>
  <c r="DE322" i="2"/>
  <c r="DA322" i="2"/>
  <c r="CW322" i="2"/>
  <c r="CS322" i="2"/>
  <c r="CO322" i="2"/>
  <c r="CK322" i="2"/>
  <c r="CG322" i="2"/>
  <c r="CC322" i="2"/>
  <c r="BY322" i="2"/>
  <c r="BU322" i="2"/>
  <c r="BQ322" i="2"/>
  <c r="BM322" i="2"/>
  <c r="CS320" i="2"/>
  <c r="BV318" i="2"/>
  <c r="BR318" i="2"/>
  <c r="BN318" i="2"/>
  <c r="BJ318" i="2"/>
  <c r="BF318" i="2"/>
  <c r="BB318" i="2"/>
  <c r="AX318" i="2"/>
  <c r="AT318" i="2"/>
  <c r="AP318" i="2"/>
  <c r="AL318" i="2"/>
  <c r="AH318" i="2"/>
  <c r="ED316" i="2"/>
  <c r="DZ316" i="2"/>
  <c r="DV316" i="2"/>
  <c r="DR316" i="2"/>
  <c r="DN316" i="2"/>
  <c r="DJ316" i="2"/>
  <c r="DF316" i="2"/>
  <c r="CX316" i="2"/>
  <c r="CT316" i="2"/>
  <c r="CP316" i="2"/>
  <c r="CL316" i="2"/>
  <c r="CH316" i="2"/>
  <c r="CD316" i="2"/>
  <c r="BZ316" i="2"/>
  <c r="BV316" i="2"/>
  <c r="BR316" i="2"/>
  <c r="BN316" i="2"/>
  <c r="BJ316" i="2"/>
  <c r="BF316" i="2"/>
  <c r="BB316" i="2"/>
  <c r="AX316" i="2"/>
  <c r="AT316" i="2"/>
  <c r="AP316" i="2"/>
  <c r="AL316" i="2"/>
  <c r="AH316" i="2"/>
  <c r="BY315" i="2"/>
  <c r="BX315" i="2"/>
  <c r="BU315" i="2"/>
  <c r="BT315" i="2"/>
  <c r="BR315" i="2"/>
  <c r="BQ315" i="2"/>
  <c r="BP315" i="2"/>
  <c r="BM315" i="2"/>
  <c r="BL315" i="2"/>
  <c r="BH315" i="2"/>
  <c r="BF315" i="2"/>
  <c r="BD315" i="2"/>
  <c r="AZ315" i="2"/>
  <c r="AX315" i="2"/>
  <c r="AV315" i="2"/>
  <c r="AR315" i="2"/>
  <c r="AP315" i="2"/>
  <c r="AN315" i="2"/>
  <c r="AJ315" i="2"/>
  <c r="AH315" i="2"/>
  <c r="DX314" i="2"/>
  <c r="DX322" i="2" s="1"/>
  <c r="DW314" i="2"/>
  <c r="DV314" i="2"/>
  <c r="DT314" i="2"/>
  <c r="DT322" i="2" s="1"/>
  <c r="DR314" i="2"/>
  <c r="DP314" i="2"/>
  <c r="DP322" i="2" s="1"/>
  <c r="DN314" i="2"/>
  <c r="DM314" i="2"/>
  <c r="DL314" i="2"/>
  <c r="DL322" i="2" s="1"/>
  <c r="DK314" i="2"/>
  <c r="DJ314" i="2"/>
  <c r="DH314" i="2"/>
  <c r="DH322" i="2" s="1"/>
  <c r="DG314" i="2"/>
  <c r="DF314" i="2"/>
  <c r="DE314" i="2"/>
  <c r="DD314" i="2"/>
  <c r="DD322" i="2" s="1"/>
  <c r="DC314" i="2"/>
  <c r="DB314" i="2"/>
  <c r="DA314" i="2"/>
  <c r="CZ314" i="2"/>
  <c r="CZ322" i="2" s="1"/>
  <c r="CY314" i="2"/>
  <c r="CX314" i="2"/>
  <c r="CW314" i="2"/>
  <c r="CV314" i="2"/>
  <c r="CV322" i="2" s="1"/>
  <c r="CU314" i="2"/>
  <c r="CT314" i="2"/>
  <c r="CS314" i="2"/>
  <c r="CR314" i="2"/>
  <c r="CR322" i="2" s="1"/>
  <c r="CQ314" i="2"/>
  <c r="CP314" i="2"/>
  <c r="CO314" i="2"/>
  <c r="CN314" i="2"/>
  <c r="CN322" i="2" s="1"/>
  <c r="CM314" i="2"/>
  <c r="CL314" i="2"/>
  <c r="CK314" i="2"/>
  <c r="CJ314" i="2"/>
  <c r="CJ322" i="2" s="1"/>
  <c r="CI314" i="2"/>
  <c r="CH314" i="2"/>
  <c r="CG314" i="2"/>
  <c r="CF314" i="2"/>
  <c r="CF322" i="2" s="1"/>
  <c r="CE314" i="2"/>
  <c r="CD314" i="2"/>
  <c r="CC314" i="2"/>
  <c r="CB314" i="2"/>
  <c r="CB322" i="2" s="1"/>
  <c r="CA314" i="2"/>
  <c r="BZ314" i="2"/>
  <c r="BY314" i="2"/>
  <c r="BX314" i="2"/>
  <c r="BX322" i="2" s="1"/>
  <c r="BW314" i="2"/>
  <c r="BV314" i="2"/>
  <c r="BU314" i="2"/>
  <c r="BT314" i="2"/>
  <c r="BT322" i="2" s="1"/>
  <c r="BS314" i="2"/>
  <c r="BR314" i="2"/>
  <c r="BQ314" i="2"/>
  <c r="BP314" i="2"/>
  <c r="BP322" i="2" s="1"/>
  <c r="BO314" i="2"/>
  <c r="BN314" i="2"/>
  <c r="BM314" i="2"/>
  <c r="BL314" i="2"/>
  <c r="BL322" i="2" s="1"/>
  <c r="BK314" i="2"/>
  <c r="BJ314" i="2"/>
  <c r="BH314" i="2"/>
  <c r="BH322" i="2" s="1"/>
  <c r="BG314" i="2"/>
  <c r="BF314" i="2"/>
  <c r="BD314" i="2"/>
  <c r="BD322" i="2" s="1"/>
  <c r="BC314" i="2"/>
  <c r="BB314" i="2"/>
  <c r="AZ314" i="2"/>
  <c r="AZ322" i="2" s="1"/>
  <c r="AY314" i="2"/>
  <c r="AX314" i="2"/>
  <c r="AV314" i="2"/>
  <c r="AV322" i="2" s="1"/>
  <c r="AU314" i="2"/>
  <c r="AT314" i="2"/>
  <c r="AR314" i="2"/>
  <c r="AR322" i="2" s="1"/>
  <c r="AQ314" i="2"/>
  <c r="AP314" i="2"/>
  <c r="AN314" i="2"/>
  <c r="AN322" i="2" s="1"/>
  <c r="AM314" i="2"/>
  <c r="AL314" i="2"/>
  <c r="AJ314" i="2"/>
  <c r="AI314" i="2"/>
  <c r="AI315" i="2" s="1"/>
  <c r="AH314" i="2"/>
  <c r="AH317" i="2" s="1"/>
  <c r="EJ311" i="2"/>
  <c r="EK311" i="2" s="1"/>
  <c r="EL311" i="2" s="1"/>
  <c r="EM311" i="2" s="1"/>
  <c r="EN311" i="2" s="1"/>
  <c r="EO311" i="2" s="1"/>
  <c r="EP311" i="2" s="1"/>
  <c r="EI311" i="2"/>
  <c r="EF311" i="2"/>
  <c r="EG311" i="2" s="1"/>
  <c r="EH311" i="2" s="1"/>
  <c r="EE311" i="2"/>
  <c r="ED311" i="2"/>
  <c r="EC311" i="2"/>
  <c r="EB311" i="2"/>
  <c r="EA311" i="2"/>
  <c r="DZ311" i="2"/>
  <c r="DY311" i="2"/>
  <c r="DX311" i="2"/>
  <c r="DW311" i="2"/>
  <c r="DV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F311" i="2"/>
  <c r="DE311" i="2"/>
  <c r="DD311" i="2"/>
  <c r="DC311" i="2"/>
  <c r="DB311" i="2"/>
  <c r="DA311" i="2"/>
  <c r="CZ311" i="2"/>
  <c r="CX311" i="2"/>
  <c r="CW311" i="2"/>
  <c r="CV311" i="2"/>
  <c r="CU311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BZ311" i="2"/>
  <c r="BY311" i="2"/>
  <c r="BX311" i="2"/>
  <c r="BW311" i="2"/>
  <c r="BV311" i="2"/>
  <c r="BU311" i="2"/>
  <c r="BT311" i="2"/>
  <c r="BS311" i="2"/>
  <c r="BR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BB311" i="2"/>
  <c r="BA311" i="2"/>
  <c r="AZ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BV310" i="2"/>
  <c r="BR310" i="2"/>
  <c r="BN310" i="2"/>
  <c r="BJ310" i="2"/>
  <c r="BF310" i="2"/>
  <c r="BB310" i="2"/>
  <c r="AX310" i="2"/>
  <c r="AT310" i="2"/>
  <c r="AP310" i="2"/>
  <c r="AL310" i="2"/>
  <c r="BY309" i="2"/>
  <c r="BX309" i="2"/>
  <c r="BW309" i="2"/>
  <c r="BV309" i="2"/>
  <c r="BU309" i="2"/>
  <c r="BT309" i="2"/>
  <c r="BS309" i="2"/>
  <c r="BR309" i="2"/>
  <c r="BQ309" i="2"/>
  <c r="BP309" i="2"/>
  <c r="BO309" i="2"/>
  <c r="BN309" i="2"/>
  <c r="BM309" i="2"/>
  <c r="BL309" i="2"/>
  <c r="BK309" i="2"/>
  <c r="BJ309" i="2"/>
  <c r="BH309" i="2"/>
  <c r="BG309" i="2"/>
  <c r="BF309" i="2"/>
  <c r="BD309" i="2"/>
  <c r="BC309" i="2"/>
  <c r="BB309" i="2"/>
  <c r="AZ309" i="2"/>
  <c r="AY309" i="2"/>
  <c r="AX309" i="2"/>
  <c r="AV309" i="2"/>
  <c r="AU309" i="2"/>
  <c r="AT309" i="2"/>
  <c r="AR309" i="2"/>
  <c r="AQ309" i="2"/>
  <c r="AP309" i="2"/>
  <c r="AN309" i="2"/>
  <c r="AM309" i="2"/>
  <c r="AL309" i="2"/>
  <c r="BY308" i="2"/>
  <c r="BX308" i="2"/>
  <c r="BW308" i="2"/>
  <c r="BV308" i="2"/>
  <c r="BU308" i="2"/>
  <c r="BT308" i="2"/>
  <c r="BS308" i="2"/>
  <c r="BR308" i="2"/>
  <c r="BQ308" i="2"/>
  <c r="BP308" i="2"/>
  <c r="BO308" i="2"/>
  <c r="BN308" i="2"/>
  <c r="BM308" i="2"/>
  <c r="BL308" i="2"/>
  <c r="BK308" i="2"/>
  <c r="BJ308" i="2"/>
  <c r="AL307" i="2"/>
  <c r="ED306" i="2"/>
  <c r="EC306" i="2"/>
  <c r="EB306" i="2"/>
  <c r="EA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C306" i="2"/>
  <c r="DB306" i="2"/>
  <c r="DA306" i="2"/>
  <c r="CX306" i="2"/>
  <c r="CW306" i="2"/>
  <c r="CV306" i="2"/>
  <c r="CU306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B306" i="2"/>
  <c r="CA306" i="2"/>
  <c r="BY306" i="2"/>
  <c r="BX306" i="2"/>
  <c r="BW306" i="2"/>
  <c r="BV306" i="2"/>
  <c r="BU306" i="2"/>
  <c r="BT306" i="2"/>
  <c r="BS306" i="2"/>
  <c r="BR306" i="2"/>
  <c r="BQ306" i="2"/>
  <c r="BP306" i="2"/>
  <c r="BO306" i="2"/>
  <c r="BN306" i="2"/>
  <c r="BM306" i="2"/>
  <c r="BL306" i="2"/>
  <c r="BK306" i="2"/>
  <c r="BJ306" i="2"/>
  <c r="BH306" i="2"/>
  <c r="BG306" i="2"/>
  <c r="BF306" i="2"/>
  <c r="BD306" i="2"/>
  <c r="BC306" i="2"/>
  <c r="BB306" i="2"/>
  <c r="AZ306" i="2"/>
  <c r="AY306" i="2"/>
  <c r="AX306" i="2"/>
  <c r="AV306" i="2"/>
  <c r="AU306" i="2"/>
  <c r="AT306" i="2"/>
  <c r="AR306" i="2"/>
  <c r="AQ306" i="2"/>
  <c r="AP306" i="2"/>
  <c r="AN306" i="2"/>
  <c r="AM306" i="2"/>
  <c r="AL306" i="2"/>
  <c r="AL305" i="2"/>
  <c r="ED304" i="2"/>
  <c r="EC304" i="2"/>
  <c r="EB304" i="2"/>
  <c r="EA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C304" i="2"/>
  <c r="DB304" i="2"/>
  <c r="DA304" i="2"/>
  <c r="CZ304" i="2"/>
  <c r="CX304" i="2"/>
  <c r="CW304" i="2"/>
  <c r="CV304" i="2"/>
  <c r="CU304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B304" i="2"/>
  <c r="CA304" i="2"/>
  <c r="BY304" i="2"/>
  <c r="BX304" i="2"/>
  <c r="BW304" i="2"/>
  <c r="BV304" i="2"/>
  <c r="BU304" i="2"/>
  <c r="BT304" i="2"/>
  <c r="BS304" i="2"/>
  <c r="BR304" i="2"/>
  <c r="BQ304" i="2"/>
  <c r="BP304" i="2"/>
  <c r="BO304" i="2"/>
  <c r="BN304" i="2"/>
  <c r="BM304" i="2"/>
  <c r="BL304" i="2"/>
  <c r="BK304" i="2"/>
  <c r="BJ304" i="2"/>
  <c r="BH304" i="2"/>
  <c r="BG304" i="2"/>
  <c r="BF304" i="2"/>
  <c r="BD304" i="2"/>
  <c r="BC304" i="2"/>
  <c r="BB304" i="2"/>
  <c r="AZ304" i="2"/>
  <c r="AY304" i="2"/>
  <c r="AX304" i="2"/>
  <c r="AV304" i="2"/>
  <c r="AU304" i="2"/>
  <c r="AT304" i="2"/>
  <c r="AR304" i="2"/>
  <c r="AQ304" i="2"/>
  <c r="AP304" i="2"/>
  <c r="AN304" i="2"/>
  <c r="AM304" i="2"/>
  <c r="AL304" i="2"/>
  <c r="AL303" i="2"/>
  <c r="BY302" i="2"/>
  <c r="BX302" i="2"/>
  <c r="BW302" i="2"/>
  <c r="BV302" i="2"/>
  <c r="BU302" i="2"/>
  <c r="BT302" i="2"/>
  <c r="BS302" i="2"/>
  <c r="BR302" i="2"/>
  <c r="BQ302" i="2"/>
  <c r="BP302" i="2"/>
  <c r="BO302" i="2"/>
  <c r="BN302" i="2"/>
  <c r="BM302" i="2"/>
  <c r="BL302" i="2"/>
  <c r="BK302" i="2"/>
  <c r="BJ302" i="2"/>
  <c r="BH302" i="2"/>
  <c r="BG302" i="2"/>
  <c r="BF302" i="2"/>
  <c r="AY302" i="2"/>
  <c r="AX302" i="2"/>
  <c r="AV302" i="2"/>
  <c r="AU302" i="2"/>
  <c r="AT302" i="2"/>
  <c r="AR302" i="2"/>
  <c r="AQ302" i="2"/>
  <c r="AP302" i="2"/>
  <c r="AN302" i="2"/>
  <c r="AM302" i="2"/>
  <c r="AL302" i="2"/>
  <c r="DT300" i="2"/>
  <c r="DQ300" i="2"/>
  <c r="DP300" i="2"/>
  <c r="DO300" i="2"/>
  <c r="DN300" i="2"/>
  <c r="DM300" i="2"/>
  <c r="DL300" i="2"/>
  <c r="CU300" i="2"/>
  <c r="CT300" i="2"/>
  <c r="CS300" i="2"/>
  <c r="CR300" i="2"/>
  <c r="CQ300" i="2"/>
  <c r="CP300" i="2"/>
  <c r="CO300" i="2"/>
  <c r="CH300" i="2"/>
  <c r="CF300" i="2"/>
  <c r="CE300" i="2"/>
  <c r="CD300" i="2"/>
  <c r="CC300" i="2"/>
  <c r="BZ300" i="2"/>
  <c r="BY300" i="2"/>
  <c r="BX300" i="2"/>
  <c r="BW300" i="2"/>
  <c r="BV300" i="2"/>
  <c r="BU300" i="2"/>
  <c r="BT300" i="2"/>
  <c r="BS300" i="2"/>
  <c r="BR300" i="2"/>
  <c r="BQ300" i="2"/>
  <c r="BP300" i="2"/>
  <c r="BO300" i="2"/>
  <c r="BN300" i="2"/>
  <c r="BM300" i="2"/>
  <c r="BL300" i="2"/>
  <c r="BK300" i="2"/>
  <c r="BJ300" i="2"/>
  <c r="BI300" i="2"/>
  <c r="BE300" i="2"/>
  <c r="AH296" i="2"/>
  <c r="EC285" i="2"/>
  <c r="EB285" i="2"/>
  <c r="DD285" i="2"/>
  <c r="DA285" i="2"/>
  <c r="CZ285" i="2"/>
  <c r="CW285" i="2"/>
  <c r="CS285" i="2"/>
  <c r="CR285" i="2"/>
  <c r="CO285" i="2"/>
  <c r="CN285" i="2"/>
  <c r="CK285" i="2"/>
  <c r="CJ285" i="2"/>
  <c r="CG285" i="2"/>
  <c r="CF285" i="2"/>
  <c r="CC285" i="2"/>
  <c r="CB285" i="2"/>
  <c r="BY285" i="2"/>
  <c r="BX285" i="2"/>
  <c r="BU285" i="2"/>
  <c r="BT285" i="2"/>
  <c r="BQ285" i="2"/>
  <c r="BP285" i="2"/>
  <c r="BM285" i="2"/>
  <c r="BL285" i="2"/>
  <c r="BI285" i="2"/>
  <c r="BH285" i="2"/>
  <c r="BE285" i="2"/>
  <c r="BD285" i="2"/>
  <c r="BA285" i="2"/>
  <c r="AZ285" i="2"/>
  <c r="AW285" i="2"/>
  <c r="AS285" i="2"/>
  <c r="AR285" i="2"/>
  <c r="AO285" i="2"/>
  <c r="AN285" i="2"/>
  <c r="AK285" i="2"/>
  <c r="ED284" i="2"/>
  <c r="ED285" i="2" s="1"/>
  <c r="EC284" i="2"/>
  <c r="EB284" i="2"/>
  <c r="EB286" i="2" s="1"/>
  <c r="EA284" i="2"/>
  <c r="EA285" i="2" s="1"/>
  <c r="DZ284" i="2"/>
  <c r="DZ285" i="2" s="1"/>
  <c r="DD284" i="2"/>
  <c r="DC284" i="2"/>
  <c r="DC285" i="2" s="1"/>
  <c r="DB284" i="2"/>
  <c r="DB285" i="2" s="1"/>
  <c r="DA284" i="2"/>
  <c r="CZ284" i="2"/>
  <c r="CY284" i="2"/>
  <c r="CY285" i="2" s="1"/>
  <c r="CX284" i="2"/>
  <c r="CX285" i="2" s="1"/>
  <c r="CW284" i="2"/>
  <c r="CT284" i="2"/>
  <c r="CT285" i="2" s="1"/>
  <c r="CS284" i="2"/>
  <c r="CS286" i="2" s="1"/>
  <c r="CR284" i="2"/>
  <c r="CQ284" i="2"/>
  <c r="CQ285" i="2" s="1"/>
  <c r="CP284" i="2"/>
  <c r="CP285" i="2" s="1"/>
  <c r="CO284" i="2"/>
  <c r="CO286" i="2" s="1"/>
  <c r="CN284" i="2"/>
  <c r="CM284" i="2"/>
  <c r="CM285" i="2" s="1"/>
  <c r="CL284" i="2"/>
  <c r="CL285" i="2" s="1"/>
  <c r="CK284" i="2"/>
  <c r="CJ284" i="2"/>
  <c r="CI284" i="2"/>
  <c r="CI285" i="2" s="1"/>
  <c r="CH284" i="2"/>
  <c r="CH285" i="2" s="1"/>
  <c r="CG284" i="2"/>
  <c r="CF284" i="2"/>
  <c r="CE284" i="2"/>
  <c r="CE285" i="2" s="1"/>
  <c r="CD284" i="2"/>
  <c r="CD285" i="2" s="1"/>
  <c r="CC284" i="2"/>
  <c r="CB284" i="2"/>
  <c r="CA284" i="2"/>
  <c r="CA285" i="2" s="1"/>
  <c r="BZ284" i="2"/>
  <c r="BZ285" i="2" s="1"/>
  <c r="BY284" i="2"/>
  <c r="BX284" i="2"/>
  <c r="BW284" i="2"/>
  <c r="BW285" i="2" s="1"/>
  <c r="BV284" i="2"/>
  <c r="BV285" i="2" s="1"/>
  <c r="BU284" i="2"/>
  <c r="BT284" i="2"/>
  <c r="BS284" i="2"/>
  <c r="BS285" i="2" s="1"/>
  <c r="BR284" i="2"/>
  <c r="BR285" i="2" s="1"/>
  <c r="BQ284" i="2"/>
  <c r="BP284" i="2"/>
  <c r="BO284" i="2"/>
  <c r="BO285" i="2" s="1"/>
  <c r="BN284" i="2"/>
  <c r="BN285" i="2" s="1"/>
  <c r="BM284" i="2"/>
  <c r="BL284" i="2"/>
  <c r="BK284" i="2"/>
  <c r="BK285" i="2" s="1"/>
  <c r="BJ284" i="2"/>
  <c r="BJ285" i="2" s="1"/>
  <c r="BI284" i="2"/>
  <c r="BH284" i="2"/>
  <c r="BG284" i="2"/>
  <c r="BG285" i="2" s="1"/>
  <c r="BF284" i="2"/>
  <c r="BF285" i="2" s="1"/>
  <c r="BE284" i="2"/>
  <c r="BD284" i="2"/>
  <c r="BC284" i="2"/>
  <c r="BC285" i="2" s="1"/>
  <c r="BB284" i="2"/>
  <c r="BB285" i="2" s="1"/>
  <c r="BA284" i="2"/>
  <c r="AZ284" i="2"/>
  <c r="AY284" i="2"/>
  <c r="AY285" i="2" s="1"/>
  <c r="AX284" i="2"/>
  <c r="AX285" i="2" s="1"/>
  <c r="AW284" i="2"/>
  <c r="AU284" i="2"/>
  <c r="AU285" i="2" s="1"/>
  <c r="AT284" i="2"/>
  <c r="AT285" i="2" s="1"/>
  <c r="AS284" i="2"/>
  <c r="AR284" i="2"/>
  <c r="AQ284" i="2"/>
  <c r="AQ285" i="2" s="1"/>
  <c r="AP284" i="2"/>
  <c r="AP285" i="2" s="1"/>
  <c r="AO284" i="2"/>
  <c r="AN284" i="2"/>
  <c r="AM284" i="2"/>
  <c r="AM285" i="2" s="1"/>
  <c r="AL284" i="2"/>
  <c r="AL285" i="2" s="1"/>
  <c r="AK284" i="2"/>
  <c r="EB283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DA281" i="2"/>
  <c r="CZ281" i="2"/>
  <c r="CY281" i="2"/>
  <c r="CX281" i="2"/>
  <c r="CW281" i="2"/>
  <c r="CV281" i="2"/>
  <c r="CU281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BZ281" i="2"/>
  <c r="BY281" i="2"/>
  <c r="BX281" i="2"/>
  <c r="BW281" i="2"/>
  <c r="BV281" i="2"/>
  <c r="BU281" i="2"/>
  <c r="BT281" i="2"/>
  <c r="BS281" i="2"/>
  <c r="BR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BB281" i="2"/>
  <c r="BA281" i="2"/>
  <c r="AZ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AM281" i="2"/>
  <c r="AL281" i="2"/>
  <c r="AK281" i="2"/>
  <c r="AJ281" i="2"/>
  <c r="AI281" i="2"/>
  <c r="AH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CO279" i="2"/>
  <c r="BA279" i="2"/>
  <c r="DJ278" i="2"/>
  <c r="DI278" i="2"/>
  <c r="DH278" i="2"/>
  <c r="DG278" i="2"/>
  <c r="DF278" i="2"/>
  <c r="DE278" i="2"/>
  <c r="DD278" i="2"/>
  <c r="DC278" i="2"/>
  <c r="DB278" i="2"/>
  <c r="DB283" i="2" s="1"/>
  <c r="DA278" i="2"/>
  <c r="DA283" i="2" s="1"/>
  <c r="CZ278" i="2"/>
  <c r="CY278" i="2"/>
  <c r="CX278" i="2"/>
  <c r="CX283" i="2" s="1"/>
  <c r="CW278" i="2"/>
  <c r="CW283" i="2" s="1"/>
  <c r="CV278" i="2"/>
  <c r="CU278" i="2"/>
  <c r="CT278" i="2"/>
  <c r="CT283" i="2" s="1"/>
  <c r="CS278" i="2"/>
  <c r="CS283" i="2" s="1"/>
  <c r="CR278" i="2"/>
  <c r="CQ278" i="2"/>
  <c r="CP278" i="2"/>
  <c r="CP283" i="2" s="1"/>
  <c r="CO278" i="2"/>
  <c r="CO283" i="2" s="1"/>
  <c r="CN278" i="2"/>
  <c r="CM278" i="2"/>
  <c r="CL278" i="2"/>
  <c r="CL283" i="2" s="1"/>
  <c r="CK278" i="2"/>
  <c r="CJ278" i="2"/>
  <c r="CI278" i="2"/>
  <c r="CH278" i="2"/>
  <c r="CH283" i="2" s="1"/>
  <c r="CF278" i="2"/>
  <c r="CE278" i="2"/>
  <c r="CC278" i="2"/>
  <c r="CB278" i="2"/>
  <c r="CA278" i="2"/>
  <c r="BZ278" i="2"/>
  <c r="BZ283" i="2" s="1"/>
  <c r="BX278" i="2"/>
  <c r="BW278" i="2"/>
  <c r="BS278" i="2"/>
  <c r="BP278" i="2"/>
  <c r="BO278" i="2"/>
  <c r="BL278" i="2"/>
  <c r="BK278" i="2"/>
  <c r="BH278" i="2"/>
  <c r="BG278" i="2"/>
  <c r="BC278" i="2"/>
  <c r="BA278" i="2"/>
  <c r="AZ278" i="2"/>
  <c r="AY278" i="2"/>
  <c r="AX278" i="2"/>
  <c r="AX283" i="2" s="1"/>
  <c r="AW278" i="2"/>
  <c r="AV278" i="2"/>
  <c r="AU278" i="2"/>
  <c r="AT278" i="2"/>
  <c r="AT283" i="2" s="1"/>
  <c r="AS278" i="2"/>
  <c r="AR278" i="2"/>
  <c r="AQ278" i="2"/>
  <c r="AP278" i="2"/>
  <c r="AP283" i="2" s="1"/>
  <c r="AO278" i="2"/>
  <c r="AN278" i="2"/>
  <c r="AM278" i="2"/>
  <c r="AL278" i="2"/>
  <c r="AL283" i="2" s="1"/>
  <c r="AK278" i="2"/>
  <c r="AK283" i="2" s="1"/>
  <c r="CG276" i="2"/>
  <c r="CG278" i="2" s="1"/>
  <c r="CF276" i="2"/>
  <c r="CF373" i="2" s="1"/>
  <c r="CE276" i="2"/>
  <c r="CD276" i="2"/>
  <c r="BY276" i="2"/>
  <c r="BY278" i="2" s="1"/>
  <c r="BX276" i="2"/>
  <c r="BX373" i="2" s="1"/>
  <c r="BW276" i="2"/>
  <c r="BV276" i="2"/>
  <c r="BU276" i="2"/>
  <c r="BU373" i="2" s="1"/>
  <c r="BT276" i="2"/>
  <c r="BT373" i="2" s="1"/>
  <c r="BS276" i="2"/>
  <c r="BR276" i="2"/>
  <c r="BQ276" i="2"/>
  <c r="BQ373" i="2" s="1"/>
  <c r="BP276" i="2"/>
  <c r="BP373" i="2" s="1"/>
  <c r="BO276" i="2"/>
  <c r="BN276" i="2"/>
  <c r="BM276" i="2"/>
  <c r="BM373" i="2" s="1"/>
  <c r="BL276" i="2"/>
  <c r="BL373" i="2" s="1"/>
  <c r="BK276" i="2"/>
  <c r="BJ276" i="2"/>
  <c r="BI276" i="2"/>
  <c r="BI373" i="2" s="1"/>
  <c r="BH276" i="2"/>
  <c r="BH373" i="2" s="1"/>
  <c r="BG276" i="2"/>
  <c r="BF276" i="2"/>
  <c r="BE276" i="2"/>
  <c r="BE373" i="2" s="1"/>
  <c r="BD276" i="2"/>
  <c r="BD373" i="2" s="1"/>
  <c r="BC276" i="2"/>
  <c r="BB276" i="2"/>
  <c r="ED272" i="2"/>
  <c r="EC272" i="2"/>
  <c r="EB272" i="2"/>
  <c r="EA272" i="2"/>
  <c r="DZ272" i="2"/>
  <c r="DX272" i="2"/>
  <c r="DW272" i="2"/>
  <c r="DV272" i="2"/>
  <c r="DU272" i="2"/>
  <c r="DT272" i="2"/>
  <c r="DT348" i="2" s="1"/>
  <c r="DT359" i="2" s="1"/>
  <c r="DS272" i="2"/>
  <c r="DS348" i="2" s="1"/>
  <c r="DR272" i="2"/>
  <c r="DR348" i="2" s="1"/>
  <c r="DR359" i="2" s="1"/>
  <c r="DQ272" i="2"/>
  <c r="DQ348" i="2" s="1"/>
  <c r="DQ359" i="2" s="1"/>
  <c r="DO272" i="2"/>
  <c r="DO348" i="2" s="1"/>
  <c r="DO359" i="2" s="1"/>
  <c r="DN272" i="2"/>
  <c r="DN348" i="2" s="1"/>
  <c r="DM272" i="2"/>
  <c r="DM348" i="2" s="1"/>
  <c r="DM359" i="2" s="1"/>
  <c r="DL272" i="2"/>
  <c r="DL348" i="2" s="1"/>
  <c r="DK272" i="2"/>
  <c r="DJ272" i="2"/>
  <c r="DI272" i="2"/>
  <c r="DH272" i="2"/>
  <c r="DG272" i="2"/>
  <c r="DF272" i="2"/>
  <c r="DE272" i="2"/>
  <c r="DD272" i="2"/>
  <c r="DC272" i="2"/>
  <c r="DB272" i="2"/>
  <c r="DA272" i="2"/>
  <c r="CZ272" i="2"/>
  <c r="DU271" i="2"/>
  <c r="DG271" i="2"/>
  <c r="DG311" i="2" s="1"/>
  <c r="CY271" i="2"/>
  <c r="CY311" i="2" s="1"/>
  <c r="DQ269" i="2"/>
  <c r="DM269" i="2"/>
  <c r="DM279" i="2" s="1"/>
  <c r="DI269" i="2"/>
  <c r="DI279" i="2" s="1"/>
  <c r="DE269" i="2"/>
  <c r="DE279" i="2" s="1"/>
  <c r="DD269" i="2"/>
  <c r="DD279" i="2" s="1"/>
  <c r="DC269" i="2"/>
  <c r="DC279" i="2" s="1"/>
  <c r="CT269" i="2"/>
  <c r="CT279" i="2" s="1"/>
  <c r="CS269" i="2"/>
  <c r="CS279" i="2" s="1"/>
  <c r="CR269" i="2"/>
  <c r="CR279" i="2" s="1"/>
  <c r="CQ269" i="2"/>
  <c r="CQ279" i="2" s="1"/>
  <c r="CP269" i="2"/>
  <c r="CP279" i="2" s="1"/>
  <c r="CO269" i="2"/>
  <c r="CN269" i="2"/>
  <c r="CN279" i="2" s="1"/>
  <c r="CM269" i="2"/>
  <c r="CM279" i="2" s="1"/>
  <c r="CL269" i="2"/>
  <c r="CL279" i="2" s="1"/>
  <c r="CK269" i="2"/>
  <c r="CK279" i="2" s="1"/>
  <c r="CJ269" i="2"/>
  <c r="CJ279" i="2" s="1"/>
  <c r="CI269" i="2"/>
  <c r="CI279" i="2" s="1"/>
  <c r="CH269" i="2"/>
  <c r="CH279" i="2" s="1"/>
  <c r="CG269" i="2"/>
  <c r="CF269" i="2"/>
  <c r="CF279" i="2" s="1"/>
  <c r="CE269" i="2"/>
  <c r="CE279" i="2" s="1"/>
  <c r="CD269" i="2"/>
  <c r="CD279" i="2" s="1"/>
  <c r="CC269" i="2"/>
  <c r="CC279" i="2" s="1"/>
  <c r="CB269" i="2"/>
  <c r="CB279" i="2" s="1"/>
  <c r="CA269" i="2"/>
  <c r="CA279" i="2" s="1"/>
  <c r="BZ269" i="2"/>
  <c r="BZ279" i="2" s="1"/>
  <c r="BY269" i="2"/>
  <c r="BX269" i="2"/>
  <c r="BX279" i="2" s="1"/>
  <c r="BW269" i="2"/>
  <c r="BW279" i="2" s="1"/>
  <c r="BV269" i="2"/>
  <c r="BV279" i="2" s="1"/>
  <c r="BU269" i="2"/>
  <c r="BU279" i="2" s="1"/>
  <c r="BT269" i="2"/>
  <c r="BT279" i="2" s="1"/>
  <c r="BS269" i="2"/>
  <c r="BS279" i="2" s="1"/>
  <c r="BR269" i="2"/>
  <c r="BR279" i="2" s="1"/>
  <c r="BQ269" i="2"/>
  <c r="BP269" i="2"/>
  <c r="BP279" i="2" s="1"/>
  <c r="BO269" i="2"/>
  <c r="BO279" i="2" s="1"/>
  <c r="BN269" i="2"/>
  <c r="BN279" i="2" s="1"/>
  <c r="BM269" i="2"/>
  <c r="BM279" i="2" s="1"/>
  <c r="BL269" i="2"/>
  <c r="BL279" i="2" s="1"/>
  <c r="BK269" i="2"/>
  <c r="BK279" i="2" s="1"/>
  <c r="BJ269" i="2"/>
  <c r="BJ279" i="2" s="1"/>
  <c r="BI269" i="2"/>
  <c r="BH269" i="2"/>
  <c r="BH279" i="2" s="1"/>
  <c r="BG269" i="2"/>
  <c r="BG279" i="2" s="1"/>
  <c r="BF269" i="2"/>
  <c r="BF279" i="2" s="1"/>
  <c r="BE269" i="2"/>
  <c r="BE279" i="2" s="1"/>
  <c r="BD269" i="2"/>
  <c r="BD279" i="2" s="1"/>
  <c r="BC269" i="2"/>
  <c r="BC279" i="2" s="1"/>
  <c r="BB269" i="2"/>
  <c r="BB279" i="2" s="1"/>
  <c r="BA269" i="2"/>
  <c r="AZ269" i="2"/>
  <c r="AZ279" i="2" s="1"/>
  <c r="AY269" i="2"/>
  <c r="AY279" i="2" s="1"/>
  <c r="AX269" i="2"/>
  <c r="AX279" i="2" s="1"/>
  <c r="AW269" i="2"/>
  <c r="AW279" i="2" s="1"/>
  <c r="AU269" i="2"/>
  <c r="AU279" i="2" s="1"/>
  <c r="AT269" i="2"/>
  <c r="AT279" i="2" s="1"/>
  <c r="AS269" i="2"/>
  <c r="AS279" i="2" s="1"/>
  <c r="AR269" i="2"/>
  <c r="AR279" i="2" s="1"/>
  <c r="AQ269" i="2"/>
  <c r="AQ279" i="2" s="1"/>
  <c r="AP269" i="2"/>
  <c r="AP279" i="2" s="1"/>
  <c r="AO269" i="2"/>
  <c r="AO279" i="2" s="1"/>
  <c r="AN269" i="2"/>
  <c r="AN279" i="2" s="1"/>
  <c r="AM269" i="2"/>
  <c r="AM279" i="2" s="1"/>
  <c r="AL269" i="2"/>
  <c r="AL279" i="2" s="1"/>
  <c r="AK269" i="2"/>
  <c r="AK279" i="2" s="1"/>
  <c r="DY268" i="2"/>
  <c r="DY284" i="2" s="1"/>
  <c r="DX268" i="2"/>
  <c r="DW268" i="2"/>
  <c r="DU268" i="2"/>
  <c r="DU284" i="2" s="1"/>
  <c r="DT268" i="2"/>
  <c r="DS268" i="2"/>
  <c r="DR268" i="2"/>
  <c r="DQ268" i="2"/>
  <c r="DQ284" i="2" s="1"/>
  <c r="DP268" i="2"/>
  <c r="DO268" i="2"/>
  <c r="DN268" i="2"/>
  <c r="DM268" i="2"/>
  <c r="DM284" i="2" s="1"/>
  <c r="DL268" i="2"/>
  <c r="DK268" i="2"/>
  <c r="DK269" i="2" s="1"/>
  <c r="DK279" i="2" s="1"/>
  <c r="DJ268" i="2"/>
  <c r="DI268" i="2"/>
  <c r="DI284" i="2" s="1"/>
  <c r="DH268" i="2"/>
  <c r="DG268" i="2"/>
  <c r="DF268" i="2"/>
  <c r="DE268" i="2"/>
  <c r="DE284" i="2" s="1"/>
  <c r="CV268" i="2"/>
  <c r="CU268" i="2"/>
  <c r="AV268" i="2"/>
  <c r="DU267" i="2"/>
  <c r="DV268" i="2" s="1"/>
  <c r="DS267" i="2"/>
  <c r="DS300" i="2" s="1"/>
  <c r="DR267" i="2"/>
  <c r="DR300" i="2" s="1"/>
  <c r="DF267" i="2"/>
  <c r="DF269" i="2" s="1"/>
  <c r="DF279" i="2" s="1"/>
  <c r="CV267" i="2"/>
  <c r="CZ266" i="2"/>
  <c r="EG277" i="2"/>
  <c r="EH277" i="2" s="1"/>
  <c r="EI277" i="2" s="1"/>
  <c r="EJ277" i="2" s="1"/>
  <c r="EK277" i="2" s="1"/>
  <c r="EL277" i="2" s="1"/>
  <c r="EM277" i="2" s="1"/>
  <c r="EN277" i="2" s="1"/>
  <c r="EO277" i="2" s="1"/>
  <c r="EP277" i="2" s="1"/>
  <c r="EF277" i="2"/>
  <c r="EE277" i="2"/>
  <c r="EF276" i="2"/>
  <c r="EF373" i="2" s="1"/>
  <c r="EE276" i="2"/>
  <c r="EE373" i="2" s="1"/>
  <c r="EF273" i="2"/>
  <c r="EG273" i="2" s="1"/>
  <c r="EE273" i="2"/>
  <c r="EF272" i="2"/>
  <c r="EG272" i="2" s="1"/>
  <c r="EE272" i="2"/>
  <c r="EF270" i="2"/>
  <c r="EG270" i="2" s="1"/>
  <c r="EH270" i="2" s="1"/>
  <c r="EI270" i="2" s="1"/>
  <c r="EJ270" i="2" s="1"/>
  <c r="EK270" i="2" s="1"/>
  <c r="EL270" i="2" s="1"/>
  <c r="EM270" i="2" s="1"/>
  <c r="EN270" i="2" s="1"/>
  <c r="EO270" i="2" s="1"/>
  <c r="EP270" i="2" s="1"/>
  <c r="EE270" i="2"/>
  <c r="EF268" i="2"/>
  <c r="EG268" i="2" s="1"/>
  <c r="EE268" i="2"/>
  <c r="DG265" i="2"/>
  <c r="CY265" i="2"/>
  <c r="E277" i="2"/>
  <c r="E276" i="2"/>
  <c r="E275" i="2"/>
  <c r="E274" i="2"/>
  <c r="E273" i="2"/>
  <c r="E278" i="2" s="1"/>
  <c r="E272" i="2"/>
  <c r="E271" i="2"/>
  <c r="E270" i="2"/>
  <c r="E268" i="2"/>
  <c r="E283" i="2" s="1"/>
  <c r="E267" i="2"/>
  <c r="E266" i="2"/>
  <c r="E265" i="2"/>
  <c r="E269" i="2" s="1"/>
  <c r="E279" i="2" s="1"/>
  <c r="ED261" i="2"/>
  <c r="EE261" i="2" s="1"/>
  <c r="EF261" i="2" s="1"/>
  <c r="EG261" i="2" s="1"/>
  <c r="EH261" i="2" s="1"/>
  <c r="EI261" i="2" s="1"/>
  <c r="EJ261" i="2" s="1"/>
  <c r="EK261" i="2" s="1"/>
  <c r="EL261" i="2" s="1"/>
  <c r="EM261" i="2" s="1"/>
  <c r="EN261" i="2" s="1"/>
  <c r="EO261" i="2" s="1"/>
  <c r="EP261" i="2" s="1"/>
  <c r="BQ261" i="2"/>
  <c r="BQ348" i="2" s="1"/>
  <c r="EA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G258" i="2"/>
  <c r="DD258" i="2"/>
  <c r="DC258" i="2"/>
  <c r="CZ258" i="2"/>
  <c r="CX258" i="2"/>
  <c r="CV258" i="2"/>
  <c r="CU258" i="2"/>
  <c r="CT258" i="2"/>
  <c r="CS258" i="2"/>
  <c r="CR258" i="2"/>
  <c r="CQ258" i="2"/>
  <c r="CP258" i="2"/>
  <c r="CO258" i="2"/>
  <c r="CM258" i="2"/>
  <c r="CI258" i="2"/>
  <c r="CH258" i="2"/>
  <c r="CF258" i="2"/>
  <c r="CE258" i="2"/>
  <c r="CD258" i="2"/>
  <c r="CC258" i="2"/>
  <c r="BZ258" i="2"/>
  <c r="BY258" i="2"/>
  <c r="BX258" i="2"/>
  <c r="BW258" i="2"/>
  <c r="BV258" i="2"/>
  <c r="BU258" i="2"/>
  <c r="BT258" i="2"/>
  <c r="BS258" i="2"/>
  <c r="BR258" i="2"/>
  <c r="BQ258" i="2"/>
  <c r="BP258" i="2"/>
  <c r="BO258" i="2"/>
  <c r="BN258" i="2"/>
  <c r="BM258" i="2"/>
  <c r="BL258" i="2"/>
  <c r="BK258" i="2"/>
  <c r="BJ258" i="2"/>
  <c r="BI258" i="2"/>
  <c r="BH258" i="2"/>
  <c r="BG258" i="2"/>
  <c r="BE258" i="2"/>
  <c r="BC258" i="2"/>
  <c r="AY258" i="2"/>
  <c r="AU258" i="2"/>
  <c r="AQ258" i="2"/>
  <c r="AM258" i="2"/>
  <c r="ED257" i="2"/>
  <c r="EC257" i="2"/>
  <c r="EB257" i="2"/>
  <c r="EA257" i="2"/>
  <c r="DZ257" i="2"/>
  <c r="DZ258" i="2" s="1"/>
  <c r="DY257" i="2"/>
  <c r="DX257" i="2"/>
  <c r="DK257" i="2"/>
  <c r="DJ257" i="2"/>
  <c r="DI257" i="2"/>
  <c r="DH257" i="2"/>
  <c r="DG257" i="2"/>
  <c r="DF257" i="2"/>
  <c r="DF258" i="2" s="1"/>
  <c r="DE257" i="2"/>
  <c r="DE258" i="2" s="1"/>
  <c r="DD257" i="2"/>
  <c r="DC257" i="2"/>
  <c r="DB257" i="2"/>
  <c r="DB258" i="2" s="1"/>
  <c r="DA257" i="2"/>
  <c r="CZ257" i="2"/>
  <c r="CY257" i="2"/>
  <c r="CW257" i="2"/>
  <c r="CW258" i="2" s="1"/>
  <c r="CN257" i="2"/>
  <c r="CM257" i="2"/>
  <c r="CL257" i="2"/>
  <c r="CK257" i="2"/>
  <c r="CK258" i="2" s="1"/>
  <c r="CJ257" i="2"/>
  <c r="CI257" i="2"/>
  <c r="CG257" i="2"/>
  <c r="CB257" i="2"/>
  <c r="CA257" i="2"/>
  <c r="BH257" i="2"/>
  <c r="BG257" i="2"/>
  <c r="BF257" i="2"/>
  <c r="BF258" i="2" s="1"/>
  <c r="BD257" i="2"/>
  <c r="BC257" i="2"/>
  <c r="BB257" i="2"/>
  <c r="BA257" i="2"/>
  <c r="BA258" i="2" s="1"/>
  <c r="AZ257" i="2"/>
  <c r="AZ308" i="2" s="1"/>
  <c r="AY257" i="2"/>
  <c r="AX257" i="2"/>
  <c r="AW257" i="2"/>
  <c r="AW258" i="2" s="1"/>
  <c r="AV257" i="2"/>
  <c r="AU257" i="2"/>
  <c r="AT257" i="2"/>
  <c r="AS257" i="2"/>
  <c r="AS258" i="2" s="1"/>
  <c r="AR257" i="2"/>
  <c r="AQ257" i="2"/>
  <c r="AP257" i="2"/>
  <c r="AO257" i="2"/>
  <c r="AO258" i="2" s="1"/>
  <c r="AN257" i="2"/>
  <c r="AM257" i="2"/>
  <c r="AL257" i="2"/>
  <c r="AK257" i="2"/>
  <c r="AK258" i="2" s="1"/>
  <c r="AK262" i="2" s="1"/>
  <c r="DI256" i="2"/>
  <c r="DJ256" i="2" s="1"/>
  <c r="DW255" i="2"/>
  <c r="CY255" i="2"/>
  <c r="DA253" i="2"/>
  <c r="CY253" i="2"/>
  <c r="CY258" i="2" s="1"/>
  <c r="AZ253" i="2"/>
  <c r="DS252" i="2"/>
  <c r="DH252" i="2"/>
  <c r="DH258" i="2" s="1"/>
  <c r="EE259" i="2"/>
  <c r="EF259" i="2" s="1"/>
  <c r="EE252" i="2"/>
  <c r="EF252" i="2" s="1"/>
  <c r="EG252" i="2" s="1"/>
  <c r="EH252" i="2" s="1"/>
  <c r="EI252" i="2" s="1"/>
  <c r="EJ252" i="2" s="1"/>
  <c r="EK252" i="2" s="1"/>
  <c r="EL252" i="2" s="1"/>
  <c r="EM252" i="2" s="1"/>
  <c r="EN252" i="2" s="1"/>
  <c r="EO252" i="2" s="1"/>
  <c r="EP252" i="2" s="1"/>
  <c r="E261" i="2"/>
  <c r="E260" i="2"/>
  <c r="E259" i="2"/>
  <c r="E257" i="2"/>
  <c r="E256" i="2"/>
  <c r="E255" i="2"/>
  <c r="E254" i="2"/>
  <c r="E253" i="2"/>
  <c r="E252" i="2"/>
  <c r="E251" i="2"/>
  <c r="E258" i="2" s="1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DA249" i="2"/>
  <c r="CZ249" i="2"/>
  <c r="CY249" i="2"/>
  <c r="CX249" i="2"/>
  <c r="CW249" i="2"/>
  <c r="CV249" i="2"/>
  <c r="CU249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BZ249" i="2"/>
  <c r="BY249" i="2"/>
  <c r="BX249" i="2"/>
  <c r="BW249" i="2"/>
  <c r="BV249" i="2"/>
  <c r="BU249" i="2"/>
  <c r="BT249" i="2"/>
  <c r="BS249" i="2"/>
  <c r="BR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BB249" i="2"/>
  <c r="BA249" i="2"/>
  <c r="AZ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AJ249" i="2"/>
  <c r="AI249" i="2"/>
  <c r="AH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DT245" i="2"/>
  <c r="DU245" i="2" s="1"/>
  <c r="DQ245" i="2"/>
  <c r="CZ245" i="2"/>
  <c r="CR245" i="2"/>
  <c r="CQ245" i="2"/>
  <c r="CS245" i="2" s="1"/>
  <c r="T245" i="2" s="1"/>
  <c r="CM245" i="2"/>
  <c r="CN245" i="2" s="1"/>
  <c r="CJ245" i="2"/>
  <c r="CK245" i="2" s="1"/>
  <c r="CI245" i="2"/>
  <c r="CE245" i="2"/>
  <c r="CF245" i="2" s="1"/>
  <c r="CB245" i="2"/>
  <c r="CA245" i="2"/>
  <c r="CC245" i="2" s="1"/>
  <c r="P245" i="2" s="1"/>
  <c r="BW245" i="2"/>
  <c r="BX245" i="2" s="1"/>
  <c r="BT245" i="2"/>
  <c r="BU245" i="2" s="1"/>
  <c r="N245" i="2" s="1"/>
  <c r="BS245" i="2"/>
  <c r="BO245" i="2"/>
  <c r="BL245" i="2"/>
  <c r="BK245" i="2"/>
  <c r="BM245" i="2" s="1"/>
  <c r="BG245" i="2"/>
  <c r="BH245" i="2" s="1"/>
  <c r="BD245" i="2"/>
  <c r="BE245" i="2" s="1"/>
  <c r="BC245" i="2"/>
  <c r="AY245" i="2"/>
  <c r="AZ245" i="2" s="1"/>
  <c r="AT245" i="2"/>
  <c r="AU245" i="2" s="1"/>
  <c r="AS245" i="2"/>
  <c r="DZ244" i="2"/>
  <c r="DZ246" i="2" s="1"/>
  <c r="DZ247" i="2" s="1"/>
  <c r="DV244" i="2"/>
  <c r="DV246" i="2" s="1"/>
  <c r="DV247" i="2" s="1"/>
  <c r="DR244" i="2"/>
  <c r="DR246" i="2" s="1"/>
  <c r="DR247" i="2" s="1"/>
  <c r="CX244" i="2"/>
  <c r="CX246" i="2" s="1"/>
  <c r="CX247" i="2" s="1"/>
  <c r="CT244" i="2"/>
  <c r="CT246" i="2" s="1"/>
  <c r="CT247" i="2" s="1"/>
  <c r="CP244" i="2"/>
  <c r="CP246" i="2" s="1"/>
  <c r="CP247" i="2" s="1"/>
  <c r="CL244" i="2"/>
  <c r="CL246" i="2" s="1"/>
  <c r="CL247" i="2" s="1"/>
  <c r="CH244" i="2"/>
  <c r="CH246" i="2" s="1"/>
  <c r="CH247" i="2" s="1"/>
  <c r="CD244" i="2"/>
  <c r="CD246" i="2" s="1"/>
  <c r="CD247" i="2" s="1"/>
  <c r="BZ244" i="2"/>
  <c r="BZ246" i="2" s="1"/>
  <c r="BZ247" i="2" s="1"/>
  <c r="BV244" i="2"/>
  <c r="BV246" i="2" s="1"/>
  <c r="BV247" i="2" s="1"/>
  <c r="BR244" i="2"/>
  <c r="BR246" i="2" s="1"/>
  <c r="BR247" i="2" s="1"/>
  <c r="BN244" i="2"/>
  <c r="BN246" i="2" s="1"/>
  <c r="BN247" i="2" s="1"/>
  <c r="BJ244" i="2"/>
  <c r="BJ246" i="2" s="1"/>
  <c r="BJ247" i="2" s="1"/>
  <c r="BF244" i="2"/>
  <c r="BF246" i="2" s="1"/>
  <c r="BF247" i="2" s="1"/>
  <c r="BB244" i="2"/>
  <c r="BB246" i="2" s="1"/>
  <c r="BB247" i="2" s="1"/>
  <c r="AX244" i="2"/>
  <c r="AX246" i="2" s="1"/>
  <c r="AX247" i="2" s="1"/>
  <c r="AT244" i="2"/>
  <c r="AT246" i="2" s="1"/>
  <c r="AT247" i="2" s="1"/>
  <c r="AP244" i="2"/>
  <c r="AP246" i="2" s="1"/>
  <c r="AP247" i="2" s="1"/>
  <c r="AL244" i="2"/>
  <c r="AL246" i="2" s="1"/>
  <c r="AL247" i="2" s="1"/>
  <c r="AH244" i="2"/>
  <c r="AH246" i="2" s="1"/>
  <c r="EB243" i="2"/>
  <c r="EC243" i="2" s="1"/>
  <c r="EA243" i="2"/>
  <c r="EA240" i="2"/>
  <c r="EB240" i="2" s="1"/>
  <c r="EC240" i="2" s="1"/>
  <c r="EB239" i="2"/>
  <c r="EC239" i="2" s="1"/>
  <c r="EA239" i="2"/>
  <c r="EA238" i="2"/>
  <c r="EA372" i="2" s="1"/>
  <c r="EE236" i="2"/>
  <c r="ED236" i="2"/>
  <c r="EA236" i="2"/>
  <c r="EB236" i="2" s="1"/>
  <c r="EC236" i="2" s="1"/>
  <c r="EB235" i="2"/>
  <c r="EC235" i="2" s="1"/>
  <c r="EB234" i="2"/>
  <c r="EC234" i="2" s="1"/>
  <c r="EA234" i="2"/>
  <c r="EA232" i="2"/>
  <c r="EA316" i="2" s="1"/>
  <c r="EA231" i="2"/>
  <c r="EA233" i="2" s="1"/>
  <c r="EA244" i="2" s="1"/>
  <c r="EA246" i="2" s="1"/>
  <c r="EA247" i="2" s="1"/>
  <c r="ED233" i="2"/>
  <c r="ED244" i="2" s="1"/>
  <c r="ED246" i="2" s="1"/>
  <c r="ED247" i="2" s="1"/>
  <c r="DZ233" i="2"/>
  <c r="DV233" i="2"/>
  <c r="DS233" i="2"/>
  <c r="DS244" i="2" s="1"/>
  <c r="DS246" i="2" s="1"/>
  <c r="DS247" i="2" s="1"/>
  <c r="DR233" i="2"/>
  <c r="DN233" i="2"/>
  <c r="DN244" i="2" s="1"/>
  <c r="DN246" i="2" s="1"/>
  <c r="DN247" i="2" s="1"/>
  <c r="DK233" i="2"/>
  <c r="DK244" i="2" s="1"/>
  <c r="DK246" i="2" s="1"/>
  <c r="DK247" i="2" s="1"/>
  <c r="DJ233" i="2"/>
  <c r="DJ244" i="2" s="1"/>
  <c r="DJ246" i="2" s="1"/>
  <c r="DJ247" i="2" s="1"/>
  <c r="DF233" i="2"/>
  <c r="DF244" i="2" s="1"/>
  <c r="DF246" i="2" s="1"/>
  <c r="DF247" i="2" s="1"/>
  <c r="CY233" i="2"/>
  <c r="CY244" i="2" s="1"/>
  <c r="CY246" i="2" s="1"/>
  <c r="CY247" i="2" s="1"/>
  <c r="CX233" i="2"/>
  <c r="CT233" i="2"/>
  <c r="CQ233" i="2"/>
  <c r="CQ244" i="2" s="1"/>
  <c r="CQ246" i="2" s="1"/>
  <c r="CQ247" i="2" s="1"/>
  <c r="CP233" i="2"/>
  <c r="CL233" i="2"/>
  <c r="CI233" i="2"/>
  <c r="CI244" i="2" s="1"/>
  <c r="CI246" i="2" s="1"/>
  <c r="CI247" i="2" s="1"/>
  <c r="CH233" i="2"/>
  <c r="CD233" i="2"/>
  <c r="CA233" i="2"/>
  <c r="CA244" i="2" s="1"/>
  <c r="CA246" i="2" s="1"/>
  <c r="CA247" i="2" s="1"/>
  <c r="BZ233" i="2"/>
  <c r="BV233" i="2"/>
  <c r="BS233" i="2"/>
  <c r="BS244" i="2" s="1"/>
  <c r="BS246" i="2" s="1"/>
  <c r="BS247" i="2" s="1"/>
  <c r="BR233" i="2"/>
  <c r="BN233" i="2"/>
  <c r="BK233" i="2"/>
  <c r="BK244" i="2" s="1"/>
  <c r="BK246" i="2" s="1"/>
  <c r="BK247" i="2" s="1"/>
  <c r="BJ233" i="2"/>
  <c r="BF233" i="2"/>
  <c r="BC233" i="2"/>
  <c r="BC244" i="2" s="1"/>
  <c r="BC246" i="2" s="1"/>
  <c r="BC247" i="2" s="1"/>
  <c r="BB233" i="2"/>
  <c r="AX233" i="2"/>
  <c r="AU233" i="2"/>
  <c r="AU244" i="2" s="1"/>
  <c r="AU246" i="2" s="1"/>
  <c r="AU247" i="2" s="1"/>
  <c r="AT233" i="2"/>
  <c r="AP233" i="2"/>
  <c r="AM233" i="2"/>
  <c r="AM244" i="2" s="1"/>
  <c r="AM246" i="2" s="1"/>
  <c r="AM247" i="2" s="1"/>
  <c r="AL233" i="2"/>
  <c r="AH233" i="2"/>
  <c r="DW232" i="2"/>
  <c r="DW316" i="2" s="1"/>
  <c r="DT232" i="2"/>
  <c r="DT316" i="2" s="1"/>
  <c r="DS232" i="2"/>
  <c r="DS316" i="2" s="1"/>
  <c r="DO232" i="2"/>
  <c r="DO316" i="2" s="1"/>
  <c r="DL232" i="2"/>
  <c r="DL316" i="2" s="1"/>
  <c r="DK232" i="2"/>
  <c r="DK316" i="2" s="1"/>
  <c r="DG232" i="2"/>
  <c r="DG316" i="2" s="1"/>
  <c r="DB232" i="2"/>
  <c r="DB316" i="2" s="1"/>
  <c r="CZ232" i="2"/>
  <c r="CZ316" i="2" s="1"/>
  <c r="CY232" i="2"/>
  <c r="CY316" i="2" s="1"/>
  <c r="CU232" i="2"/>
  <c r="CU316" i="2" s="1"/>
  <c r="CR232" i="2"/>
  <c r="CR316" i="2" s="1"/>
  <c r="CQ232" i="2"/>
  <c r="CQ316" i="2" s="1"/>
  <c r="CM232" i="2"/>
  <c r="CM316" i="2" s="1"/>
  <c r="CJ232" i="2"/>
  <c r="CJ316" i="2" s="1"/>
  <c r="CI232" i="2"/>
  <c r="CI316" i="2" s="1"/>
  <c r="CE232" i="2"/>
  <c r="CE316" i="2" s="1"/>
  <c r="CB232" i="2"/>
  <c r="CB316" i="2" s="1"/>
  <c r="CA232" i="2"/>
  <c r="CA316" i="2" s="1"/>
  <c r="BW232" i="2"/>
  <c r="BW316" i="2" s="1"/>
  <c r="BT232" i="2"/>
  <c r="BT316" i="2" s="1"/>
  <c r="BS232" i="2"/>
  <c r="BS316" i="2" s="1"/>
  <c r="BO232" i="2"/>
  <c r="BO316" i="2" s="1"/>
  <c r="BL232" i="2"/>
  <c r="BL316" i="2" s="1"/>
  <c r="BK232" i="2"/>
  <c r="BK316" i="2" s="1"/>
  <c r="BG232" i="2"/>
  <c r="BG316" i="2" s="1"/>
  <c r="BD232" i="2"/>
  <c r="BD316" i="2" s="1"/>
  <c r="BC232" i="2"/>
  <c r="BC316" i="2" s="1"/>
  <c r="AY232" i="2"/>
  <c r="AY316" i="2" s="1"/>
  <c r="AV232" i="2"/>
  <c r="AV316" i="2" s="1"/>
  <c r="AU232" i="2"/>
  <c r="AU316" i="2" s="1"/>
  <c r="AQ232" i="2"/>
  <c r="AQ316" i="2" s="1"/>
  <c r="AN232" i="2"/>
  <c r="AN316" i="2" s="1"/>
  <c r="AM232" i="2"/>
  <c r="AM316" i="2" s="1"/>
  <c r="AI232" i="2"/>
  <c r="AI316" i="2" s="1"/>
  <c r="EF230" i="2"/>
  <c r="EE230" i="2"/>
  <c r="DF230" i="2"/>
  <c r="DG230" i="2" s="1"/>
  <c r="DH230" i="2" s="1"/>
  <c r="DI230" i="2" s="1"/>
  <c r="DD230" i="2"/>
  <c r="DE230" i="2" s="1"/>
  <c r="W230" i="2" s="1"/>
  <c r="DC230" i="2"/>
  <c r="DO230" i="2"/>
  <c r="DP230" i="2" s="1"/>
  <c r="DQ230" i="2" s="1"/>
  <c r="DP229" i="2"/>
  <c r="DQ229" i="2" s="1"/>
  <c r="DO229" i="2"/>
  <c r="DO228" i="2"/>
  <c r="DP228" i="2" s="1"/>
  <c r="DQ228" i="2" s="1"/>
  <c r="DP227" i="2"/>
  <c r="DQ227" i="2" s="1"/>
  <c r="DO227" i="2"/>
  <c r="DO226" i="2"/>
  <c r="DP226" i="2" s="1"/>
  <c r="DQ226" i="2" s="1"/>
  <c r="DR225" i="2"/>
  <c r="DO225" i="2"/>
  <c r="DP225" i="2" s="1"/>
  <c r="DQ225" i="2" s="1"/>
  <c r="EB232" i="2"/>
  <c r="EB316" i="2" s="1"/>
  <c r="EB231" i="2"/>
  <c r="EC231" i="2" s="1"/>
  <c r="DZ230" i="2"/>
  <c r="EA230" i="2" s="1"/>
  <c r="EB230" i="2" s="1"/>
  <c r="EC230" i="2" s="1"/>
  <c r="DW230" i="2"/>
  <c r="DX230" i="2" s="1"/>
  <c r="DY230" i="2" s="1"/>
  <c r="DZ229" i="2"/>
  <c r="EA229" i="2" s="1"/>
  <c r="EB229" i="2" s="1"/>
  <c r="EC229" i="2" s="1"/>
  <c r="DW229" i="2"/>
  <c r="DX229" i="2" s="1"/>
  <c r="DY229" i="2" s="1"/>
  <c r="DZ228" i="2"/>
  <c r="EA228" i="2" s="1"/>
  <c r="EB228" i="2" s="1"/>
  <c r="EC228" i="2" s="1"/>
  <c r="DW228" i="2"/>
  <c r="DX228" i="2" s="1"/>
  <c r="DY228" i="2" s="1"/>
  <c r="DZ227" i="2"/>
  <c r="EA227" i="2" s="1"/>
  <c r="EB227" i="2" s="1"/>
  <c r="EC227" i="2" s="1"/>
  <c r="DW227" i="2"/>
  <c r="DX227" i="2" s="1"/>
  <c r="DY227" i="2" s="1"/>
  <c r="DZ226" i="2"/>
  <c r="EA226" i="2" s="1"/>
  <c r="EB226" i="2" s="1"/>
  <c r="EC226" i="2" s="1"/>
  <c r="DW226" i="2"/>
  <c r="DX226" i="2" s="1"/>
  <c r="DY226" i="2" s="1"/>
  <c r="DZ225" i="2"/>
  <c r="EA225" i="2" s="1"/>
  <c r="EB225" i="2" s="1"/>
  <c r="EC225" i="2" s="1"/>
  <c r="DW225" i="2"/>
  <c r="DX225" i="2" s="1"/>
  <c r="DY225" i="2" s="1"/>
  <c r="DZ224" i="2"/>
  <c r="EA224" i="2" s="1"/>
  <c r="EB224" i="2" s="1"/>
  <c r="EC224" i="2" s="1"/>
  <c r="DW224" i="2"/>
  <c r="DX224" i="2" s="1"/>
  <c r="DY224" i="2" s="1"/>
  <c r="DT230" i="2"/>
  <c r="DU230" i="2" s="1"/>
  <c r="DS230" i="2"/>
  <c r="DS229" i="2"/>
  <c r="DT229" i="2" s="1"/>
  <c r="DU229" i="2" s="1"/>
  <c r="DT228" i="2"/>
  <c r="DU228" i="2" s="1"/>
  <c r="DS228" i="2"/>
  <c r="DS227" i="2"/>
  <c r="DT227" i="2" s="1"/>
  <c r="DT226" i="2"/>
  <c r="DU226" i="2" s="1"/>
  <c r="DS226" i="2"/>
  <c r="DS225" i="2"/>
  <c r="DT225" i="2" s="1"/>
  <c r="DU225" i="2" s="1"/>
  <c r="DT224" i="2"/>
  <c r="DU224" i="2" s="1"/>
  <c r="DS224" i="2"/>
  <c r="DO224" i="2"/>
  <c r="DP224" i="2" s="1"/>
  <c r="DQ224" i="2" s="1"/>
  <c r="DL230" i="2"/>
  <c r="DM230" i="2" s="1"/>
  <c r="DK230" i="2"/>
  <c r="DK229" i="2"/>
  <c r="DL229" i="2" s="1"/>
  <c r="DM229" i="2" s="1"/>
  <c r="DL228" i="2"/>
  <c r="DK228" i="2"/>
  <c r="DM228" i="2" s="1"/>
  <c r="DK227" i="2"/>
  <c r="DL227" i="2" s="1"/>
  <c r="DL226" i="2"/>
  <c r="DM226" i="2" s="1"/>
  <c r="DK226" i="2"/>
  <c r="DK225" i="2"/>
  <c r="DL225" i="2" s="1"/>
  <c r="DM225" i="2" s="1"/>
  <c r="DL224" i="2"/>
  <c r="DK224" i="2"/>
  <c r="DM224" i="2" s="1"/>
  <c r="DG229" i="2"/>
  <c r="DH229" i="2" s="1"/>
  <c r="DI229" i="2" s="1"/>
  <c r="DH228" i="2"/>
  <c r="DI228" i="2" s="1"/>
  <c r="DG228" i="2"/>
  <c r="DG227" i="2"/>
  <c r="DH227" i="2" s="1"/>
  <c r="DI227" i="2" s="1"/>
  <c r="DH226" i="2"/>
  <c r="DI226" i="2" s="1"/>
  <c r="DG226" i="2"/>
  <c r="DG225" i="2"/>
  <c r="DH225" i="2" s="1"/>
  <c r="DH224" i="2"/>
  <c r="DI224" i="2" s="1"/>
  <c r="DG224" i="2"/>
  <c r="DC229" i="2"/>
  <c r="DD229" i="2" s="1"/>
  <c r="DE229" i="2" s="1"/>
  <c r="DD228" i="2"/>
  <c r="DC228" i="2"/>
  <c r="DE228" i="2" s="1"/>
  <c r="DC227" i="2"/>
  <c r="DD227" i="2" s="1"/>
  <c r="DD226" i="2"/>
  <c r="DE226" i="2" s="1"/>
  <c r="DC226" i="2"/>
  <c r="DC225" i="2"/>
  <c r="DD225" i="2" s="1"/>
  <c r="DE225" i="2" s="1"/>
  <c r="DD224" i="2"/>
  <c r="DC224" i="2"/>
  <c r="DE224" i="2" s="1"/>
  <c r="CY230" i="2"/>
  <c r="CZ230" i="2" s="1"/>
  <c r="CZ229" i="2"/>
  <c r="DA229" i="2" s="1"/>
  <c r="CY229" i="2"/>
  <c r="CY228" i="2"/>
  <c r="CZ227" i="2"/>
  <c r="CY227" i="2"/>
  <c r="DA227" i="2" s="1"/>
  <c r="CY226" i="2"/>
  <c r="CZ226" i="2" s="1"/>
  <c r="CZ225" i="2"/>
  <c r="DA225" i="2" s="1"/>
  <c r="CY225" i="2"/>
  <c r="CY224" i="2"/>
  <c r="CZ224" i="2" s="1"/>
  <c r="DA224" i="2" s="1"/>
  <c r="CV230" i="2"/>
  <c r="CU230" i="2"/>
  <c r="CW230" i="2" s="1"/>
  <c r="CU229" i="2"/>
  <c r="CV229" i="2" s="1"/>
  <c r="CV228" i="2"/>
  <c r="CW228" i="2" s="1"/>
  <c r="CU228" i="2"/>
  <c r="CU227" i="2"/>
  <c r="CV226" i="2"/>
  <c r="CU226" i="2"/>
  <c r="CW226" i="2" s="1"/>
  <c r="CU225" i="2"/>
  <c r="CV225" i="2" s="1"/>
  <c r="CV224" i="2"/>
  <c r="CW224" i="2" s="1"/>
  <c r="CU224" i="2"/>
  <c r="CQ230" i="2"/>
  <c r="CR229" i="2"/>
  <c r="CQ229" i="2"/>
  <c r="CS229" i="2" s="1"/>
  <c r="CQ228" i="2"/>
  <c r="CR228" i="2" s="1"/>
  <c r="CR227" i="2"/>
  <c r="CS227" i="2" s="1"/>
  <c r="CQ227" i="2"/>
  <c r="CQ226" i="2"/>
  <c r="CR225" i="2"/>
  <c r="CQ225" i="2"/>
  <c r="CS225" i="2" s="1"/>
  <c r="CQ224" i="2"/>
  <c r="CR224" i="2" s="1"/>
  <c r="CS224" i="2" s="1"/>
  <c r="CN230" i="2"/>
  <c r="CO230" i="2" s="1"/>
  <c r="CM230" i="2"/>
  <c r="CM229" i="2"/>
  <c r="CN228" i="2"/>
  <c r="CM228" i="2"/>
  <c r="CO228" i="2" s="1"/>
  <c r="CM227" i="2"/>
  <c r="CN227" i="2" s="1"/>
  <c r="CN226" i="2"/>
  <c r="CO226" i="2" s="1"/>
  <c r="CM226" i="2"/>
  <c r="CM225" i="2"/>
  <c r="CN224" i="2"/>
  <c r="CM224" i="2"/>
  <c r="CO224" i="2" s="1"/>
  <c r="CI230" i="2"/>
  <c r="CJ230" i="2" s="1"/>
  <c r="CK230" i="2" s="1"/>
  <c r="CJ229" i="2"/>
  <c r="CK229" i="2" s="1"/>
  <c r="CI229" i="2"/>
  <c r="CI228" i="2"/>
  <c r="CJ227" i="2"/>
  <c r="CI227" i="2"/>
  <c r="CK227" i="2" s="1"/>
  <c r="CI226" i="2"/>
  <c r="CJ226" i="2" s="1"/>
  <c r="CK226" i="2" s="1"/>
  <c r="CJ225" i="2"/>
  <c r="CK225" i="2" s="1"/>
  <c r="CI225" i="2"/>
  <c r="CI224" i="2"/>
  <c r="CF230" i="2"/>
  <c r="CE230" i="2"/>
  <c r="CG230" i="2" s="1"/>
  <c r="CE229" i="2"/>
  <c r="CF229" i="2" s="1"/>
  <c r="CG229" i="2" s="1"/>
  <c r="CF228" i="2"/>
  <c r="CG228" i="2" s="1"/>
  <c r="CE228" i="2"/>
  <c r="CE227" i="2"/>
  <c r="CF226" i="2"/>
  <c r="CE226" i="2"/>
  <c r="CG226" i="2" s="1"/>
  <c r="CE225" i="2"/>
  <c r="CF225" i="2" s="1"/>
  <c r="CF224" i="2"/>
  <c r="CG224" i="2" s="1"/>
  <c r="CE224" i="2"/>
  <c r="CA230" i="2"/>
  <c r="CB229" i="2"/>
  <c r="CA229" i="2"/>
  <c r="CC229" i="2" s="1"/>
  <c r="CA228" i="2"/>
  <c r="CB228" i="2" s="1"/>
  <c r="CC228" i="2" s="1"/>
  <c r="CB227" i="2"/>
  <c r="CC227" i="2" s="1"/>
  <c r="CA227" i="2"/>
  <c r="CA226" i="2"/>
  <c r="CB225" i="2"/>
  <c r="CA225" i="2"/>
  <c r="CC225" i="2" s="1"/>
  <c r="CA224" i="2"/>
  <c r="CB224" i="2" s="1"/>
  <c r="BX230" i="2"/>
  <c r="BY230" i="2" s="1"/>
  <c r="BW230" i="2"/>
  <c r="BW229" i="2"/>
  <c r="BX228" i="2"/>
  <c r="BW228" i="2"/>
  <c r="BY228" i="2" s="1"/>
  <c r="BW227" i="2"/>
  <c r="BX227" i="2" s="1"/>
  <c r="BY227" i="2" s="1"/>
  <c r="BX226" i="2"/>
  <c r="BY226" i="2" s="1"/>
  <c r="BW226" i="2"/>
  <c r="BW225" i="2"/>
  <c r="BX224" i="2"/>
  <c r="BW224" i="2"/>
  <c r="BY224" i="2" s="1"/>
  <c r="BS230" i="2"/>
  <c r="BT230" i="2" s="1"/>
  <c r="BU230" i="2" s="1"/>
  <c r="BT229" i="2"/>
  <c r="BU229" i="2" s="1"/>
  <c r="BS229" i="2"/>
  <c r="BS228" i="2"/>
  <c r="BT227" i="2"/>
  <c r="BS227" i="2"/>
  <c r="BU227" i="2" s="1"/>
  <c r="BS226" i="2"/>
  <c r="BT226" i="2" s="1"/>
  <c r="BU226" i="2" s="1"/>
  <c r="BT225" i="2"/>
  <c r="BU225" i="2" s="1"/>
  <c r="BS225" i="2"/>
  <c r="BS224" i="2"/>
  <c r="BP230" i="2"/>
  <c r="BO230" i="2"/>
  <c r="BQ230" i="2" s="1"/>
  <c r="BO229" i="2"/>
  <c r="BP229" i="2" s="1"/>
  <c r="BP228" i="2"/>
  <c r="BQ228" i="2" s="1"/>
  <c r="BO228" i="2"/>
  <c r="BO227" i="2"/>
  <c r="BP226" i="2"/>
  <c r="BO226" i="2"/>
  <c r="BQ226" i="2" s="1"/>
  <c r="BO225" i="2"/>
  <c r="BP225" i="2" s="1"/>
  <c r="BQ225" i="2" s="1"/>
  <c r="BP224" i="2"/>
  <c r="BQ224" i="2" s="1"/>
  <c r="BO224" i="2"/>
  <c r="BK230" i="2"/>
  <c r="BL229" i="2"/>
  <c r="BK229" i="2"/>
  <c r="BM229" i="2" s="1"/>
  <c r="BK228" i="2"/>
  <c r="BL228" i="2" s="1"/>
  <c r="BL227" i="2"/>
  <c r="BM227" i="2" s="1"/>
  <c r="BK227" i="2"/>
  <c r="BK226" i="2"/>
  <c r="BL225" i="2"/>
  <c r="BK225" i="2"/>
  <c r="BM225" i="2" s="1"/>
  <c r="BK224" i="2"/>
  <c r="BL224" i="2" s="1"/>
  <c r="BM224" i="2" s="1"/>
  <c r="BH230" i="2"/>
  <c r="BI230" i="2" s="1"/>
  <c r="BG230" i="2"/>
  <c r="BG229" i="2"/>
  <c r="BH228" i="2"/>
  <c r="BG228" i="2"/>
  <c r="BI228" i="2" s="1"/>
  <c r="BG227" i="2"/>
  <c r="BH227" i="2" s="1"/>
  <c r="BH226" i="2"/>
  <c r="BI226" i="2" s="1"/>
  <c r="BG226" i="2"/>
  <c r="BG225" i="2"/>
  <c r="BH224" i="2"/>
  <c r="BG224" i="2"/>
  <c r="BI224" i="2" s="1"/>
  <c r="BC230" i="2"/>
  <c r="BD230" i="2" s="1"/>
  <c r="BE230" i="2" s="1"/>
  <c r="BD229" i="2"/>
  <c r="BE229" i="2" s="1"/>
  <c r="BC229" i="2"/>
  <c r="BC228" i="2"/>
  <c r="BD227" i="2"/>
  <c r="BC227" i="2"/>
  <c r="BE227" i="2" s="1"/>
  <c r="BC226" i="2"/>
  <c r="BD226" i="2" s="1"/>
  <c r="BE226" i="2" s="1"/>
  <c r="BD225" i="2"/>
  <c r="BE225" i="2" s="1"/>
  <c r="BC225" i="2"/>
  <c r="BC224" i="2"/>
  <c r="AZ230" i="2"/>
  <c r="AY230" i="2"/>
  <c r="BA230" i="2" s="1"/>
  <c r="AY229" i="2"/>
  <c r="AZ229" i="2" s="1"/>
  <c r="BA229" i="2" s="1"/>
  <c r="AZ228" i="2"/>
  <c r="BA228" i="2" s="1"/>
  <c r="AY228" i="2"/>
  <c r="AY227" i="2"/>
  <c r="AZ226" i="2"/>
  <c r="AY226" i="2"/>
  <c r="BA226" i="2" s="1"/>
  <c r="AY225" i="2"/>
  <c r="AZ225" i="2" s="1"/>
  <c r="AZ224" i="2"/>
  <c r="BA224" i="2" s="1"/>
  <c r="AY224" i="2"/>
  <c r="AU230" i="2"/>
  <c r="AV229" i="2"/>
  <c r="AU229" i="2"/>
  <c r="AW229" i="2" s="1"/>
  <c r="AU228" i="2"/>
  <c r="AV228" i="2" s="1"/>
  <c r="AW228" i="2" s="1"/>
  <c r="AV227" i="2"/>
  <c r="AW227" i="2" s="1"/>
  <c r="AU227" i="2"/>
  <c r="AU226" i="2"/>
  <c r="AV225" i="2"/>
  <c r="AU225" i="2"/>
  <c r="AW225" i="2" s="1"/>
  <c r="AU224" i="2"/>
  <c r="AV224" i="2" s="1"/>
  <c r="AR230" i="2"/>
  <c r="AS230" i="2" s="1"/>
  <c r="AQ230" i="2"/>
  <c r="AQ229" i="2"/>
  <c r="AR228" i="2"/>
  <c r="AQ228" i="2"/>
  <c r="AS228" i="2" s="1"/>
  <c r="AQ227" i="2"/>
  <c r="AR227" i="2" s="1"/>
  <c r="AS227" i="2" s="1"/>
  <c r="AR226" i="2"/>
  <c r="AS226" i="2" s="1"/>
  <c r="AQ226" i="2"/>
  <c r="AQ225" i="2"/>
  <c r="AR224" i="2"/>
  <c r="AQ224" i="2"/>
  <c r="AS224" i="2" s="1"/>
  <c r="AM230" i="2"/>
  <c r="AN230" i="2" s="1"/>
  <c r="AO230" i="2" s="1"/>
  <c r="AN229" i="2"/>
  <c r="AO229" i="2" s="1"/>
  <c r="AM229" i="2"/>
  <c r="AM228" i="2"/>
  <c r="AN227" i="2"/>
  <c r="AM227" i="2"/>
  <c r="AO227" i="2" s="1"/>
  <c r="AM226" i="2"/>
  <c r="AN226" i="2" s="1"/>
  <c r="AO226" i="2" s="1"/>
  <c r="AN225" i="2"/>
  <c r="AO225" i="2" s="1"/>
  <c r="AM225" i="2"/>
  <c r="AM224" i="2"/>
  <c r="AJ230" i="2"/>
  <c r="AI230" i="2"/>
  <c r="AK230" i="2" s="1"/>
  <c r="AI229" i="2"/>
  <c r="AJ229" i="2" s="1"/>
  <c r="AJ228" i="2"/>
  <c r="AK228" i="2" s="1"/>
  <c r="AI228" i="2"/>
  <c r="AI227" i="2"/>
  <c r="AJ226" i="2"/>
  <c r="AI226" i="2"/>
  <c r="AK226" i="2" s="1"/>
  <c r="AI225" i="2"/>
  <c r="AJ225" i="2" s="1"/>
  <c r="AK225" i="2" s="1"/>
  <c r="AJ224" i="2"/>
  <c r="AK224" i="2" s="1"/>
  <c r="AI224" i="2"/>
  <c r="Y245" i="2"/>
  <c r="X245" i="2"/>
  <c r="W245" i="2"/>
  <c r="V245" i="2"/>
  <c r="U245" i="2"/>
  <c r="R245" i="2"/>
  <c r="J245" i="2"/>
  <c r="G245" i="2"/>
  <c r="F245" i="2"/>
  <c r="E245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Y238" i="2"/>
  <c r="Y372" i="2" s="1"/>
  <c r="X238" i="2"/>
  <c r="X372" i="2" s="1"/>
  <c r="W238" i="2"/>
  <c r="W372" i="2" s="1"/>
  <c r="V238" i="2"/>
  <c r="V372" i="2" s="1"/>
  <c r="U238" i="2"/>
  <c r="U372" i="2" s="1"/>
  <c r="T238" i="2"/>
  <c r="T372" i="2" s="1"/>
  <c r="S238" i="2"/>
  <c r="S372" i="2" s="1"/>
  <c r="R238" i="2"/>
  <c r="R372" i="2" s="1"/>
  <c r="Q238" i="2"/>
  <c r="Q372" i="2" s="1"/>
  <c r="P238" i="2"/>
  <c r="P372" i="2" s="1"/>
  <c r="O238" i="2"/>
  <c r="O372" i="2" s="1"/>
  <c r="N238" i="2"/>
  <c r="N372" i="2" s="1"/>
  <c r="M238" i="2"/>
  <c r="M372" i="2" s="1"/>
  <c r="L238" i="2"/>
  <c r="L372" i="2" s="1"/>
  <c r="K238" i="2"/>
  <c r="K372" i="2" s="1"/>
  <c r="J238" i="2"/>
  <c r="J372" i="2" s="1"/>
  <c r="I238" i="2"/>
  <c r="I372" i="2" s="1"/>
  <c r="H238" i="2"/>
  <c r="H372" i="2" s="1"/>
  <c r="G238" i="2"/>
  <c r="G372" i="2" s="1"/>
  <c r="F238" i="2"/>
  <c r="F372" i="2" s="1"/>
  <c r="E238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X231" i="2"/>
  <c r="Y230" i="2"/>
  <c r="X230" i="2"/>
  <c r="U230" i="2"/>
  <c r="S230" i="2"/>
  <c r="R230" i="2"/>
  <c r="Q230" i="2"/>
  <c r="O230" i="2"/>
  <c r="N230" i="2"/>
  <c r="M230" i="2"/>
  <c r="K230" i="2"/>
  <c r="J230" i="2"/>
  <c r="I230" i="2"/>
  <c r="G230" i="2"/>
  <c r="F230" i="2"/>
  <c r="E230" i="2"/>
  <c r="Y229" i="2"/>
  <c r="X229" i="2"/>
  <c r="W229" i="2"/>
  <c r="V229" i="2"/>
  <c r="T229" i="2"/>
  <c r="R229" i="2"/>
  <c r="Q229" i="2"/>
  <c r="P229" i="2"/>
  <c r="N229" i="2"/>
  <c r="L229" i="2"/>
  <c r="J229" i="2"/>
  <c r="I229" i="2"/>
  <c r="H229" i="2"/>
  <c r="F229" i="2"/>
  <c r="Y228" i="2"/>
  <c r="X228" i="2"/>
  <c r="W228" i="2"/>
  <c r="U228" i="2"/>
  <c r="S228" i="2"/>
  <c r="Q228" i="2"/>
  <c r="P228" i="2"/>
  <c r="O228" i="2"/>
  <c r="M228" i="2"/>
  <c r="K228" i="2"/>
  <c r="I228" i="2"/>
  <c r="H228" i="2"/>
  <c r="G228" i="2"/>
  <c r="E228" i="2"/>
  <c r="X227" i="2"/>
  <c r="V227" i="2"/>
  <c r="T227" i="2"/>
  <c r="R227" i="2"/>
  <c r="P227" i="2"/>
  <c r="O227" i="2"/>
  <c r="N227" i="2"/>
  <c r="L227" i="2"/>
  <c r="J227" i="2"/>
  <c r="H227" i="2"/>
  <c r="G227" i="2"/>
  <c r="F227" i="2"/>
  <c r="Y226" i="2"/>
  <c r="X226" i="2"/>
  <c r="W226" i="2"/>
  <c r="U226" i="2"/>
  <c r="S226" i="2"/>
  <c r="R226" i="2"/>
  <c r="Q226" i="2"/>
  <c r="O226" i="2"/>
  <c r="N226" i="2"/>
  <c r="M226" i="2"/>
  <c r="K226" i="2"/>
  <c r="J226" i="2"/>
  <c r="I226" i="2"/>
  <c r="G226" i="2"/>
  <c r="F226" i="2"/>
  <c r="E226" i="2"/>
  <c r="Y225" i="2"/>
  <c r="W225" i="2"/>
  <c r="V225" i="2"/>
  <c r="T225" i="2"/>
  <c r="R225" i="2"/>
  <c r="P225" i="2"/>
  <c r="N225" i="2"/>
  <c r="M225" i="2"/>
  <c r="L225" i="2"/>
  <c r="J225" i="2"/>
  <c r="H225" i="2"/>
  <c r="F225" i="2"/>
  <c r="E225" i="2"/>
  <c r="Y224" i="2"/>
  <c r="X224" i="2"/>
  <c r="W224" i="2"/>
  <c r="V224" i="2"/>
  <c r="U224" i="2"/>
  <c r="T224" i="2"/>
  <c r="S224" i="2"/>
  <c r="Q224" i="2"/>
  <c r="O224" i="2"/>
  <c r="M224" i="2"/>
  <c r="L224" i="2"/>
  <c r="K224" i="2"/>
  <c r="I224" i="2"/>
  <c r="G224" i="2"/>
  <c r="E224" i="2"/>
  <c r="BG221" i="2"/>
  <c r="AU221" i="2"/>
  <c r="AV221" i="2" s="1"/>
  <c r="AI220" i="2"/>
  <c r="AK220" i="2" s="1"/>
  <c r="AI219" i="2"/>
  <c r="AI218" i="2"/>
  <c r="AI216" i="2"/>
  <c r="AI214" i="2"/>
  <c r="EA221" i="2"/>
  <c r="EB221" i="2" s="1"/>
  <c r="EC221" i="2" s="1"/>
  <c r="DZ221" i="2"/>
  <c r="DW221" i="2"/>
  <c r="DX221" i="2" s="1"/>
  <c r="DY221" i="2" s="1"/>
  <c r="DZ220" i="2"/>
  <c r="EA220" i="2" s="1"/>
  <c r="EB220" i="2" s="1"/>
  <c r="EC220" i="2" s="1"/>
  <c r="DX220" i="2"/>
  <c r="DY220" i="2" s="1"/>
  <c r="DW220" i="2"/>
  <c r="EA219" i="2"/>
  <c r="EB219" i="2" s="1"/>
  <c r="EC219" i="2" s="1"/>
  <c r="DZ219" i="2"/>
  <c r="DY219" i="2"/>
  <c r="DW219" i="2"/>
  <c r="DX219" i="2" s="1"/>
  <c r="DL221" i="2"/>
  <c r="DM221" i="2" s="1"/>
  <c r="DK221" i="2"/>
  <c r="DK220" i="2"/>
  <c r="DL219" i="2"/>
  <c r="DK219" i="2"/>
  <c r="DM219" i="2" s="1"/>
  <c r="Y219" i="2" s="1"/>
  <c r="CU221" i="2"/>
  <c r="CV221" i="2" s="1"/>
  <c r="CV220" i="2"/>
  <c r="CW220" i="2" s="1"/>
  <c r="CU220" i="2"/>
  <c r="CU219" i="2"/>
  <c r="CR221" i="2"/>
  <c r="CQ221" i="2"/>
  <c r="CS221" i="2" s="1"/>
  <c r="CS220" i="2"/>
  <c r="CQ220" i="2"/>
  <c r="CR220" i="2" s="1"/>
  <c r="CR219" i="2"/>
  <c r="CQ219" i="2"/>
  <c r="CM221" i="2"/>
  <c r="CN220" i="2"/>
  <c r="CM220" i="2"/>
  <c r="CO220" i="2" s="1"/>
  <c r="S220" i="2" s="1"/>
  <c r="CM219" i="2"/>
  <c r="CN219" i="2" s="1"/>
  <c r="CO219" i="2" s="1"/>
  <c r="CJ221" i="2"/>
  <c r="CI221" i="2"/>
  <c r="CI220" i="2"/>
  <c r="CJ219" i="2"/>
  <c r="CI219" i="2"/>
  <c r="CK219" i="2" s="1"/>
  <c r="CG221" i="2"/>
  <c r="CE221" i="2"/>
  <c r="CF221" i="2" s="1"/>
  <c r="Q221" i="2" s="1"/>
  <c r="CF220" i="2"/>
  <c r="CG220" i="2" s="1"/>
  <c r="CE220" i="2"/>
  <c r="CE219" i="2"/>
  <c r="CB221" i="2"/>
  <c r="CA221" i="2"/>
  <c r="CC221" i="2" s="1"/>
  <c r="CA220" i="2"/>
  <c r="CB220" i="2" s="1"/>
  <c r="CC220" i="2" s="1"/>
  <c r="CB219" i="2"/>
  <c r="CA219" i="2"/>
  <c r="BW221" i="2"/>
  <c r="BX220" i="2"/>
  <c r="BW220" i="2"/>
  <c r="BY220" i="2" s="1"/>
  <c r="O220" i="2" s="1"/>
  <c r="BW219" i="2"/>
  <c r="BW310" i="2" s="1"/>
  <c r="BT221" i="2"/>
  <c r="BS221" i="2"/>
  <c r="BS220" i="2"/>
  <c r="BT219" i="2"/>
  <c r="BT310" i="2" s="1"/>
  <c r="BS219" i="2"/>
  <c r="BS310" i="2" s="1"/>
  <c r="BO221" i="2"/>
  <c r="BP221" i="2" s="1"/>
  <c r="BQ221" i="2" s="1"/>
  <c r="M221" i="2" s="1"/>
  <c r="BP220" i="2"/>
  <c r="BQ220" i="2" s="1"/>
  <c r="BO220" i="2"/>
  <c r="BO219" i="2"/>
  <c r="BL221" i="2"/>
  <c r="BK221" i="2"/>
  <c r="BM221" i="2" s="1"/>
  <c r="BM220" i="2"/>
  <c r="BK220" i="2"/>
  <c r="BL220" i="2" s="1"/>
  <c r="BL219" i="2"/>
  <c r="BK219" i="2"/>
  <c r="BK310" i="2" s="1"/>
  <c r="BG220" i="2"/>
  <c r="BH219" i="2"/>
  <c r="BH310" i="2" s="1"/>
  <c r="BG219" i="2"/>
  <c r="BG310" i="2" s="1"/>
  <c r="BC221" i="2"/>
  <c r="BD221" i="2" s="1"/>
  <c r="BD220" i="2"/>
  <c r="BC220" i="2"/>
  <c r="BC219" i="2"/>
  <c r="AZ220" i="2"/>
  <c r="AY220" i="2"/>
  <c r="BA220" i="2" s="1"/>
  <c r="AY219" i="2"/>
  <c r="AY310" i="2" s="1"/>
  <c r="AV220" i="2"/>
  <c r="AU220" i="2"/>
  <c r="AU219" i="2"/>
  <c r="AR221" i="2"/>
  <c r="AQ221" i="2"/>
  <c r="AS221" i="2" s="1"/>
  <c r="G221" i="2" s="1"/>
  <c r="AQ220" i="2"/>
  <c r="AR220" i="2" s="1"/>
  <c r="AS220" i="2" s="1"/>
  <c r="AR219" i="2"/>
  <c r="AQ219" i="2"/>
  <c r="AQ310" i="2" s="1"/>
  <c r="AM221" i="2"/>
  <c r="AN220" i="2"/>
  <c r="AM220" i="2"/>
  <c r="AO220" i="2" s="1"/>
  <c r="F220" i="2" s="1"/>
  <c r="AM219" i="2"/>
  <c r="AM310" i="2" s="1"/>
  <c r="AJ221" i="2"/>
  <c r="AK221" i="2" s="1"/>
  <c r="AJ220" i="2"/>
  <c r="AJ219" i="2"/>
  <c r="EB218" i="2"/>
  <c r="EC218" i="2" s="1"/>
  <c r="EA218" i="2"/>
  <c r="DW218" i="2"/>
  <c r="DX218" i="2" s="1"/>
  <c r="DY218" i="2" s="1"/>
  <c r="DT221" i="2"/>
  <c r="DS221" i="2"/>
  <c r="DS220" i="2"/>
  <c r="DT219" i="2"/>
  <c r="DU219" i="2" s="1"/>
  <c r="DS219" i="2"/>
  <c r="DU218" i="2"/>
  <c r="DS218" i="2"/>
  <c r="DT218" i="2" s="1"/>
  <c r="DP221" i="2"/>
  <c r="DO221" i="2"/>
  <c r="DO220" i="2"/>
  <c r="DP219" i="2"/>
  <c r="DQ219" i="2" s="1"/>
  <c r="DO219" i="2"/>
  <c r="DO218" i="2"/>
  <c r="DP218" i="2" s="1"/>
  <c r="DQ218" i="2" s="1"/>
  <c r="DL218" i="2"/>
  <c r="DM218" i="2" s="1"/>
  <c r="DH221" i="2"/>
  <c r="DI221" i="2" s="1"/>
  <c r="DG221" i="2"/>
  <c r="DI220" i="2"/>
  <c r="DG220" i="2"/>
  <c r="DH220" i="2" s="1"/>
  <c r="DH219" i="2"/>
  <c r="DG219" i="2"/>
  <c r="DG218" i="2"/>
  <c r="DH218" i="2" s="1"/>
  <c r="DI218" i="2" s="1"/>
  <c r="DB221" i="2"/>
  <c r="CZ221" i="2"/>
  <c r="CY221" i="2"/>
  <c r="DA221" i="2" s="1"/>
  <c r="V221" i="2" s="1"/>
  <c r="DC220" i="2"/>
  <c r="DB220" i="2"/>
  <c r="DD220" i="2" s="1"/>
  <c r="CY220" i="2"/>
  <c r="CZ220" i="2" s="1"/>
  <c r="DA220" i="2" s="1"/>
  <c r="DB219" i="2"/>
  <c r="CZ219" i="2"/>
  <c r="CY219" i="2"/>
  <c r="DC218" i="2"/>
  <c r="DB218" i="2"/>
  <c r="CZ218" i="2"/>
  <c r="CY218" i="2"/>
  <c r="CX218" i="2"/>
  <c r="CW218" i="2"/>
  <c r="CV218" i="2"/>
  <c r="CU218" i="2"/>
  <c r="U218" i="2" s="1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BZ218" i="2"/>
  <c r="BY218" i="2"/>
  <c r="BX218" i="2"/>
  <c r="BW218" i="2"/>
  <c r="BV218" i="2"/>
  <c r="BU218" i="2"/>
  <c r="BT218" i="2"/>
  <c r="BS218" i="2"/>
  <c r="BR218" i="2"/>
  <c r="BQ218" i="2"/>
  <c r="BP218" i="2"/>
  <c r="BO218" i="2"/>
  <c r="BN218" i="2"/>
  <c r="BM218" i="2"/>
  <c r="BL218" i="2"/>
  <c r="BK218" i="2"/>
  <c r="BJ218" i="2"/>
  <c r="BH218" i="2"/>
  <c r="BG218" i="2"/>
  <c r="BF218" i="2"/>
  <c r="BD218" i="2"/>
  <c r="BC218" i="2"/>
  <c r="BB218" i="2"/>
  <c r="AZ218" i="2"/>
  <c r="AY218" i="2"/>
  <c r="AX218" i="2"/>
  <c r="AV218" i="2"/>
  <c r="AU218" i="2"/>
  <c r="AT218" i="2"/>
  <c r="AR218" i="2"/>
  <c r="AQ218" i="2"/>
  <c r="AP218" i="2"/>
  <c r="AN218" i="2"/>
  <c r="AM218" i="2"/>
  <c r="AL218" i="2"/>
  <c r="AJ218" i="2"/>
  <c r="AH218" i="2"/>
  <c r="AH216" i="2"/>
  <c r="AH214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E256" i="2" s="1"/>
  <c r="EE219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D216" i="2"/>
  <c r="DC216" i="2"/>
  <c r="DB216" i="2"/>
  <c r="DA216" i="2"/>
  <c r="CY216" i="2"/>
  <c r="CX216" i="2"/>
  <c r="CW216" i="2"/>
  <c r="CV216" i="2"/>
  <c r="CU216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BZ216" i="2"/>
  <c r="BY216" i="2"/>
  <c r="BX216" i="2"/>
  <c r="BW216" i="2"/>
  <c r="BV216" i="2"/>
  <c r="BU216" i="2"/>
  <c r="BT216" i="2"/>
  <c r="BS216" i="2"/>
  <c r="BR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BB216" i="2"/>
  <c r="BA216" i="2"/>
  <c r="AZ216" i="2"/>
  <c r="AY216" i="2"/>
  <c r="AX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AJ216" i="2"/>
  <c r="CX215" i="2"/>
  <c r="CX217" i="2" s="1"/>
  <c r="CX222" i="2" s="1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DA214" i="2"/>
  <c r="CZ214" i="2"/>
  <c r="CY214" i="2"/>
  <c r="CX214" i="2"/>
  <c r="CW214" i="2"/>
  <c r="CV214" i="2"/>
  <c r="CU214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BZ214" i="2"/>
  <c r="BY214" i="2"/>
  <c r="BX214" i="2"/>
  <c r="BW214" i="2"/>
  <c r="BV214" i="2"/>
  <c r="BU214" i="2"/>
  <c r="BT214" i="2"/>
  <c r="BS214" i="2"/>
  <c r="BR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BB214" i="2"/>
  <c r="BA214" i="2"/>
  <c r="AZ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AJ214" i="2"/>
  <c r="I221" i="2"/>
  <c r="E221" i="2"/>
  <c r="U220" i="2"/>
  <c r="Q220" i="2"/>
  <c r="M220" i="2"/>
  <c r="I220" i="2"/>
  <c r="E220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DX211" i="2"/>
  <c r="DW211" i="2"/>
  <c r="DV211" i="2"/>
  <c r="DV210" i="2" s="1"/>
  <c r="DT211" i="2"/>
  <c r="DR211" i="2"/>
  <c r="DR210" i="2" s="1"/>
  <c r="DP211" i="2"/>
  <c r="DN211" i="2"/>
  <c r="DN210" i="2" s="1"/>
  <c r="DM211" i="2"/>
  <c r="DL211" i="2"/>
  <c r="DK211" i="2"/>
  <c r="DJ211" i="2"/>
  <c r="DJ210" i="2" s="1"/>
  <c r="DH211" i="2"/>
  <c r="DG211" i="2"/>
  <c r="DF211" i="2"/>
  <c r="DF210" i="2" s="1"/>
  <c r="DE211" i="2"/>
  <c r="DD211" i="2"/>
  <c r="DC211" i="2"/>
  <c r="DB211" i="2"/>
  <c r="DB210" i="2" s="1"/>
  <c r="DA211" i="2"/>
  <c r="CZ211" i="2"/>
  <c r="CY211" i="2"/>
  <c r="CX211" i="2"/>
  <c r="CX210" i="2" s="1"/>
  <c r="CW211" i="2"/>
  <c r="CV211" i="2"/>
  <c r="CU211" i="2"/>
  <c r="CT211" i="2"/>
  <c r="CT210" i="2" s="1"/>
  <c r="CS211" i="2"/>
  <c r="CR211" i="2"/>
  <c r="CQ211" i="2"/>
  <c r="CP211" i="2"/>
  <c r="CP210" i="2" s="1"/>
  <c r="CO211" i="2"/>
  <c r="CN211" i="2"/>
  <c r="CM211" i="2"/>
  <c r="CL211" i="2"/>
  <c r="CL210" i="2" s="1"/>
  <c r="CK211" i="2"/>
  <c r="CJ211" i="2"/>
  <c r="CI211" i="2"/>
  <c r="CH211" i="2"/>
  <c r="CH210" i="2" s="1"/>
  <c r="CG211" i="2"/>
  <c r="CF211" i="2"/>
  <c r="CE211" i="2"/>
  <c r="CD211" i="2"/>
  <c r="CD210" i="2" s="1"/>
  <c r="CC211" i="2"/>
  <c r="CB211" i="2"/>
  <c r="CA211" i="2"/>
  <c r="BZ211" i="2"/>
  <c r="BZ210" i="2" s="1"/>
  <c r="BY211" i="2"/>
  <c r="BX211" i="2"/>
  <c r="BW211" i="2"/>
  <c r="BV211" i="2"/>
  <c r="BV210" i="2" s="1"/>
  <c r="BU211" i="2"/>
  <c r="DW210" i="2"/>
  <c r="DK210" i="2"/>
  <c r="DG210" i="2"/>
  <c r="CY210" i="2"/>
  <c r="CU210" i="2"/>
  <c r="CQ210" i="2"/>
  <c r="CI210" i="2"/>
  <c r="CE210" i="2"/>
  <c r="CA210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DA209" i="2"/>
  <c r="CZ209" i="2"/>
  <c r="CY209" i="2"/>
  <c r="CX209" i="2"/>
  <c r="CW209" i="2"/>
  <c r="CV209" i="2"/>
  <c r="CU209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BZ209" i="2"/>
  <c r="BY209" i="2"/>
  <c r="BX209" i="2"/>
  <c r="BW209" i="2"/>
  <c r="BV209" i="2"/>
  <c r="BU209" i="2"/>
  <c r="ED208" i="2"/>
  <c r="EC208" i="2"/>
  <c r="EB208" i="2"/>
  <c r="EA208" i="2"/>
  <c r="DZ208" i="2"/>
  <c r="DY208" i="2"/>
  <c r="DX208" i="2"/>
  <c r="DX210" i="2" s="1"/>
  <c r="DW208" i="2"/>
  <c r="DV208" i="2"/>
  <c r="DU208" i="2"/>
  <c r="DT208" i="2"/>
  <c r="DT210" i="2" s="1"/>
  <c r="DS208" i="2"/>
  <c r="DR208" i="2"/>
  <c r="DQ208" i="2"/>
  <c r="DP208" i="2"/>
  <c r="DP210" i="2" s="1"/>
  <c r="DO208" i="2"/>
  <c r="DN208" i="2"/>
  <c r="DM208" i="2"/>
  <c r="DL208" i="2"/>
  <c r="DL210" i="2" s="1"/>
  <c r="DK208" i="2"/>
  <c r="DJ208" i="2"/>
  <c r="DI208" i="2"/>
  <c r="DH208" i="2"/>
  <c r="DH210" i="2" s="1"/>
  <c r="DG208" i="2"/>
  <c r="DF208" i="2"/>
  <c r="DE208" i="2"/>
  <c r="DD208" i="2"/>
  <c r="DD210" i="2" s="1"/>
  <c r="DC208" i="2"/>
  <c r="DC210" i="2" s="1"/>
  <c r="DB208" i="2"/>
  <c r="DA208" i="2"/>
  <c r="CZ208" i="2"/>
  <c r="CZ210" i="2" s="1"/>
  <c r="CY208" i="2"/>
  <c r="CX208" i="2"/>
  <c r="CW208" i="2"/>
  <c r="CV208" i="2"/>
  <c r="CV210" i="2" s="1"/>
  <c r="CU208" i="2"/>
  <c r="CT208" i="2"/>
  <c r="CS208" i="2"/>
  <c r="CR208" i="2"/>
  <c r="CR210" i="2" s="1"/>
  <c r="CQ208" i="2"/>
  <c r="CP208" i="2"/>
  <c r="CO208" i="2"/>
  <c r="CN208" i="2"/>
  <c r="CN210" i="2" s="1"/>
  <c r="CM208" i="2"/>
  <c r="CM210" i="2" s="1"/>
  <c r="CL208" i="2"/>
  <c r="CK208" i="2"/>
  <c r="CJ208" i="2"/>
  <c r="CJ210" i="2" s="1"/>
  <c r="CI208" i="2"/>
  <c r="CH208" i="2"/>
  <c r="CG208" i="2"/>
  <c r="CF208" i="2"/>
  <c r="CF210" i="2" s="1"/>
  <c r="CE208" i="2"/>
  <c r="CD208" i="2"/>
  <c r="CC208" i="2"/>
  <c r="CB208" i="2"/>
  <c r="CB210" i="2" s="1"/>
  <c r="CA208" i="2"/>
  <c r="BZ208" i="2"/>
  <c r="BY208" i="2"/>
  <c r="BX208" i="2"/>
  <c r="BX210" i="2" s="1"/>
  <c r="BW208" i="2"/>
  <c r="BW210" i="2" s="1"/>
  <c r="BV208" i="2"/>
  <c r="BU208" i="2"/>
  <c r="EB207" i="2"/>
  <c r="DZ207" i="2"/>
  <c r="DX207" i="2"/>
  <c r="DW207" i="2"/>
  <c r="DV207" i="2"/>
  <c r="DT207" i="2"/>
  <c r="DS207" i="2"/>
  <c r="DR207" i="2"/>
  <c r="DP207" i="2"/>
  <c r="DO207" i="2"/>
  <c r="DN207" i="2"/>
  <c r="DM207" i="2"/>
  <c r="DL207" i="2"/>
  <c r="DK207" i="2"/>
  <c r="DJ207" i="2"/>
  <c r="DH207" i="2"/>
  <c r="DG207" i="2"/>
  <c r="DF207" i="2"/>
  <c r="DE207" i="2"/>
  <c r="DD207" i="2"/>
  <c r="DC207" i="2"/>
  <c r="DB207" i="2"/>
  <c r="DA207" i="2"/>
  <c r="CZ207" i="2"/>
  <c r="CY207" i="2"/>
  <c r="CX207" i="2"/>
  <c r="CW207" i="2"/>
  <c r="CV207" i="2"/>
  <c r="CU207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BZ207" i="2"/>
  <c r="BY207" i="2"/>
  <c r="BX207" i="2"/>
  <c r="BW207" i="2"/>
  <c r="BV207" i="2"/>
  <c r="BU207" i="2"/>
  <c r="EG204" i="2"/>
  <c r="EF204" i="2"/>
  <c r="EE204" i="2"/>
  <c r="EC204" i="2"/>
  <c r="EC203" i="2" s="1"/>
  <c r="EA204" i="2"/>
  <c r="DZ204" i="2"/>
  <c r="DZ203" i="2" s="1"/>
  <c r="DY204" i="2"/>
  <c r="DW204" i="2"/>
  <c r="DV204" i="2"/>
  <c r="DV203" i="2" s="1"/>
  <c r="DU204" i="2"/>
  <c r="DU203" i="2" s="1"/>
  <c r="DT204" i="2"/>
  <c r="DR204" i="2"/>
  <c r="DR203" i="2" s="1"/>
  <c r="DQ204" i="2"/>
  <c r="DP204" i="2"/>
  <c r="DO204" i="2"/>
  <c r="DN204" i="2"/>
  <c r="DN203" i="2" s="1"/>
  <c r="DM204" i="2"/>
  <c r="DL204" i="2"/>
  <c r="DK204" i="2"/>
  <c r="DJ204" i="2"/>
  <c r="DJ203" i="2" s="1"/>
  <c r="DI204" i="2"/>
  <c r="DH204" i="2"/>
  <c r="DG204" i="2"/>
  <c r="DF204" i="2"/>
  <c r="DF203" i="2" s="1"/>
  <c r="DE204" i="2"/>
  <c r="DD204" i="2"/>
  <c r="DB204" i="2"/>
  <c r="DB203" i="2" s="1"/>
  <c r="DA204" i="2"/>
  <c r="DA203" i="2" s="1"/>
  <c r="CZ204" i="2"/>
  <c r="CY204" i="2"/>
  <c r="CX204" i="2"/>
  <c r="CX203" i="2" s="1"/>
  <c r="CW204" i="2"/>
  <c r="CW203" i="2" s="1"/>
  <c r="CV204" i="2"/>
  <c r="CU204" i="2"/>
  <c r="CT204" i="2"/>
  <c r="CT203" i="2" s="1"/>
  <c r="CS204" i="2"/>
  <c r="CS203" i="2" s="1"/>
  <c r="CR204" i="2"/>
  <c r="CQ204" i="2"/>
  <c r="CP204" i="2"/>
  <c r="CP203" i="2" s="1"/>
  <c r="CO204" i="2"/>
  <c r="CO203" i="2" s="1"/>
  <c r="CN204" i="2"/>
  <c r="CM204" i="2"/>
  <c r="CL204" i="2"/>
  <c r="CL203" i="2" s="1"/>
  <c r="CK204" i="2"/>
  <c r="CK203" i="2" s="1"/>
  <c r="CJ204" i="2"/>
  <c r="CI204" i="2"/>
  <c r="CH204" i="2"/>
  <c r="CH203" i="2" s="1"/>
  <c r="CG204" i="2"/>
  <c r="CG203" i="2" s="1"/>
  <c r="CF204" i="2"/>
  <c r="CE204" i="2"/>
  <c r="CD204" i="2"/>
  <c r="CD203" i="2" s="1"/>
  <c r="CC204" i="2"/>
  <c r="CC203" i="2" s="1"/>
  <c r="CB204" i="2"/>
  <c r="CA204" i="2"/>
  <c r="BZ204" i="2"/>
  <c r="BZ203" i="2" s="1"/>
  <c r="BY204" i="2"/>
  <c r="BY203" i="2" s="1"/>
  <c r="BX204" i="2"/>
  <c r="BW204" i="2"/>
  <c r="BV204" i="2"/>
  <c r="BV203" i="2" s="1"/>
  <c r="BU204" i="2"/>
  <c r="BU203" i="2" s="1"/>
  <c r="EA203" i="2"/>
  <c r="DK203" i="2"/>
  <c r="CU203" i="2"/>
  <c r="CE203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DA202" i="2"/>
  <c r="CZ202" i="2"/>
  <c r="CY202" i="2"/>
  <c r="CX202" i="2"/>
  <c r="CW202" i="2"/>
  <c r="CV202" i="2"/>
  <c r="CU202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BZ202" i="2"/>
  <c r="BY202" i="2"/>
  <c r="BX202" i="2"/>
  <c r="BW202" i="2"/>
  <c r="BV202" i="2"/>
  <c r="BU202" i="2"/>
  <c r="ED201" i="2"/>
  <c r="EC201" i="2"/>
  <c r="EB201" i="2"/>
  <c r="EA201" i="2"/>
  <c r="DZ201" i="2"/>
  <c r="DY201" i="2"/>
  <c r="DX201" i="2"/>
  <c r="DW201" i="2"/>
  <c r="DW203" i="2" s="1"/>
  <c r="DV201" i="2"/>
  <c r="DU201" i="2"/>
  <c r="DT201" i="2"/>
  <c r="DT203" i="2" s="1"/>
  <c r="DS201" i="2"/>
  <c r="DR201" i="2"/>
  <c r="DQ201" i="2"/>
  <c r="DP201" i="2"/>
  <c r="DP203" i="2" s="1"/>
  <c r="DO201" i="2"/>
  <c r="DO203" i="2" s="1"/>
  <c r="DN201" i="2"/>
  <c r="DM201" i="2"/>
  <c r="DL201" i="2"/>
  <c r="DL203" i="2" s="1"/>
  <c r="DK201" i="2"/>
  <c r="DJ201" i="2"/>
  <c r="DI201" i="2"/>
  <c r="DH201" i="2"/>
  <c r="DH203" i="2" s="1"/>
  <c r="DG201" i="2"/>
  <c r="DG203" i="2" s="1"/>
  <c r="DF201" i="2"/>
  <c r="DE201" i="2"/>
  <c r="DD201" i="2"/>
  <c r="DD203" i="2" s="1"/>
  <c r="DC201" i="2"/>
  <c r="DB201" i="2"/>
  <c r="DA201" i="2"/>
  <c r="CZ201" i="2"/>
  <c r="CZ203" i="2" s="1"/>
  <c r="CY201" i="2"/>
  <c r="CY203" i="2" s="1"/>
  <c r="CX201" i="2"/>
  <c r="CW201" i="2"/>
  <c r="CV201" i="2"/>
  <c r="CV203" i="2" s="1"/>
  <c r="CU201" i="2"/>
  <c r="CT201" i="2"/>
  <c r="CS201" i="2"/>
  <c r="CR201" i="2"/>
  <c r="CR203" i="2" s="1"/>
  <c r="CQ201" i="2"/>
  <c r="CQ203" i="2" s="1"/>
  <c r="CP201" i="2"/>
  <c r="CO201" i="2"/>
  <c r="CN201" i="2"/>
  <c r="CN203" i="2" s="1"/>
  <c r="CM201" i="2"/>
  <c r="CM203" i="2" s="1"/>
  <c r="CL201" i="2"/>
  <c r="CK201" i="2"/>
  <c r="CJ201" i="2"/>
  <c r="CJ203" i="2" s="1"/>
  <c r="CI201" i="2"/>
  <c r="CI203" i="2" s="1"/>
  <c r="CH201" i="2"/>
  <c r="CG201" i="2"/>
  <c r="CF201" i="2"/>
  <c r="CF203" i="2" s="1"/>
  <c r="CE201" i="2"/>
  <c r="CD201" i="2"/>
  <c r="CC201" i="2"/>
  <c r="CB201" i="2"/>
  <c r="CB203" i="2" s="1"/>
  <c r="CA201" i="2"/>
  <c r="CA203" i="2" s="1"/>
  <c r="BZ201" i="2"/>
  <c r="BY201" i="2"/>
  <c r="BX201" i="2"/>
  <c r="BX203" i="2" s="1"/>
  <c r="BW201" i="2"/>
  <c r="BW203" i="2" s="1"/>
  <c r="BV201" i="2"/>
  <c r="BU201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DA200" i="2"/>
  <c r="CZ200" i="2"/>
  <c r="CY200" i="2"/>
  <c r="CX200" i="2"/>
  <c r="CW200" i="2"/>
  <c r="CV200" i="2"/>
  <c r="CU200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BZ200" i="2"/>
  <c r="BY200" i="2"/>
  <c r="BX200" i="2"/>
  <c r="BW200" i="2"/>
  <c r="BV200" i="2"/>
  <c r="BU200" i="2"/>
  <c r="DY196" i="2"/>
  <c r="DQ196" i="2"/>
  <c r="DI196" i="2"/>
  <c r="DE196" i="2"/>
  <c r="DA196" i="2"/>
  <c r="CS196" i="2"/>
  <c r="CO196" i="2"/>
  <c r="CK196" i="2"/>
  <c r="CC196" i="2"/>
  <c r="BY196" i="2"/>
  <c r="BU196" i="2"/>
  <c r="DK195" i="2"/>
  <c r="DC195" i="2"/>
  <c r="CU195" i="2"/>
  <c r="CM195" i="2"/>
  <c r="CE195" i="2"/>
  <c r="BW195" i="2"/>
  <c r="EC194" i="2"/>
  <c r="EC195" i="2" s="1"/>
  <c r="DM194" i="2"/>
  <c r="DM195" i="2" s="1"/>
  <c r="CW194" i="2"/>
  <c r="CW195" i="2" s="1"/>
  <c r="CG194" i="2"/>
  <c r="CG195" i="2" s="1"/>
  <c r="DO193" i="2"/>
  <c r="DG193" i="2"/>
  <c r="CI193" i="2"/>
  <c r="CA193" i="2"/>
  <c r="EC192" i="2"/>
  <c r="EC193" i="2" s="1"/>
  <c r="DY192" i="2"/>
  <c r="DY193" i="2" s="1"/>
  <c r="DQ192" i="2"/>
  <c r="DQ193" i="2" s="1"/>
  <c r="DM192" i="2"/>
  <c r="DM193" i="2" s="1"/>
  <c r="DI192" i="2"/>
  <c r="DI193" i="2" s="1"/>
  <c r="DA192" i="2"/>
  <c r="DA193" i="2" s="1"/>
  <c r="CW192" i="2"/>
  <c r="CW193" i="2" s="1"/>
  <c r="CS192" i="2"/>
  <c r="CS193" i="2" s="1"/>
  <c r="CK192" i="2"/>
  <c r="CK193" i="2" s="1"/>
  <c r="CG192" i="2"/>
  <c r="CG193" i="2" s="1"/>
  <c r="CC192" i="2"/>
  <c r="CC193" i="2" s="1"/>
  <c r="BU192" i="2"/>
  <c r="BU193" i="2" s="1"/>
  <c r="ED189" i="2"/>
  <c r="ED196" i="2" s="1"/>
  <c r="DR189" i="2"/>
  <c r="DR196" i="2" s="1"/>
  <c r="DN189" i="2"/>
  <c r="DN196" i="2" s="1"/>
  <c r="DJ189" i="2"/>
  <c r="DJ196" i="2" s="1"/>
  <c r="DF189" i="2"/>
  <c r="DF196" i="2" s="1"/>
  <c r="DB189" i="2"/>
  <c r="DB196" i="2" s="1"/>
  <c r="CX189" i="2"/>
  <c r="CX196" i="2" s="1"/>
  <c r="CT189" i="2"/>
  <c r="CT196" i="2" s="1"/>
  <c r="CP189" i="2"/>
  <c r="CP196" i="2" s="1"/>
  <c r="CL189" i="2"/>
  <c r="CL196" i="2" s="1"/>
  <c r="CH189" i="2"/>
  <c r="CH196" i="2" s="1"/>
  <c r="CD189" i="2"/>
  <c r="CD196" i="2" s="1"/>
  <c r="BZ189" i="2"/>
  <c r="BZ196" i="2" s="1"/>
  <c r="BV189" i="2"/>
  <c r="BV196" i="2" s="1"/>
  <c r="BI189" i="2"/>
  <c r="BE189" i="2"/>
  <c r="BA189" i="2"/>
  <c r="AW189" i="2"/>
  <c r="AS189" i="2"/>
  <c r="AO189" i="2"/>
  <c r="AK189" i="2"/>
  <c r="ED186" i="2"/>
  <c r="EC186" i="2"/>
  <c r="EB186" i="2"/>
  <c r="EA186" i="2"/>
  <c r="EA189" i="2" s="1"/>
  <c r="EA196" i="2" s="1"/>
  <c r="DZ186" i="2"/>
  <c r="DY186" i="2"/>
  <c r="DU186" i="2"/>
  <c r="DT186" i="2"/>
  <c r="DS186" i="2"/>
  <c r="DR186" i="2"/>
  <c r="DQ186" i="2"/>
  <c r="DP186" i="2"/>
  <c r="DP189" i="2" s="1"/>
  <c r="DP196" i="2" s="1"/>
  <c r="DO186" i="2"/>
  <c r="DO189" i="2" s="1"/>
  <c r="DO196" i="2" s="1"/>
  <c r="DN186" i="2"/>
  <c r="DM186" i="2"/>
  <c r="DL186" i="2"/>
  <c r="DL189" i="2" s="1"/>
  <c r="DL196" i="2" s="1"/>
  <c r="DK186" i="2"/>
  <c r="DK189" i="2" s="1"/>
  <c r="DK196" i="2" s="1"/>
  <c r="DJ186" i="2"/>
  <c r="DI186" i="2"/>
  <c r="DH186" i="2"/>
  <c r="DH189" i="2" s="1"/>
  <c r="DH196" i="2" s="1"/>
  <c r="DG186" i="2"/>
  <c r="DG189" i="2" s="1"/>
  <c r="DG196" i="2" s="1"/>
  <c r="DF186" i="2"/>
  <c r="DE186" i="2"/>
  <c r="DD186" i="2"/>
  <c r="DD189" i="2" s="1"/>
  <c r="DD196" i="2" s="1"/>
  <c r="DC186" i="2"/>
  <c r="DC189" i="2" s="1"/>
  <c r="DC196" i="2" s="1"/>
  <c r="DB186" i="2"/>
  <c r="DA186" i="2"/>
  <c r="CZ186" i="2"/>
  <c r="CZ189" i="2" s="1"/>
  <c r="CZ196" i="2" s="1"/>
  <c r="CX186" i="2"/>
  <c r="CW186" i="2"/>
  <c r="CV186" i="2"/>
  <c r="CV189" i="2" s="1"/>
  <c r="CV196" i="2" s="1"/>
  <c r="CU186" i="2"/>
  <c r="CU189" i="2" s="1"/>
  <c r="CU196" i="2" s="1"/>
  <c r="CT186" i="2"/>
  <c r="CS186" i="2"/>
  <c r="CR186" i="2"/>
  <c r="CR189" i="2" s="1"/>
  <c r="CR196" i="2" s="1"/>
  <c r="CP186" i="2"/>
  <c r="CO186" i="2"/>
  <c r="CN186" i="2"/>
  <c r="CN189" i="2" s="1"/>
  <c r="CN196" i="2" s="1"/>
  <c r="CM186" i="2"/>
  <c r="CM189" i="2" s="1"/>
  <c r="CM196" i="2" s="1"/>
  <c r="CL186" i="2"/>
  <c r="CK186" i="2"/>
  <c r="CJ186" i="2"/>
  <c r="CJ189" i="2" s="1"/>
  <c r="CJ196" i="2" s="1"/>
  <c r="CI186" i="2"/>
  <c r="CI189" i="2" s="1"/>
  <c r="CI196" i="2" s="1"/>
  <c r="CH186" i="2"/>
  <c r="CG186" i="2"/>
  <c r="CF186" i="2"/>
  <c r="CF189" i="2" s="1"/>
  <c r="CF196" i="2" s="1"/>
  <c r="CE186" i="2"/>
  <c r="CE189" i="2" s="1"/>
  <c r="CE196" i="2" s="1"/>
  <c r="CD186" i="2"/>
  <c r="CC186" i="2"/>
  <c r="CB186" i="2"/>
  <c r="CB189" i="2" s="1"/>
  <c r="CB196" i="2" s="1"/>
  <c r="CA186" i="2"/>
  <c r="CA189" i="2" s="1"/>
  <c r="CA196" i="2" s="1"/>
  <c r="BZ186" i="2"/>
  <c r="BY186" i="2"/>
  <c r="BX186" i="2"/>
  <c r="BX189" i="2" s="1"/>
  <c r="BX196" i="2" s="1"/>
  <c r="BW186" i="2"/>
  <c r="BW189" i="2" s="1"/>
  <c r="BW196" i="2" s="1"/>
  <c r="BV186" i="2"/>
  <c r="BU186" i="2"/>
  <c r="ED185" i="2"/>
  <c r="ED192" i="2" s="1"/>
  <c r="EC185" i="2"/>
  <c r="EC189" i="2" s="1"/>
  <c r="EC196" i="2" s="1"/>
  <c r="EA185" i="2"/>
  <c r="EA192" i="2" s="1"/>
  <c r="EA194" i="2" s="1"/>
  <c r="EA195" i="2" s="1"/>
  <c r="DY185" i="2"/>
  <c r="DY189" i="2" s="1"/>
  <c r="DX185" i="2"/>
  <c r="DW185" i="2"/>
  <c r="DV185" i="2"/>
  <c r="DR185" i="2"/>
  <c r="DR192" i="2" s="1"/>
  <c r="DQ185" i="2"/>
  <c r="DQ189" i="2" s="1"/>
  <c r="DP185" i="2"/>
  <c r="DP192" i="2" s="1"/>
  <c r="DO185" i="2"/>
  <c r="DO192" i="2" s="1"/>
  <c r="DO194" i="2" s="1"/>
  <c r="DO195" i="2" s="1"/>
  <c r="DN185" i="2"/>
  <c r="DN192" i="2" s="1"/>
  <c r="DM185" i="2"/>
  <c r="DM189" i="2" s="1"/>
  <c r="DM196" i="2" s="1"/>
  <c r="DL185" i="2"/>
  <c r="DL192" i="2" s="1"/>
  <c r="DK185" i="2"/>
  <c r="DK192" i="2" s="1"/>
  <c r="DK194" i="2" s="1"/>
  <c r="DJ185" i="2"/>
  <c r="DJ192" i="2" s="1"/>
  <c r="DI185" i="2"/>
  <c r="DI189" i="2" s="1"/>
  <c r="DH185" i="2"/>
  <c r="DH192" i="2" s="1"/>
  <c r="DG185" i="2"/>
  <c r="DG192" i="2" s="1"/>
  <c r="DG194" i="2" s="1"/>
  <c r="DG195" i="2" s="1"/>
  <c r="DF185" i="2"/>
  <c r="DF192" i="2" s="1"/>
  <c r="DE185" i="2"/>
  <c r="DE189" i="2" s="1"/>
  <c r="DD185" i="2"/>
  <c r="DD192" i="2" s="1"/>
  <c r="DC185" i="2"/>
  <c r="DC192" i="2" s="1"/>
  <c r="DC194" i="2" s="1"/>
  <c r="DB185" i="2"/>
  <c r="DB192" i="2" s="1"/>
  <c r="DA185" i="2"/>
  <c r="DA189" i="2" s="1"/>
  <c r="CZ185" i="2"/>
  <c r="CZ192" i="2" s="1"/>
  <c r="CY185" i="2"/>
  <c r="CX185" i="2"/>
  <c r="CX192" i="2" s="1"/>
  <c r="CW185" i="2"/>
  <c r="CW189" i="2" s="1"/>
  <c r="CW196" i="2" s="1"/>
  <c r="CV185" i="2"/>
  <c r="CV192" i="2" s="1"/>
  <c r="CU185" i="2"/>
  <c r="CU192" i="2" s="1"/>
  <c r="CU194" i="2" s="1"/>
  <c r="CT185" i="2"/>
  <c r="CT192" i="2" s="1"/>
  <c r="CS185" i="2"/>
  <c r="CS189" i="2" s="1"/>
  <c r="CR185" i="2"/>
  <c r="CR192" i="2" s="1"/>
  <c r="CQ185" i="2"/>
  <c r="CP185" i="2"/>
  <c r="CP192" i="2" s="1"/>
  <c r="CO185" i="2"/>
  <c r="CO189" i="2" s="1"/>
  <c r="CN185" i="2"/>
  <c r="CN192" i="2" s="1"/>
  <c r="CM185" i="2"/>
  <c r="CM192" i="2" s="1"/>
  <c r="CM194" i="2" s="1"/>
  <c r="CL185" i="2"/>
  <c r="CL192" i="2" s="1"/>
  <c r="CK185" i="2"/>
  <c r="CK189" i="2" s="1"/>
  <c r="CJ185" i="2"/>
  <c r="CJ192" i="2" s="1"/>
  <c r="CI185" i="2"/>
  <c r="CI192" i="2" s="1"/>
  <c r="CI194" i="2" s="1"/>
  <c r="CI195" i="2" s="1"/>
  <c r="CH185" i="2"/>
  <c r="CH192" i="2" s="1"/>
  <c r="CG185" i="2"/>
  <c r="CG189" i="2" s="1"/>
  <c r="CG196" i="2" s="1"/>
  <c r="CF185" i="2"/>
  <c r="CF192" i="2" s="1"/>
  <c r="CE185" i="2"/>
  <c r="CE192" i="2" s="1"/>
  <c r="CE194" i="2" s="1"/>
  <c r="CD185" i="2"/>
  <c r="CD192" i="2" s="1"/>
  <c r="CC185" i="2"/>
  <c r="CC189" i="2" s="1"/>
  <c r="CB185" i="2"/>
  <c r="CB192" i="2" s="1"/>
  <c r="CA185" i="2"/>
  <c r="CA192" i="2" s="1"/>
  <c r="CA194" i="2" s="1"/>
  <c r="CA195" i="2" s="1"/>
  <c r="BZ185" i="2"/>
  <c r="BZ192" i="2" s="1"/>
  <c r="BY185" i="2"/>
  <c r="BY189" i="2" s="1"/>
  <c r="BX185" i="2"/>
  <c r="BX192" i="2" s="1"/>
  <c r="BW185" i="2"/>
  <c r="BW192" i="2" s="1"/>
  <c r="BW194" i="2" s="1"/>
  <c r="BV185" i="2"/>
  <c r="BV192" i="2" s="1"/>
  <c r="BU185" i="2"/>
  <c r="BU189" i="2" s="1"/>
  <c r="BI185" i="2"/>
  <c r="BE185" i="2"/>
  <c r="BA185" i="2"/>
  <c r="AW185" i="2"/>
  <c r="AS185" i="2"/>
  <c r="AO185" i="2"/>
  <c r="AK185" i="2"/>
  <c r="EE184" i="2"/>
  <c r="EF184" i="2" s="1"/>
  <c r="EG184" i="2" s="1"/>
  <c r="EH184" i="2" s="1"/>
  <c r="EI184" i="2" s="1"/>
  <c r="EJ184" i="2" s="1"/>
  <c r="EK184" i="2" s="1"/>
  <c r="EL184" i="2" s="1"/>
  <c r="EM184" i="2" s="1"/>
  <c r="EN184" i="2" s="1"/>
  <c r="EO184" i="2" s="1"/>
  <c r="EP184" i="2" s="1"/>
  <c r="CK184" i="2"/>
  <c r="DZ183" i="2"/>
  <c r="DU183" i="2"/>
  <c r="DT183" i="2"/>
  <c r="DS183" i="2"/>
  <c r="ED182" i="2"/>
  <c r="EC182" i="2"/>
  <c r="EA182" i="2"/>
  <c r="DY182" i="2"/>
  <c r="DX182" i="2"/>
  <c r="DW182" i="2"/>
  <c r="DV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CZ182" i="2"/>
  <c r="CY182" i="2"/>
  <c r="CX182" i="2"/>
  <c r="CW182" i="2"/>
  <c r="CV182" i="2"/>
  <c r="CU182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A182" i="2"/>
  <c r="BZ182" i="2"/>
  <c r="BY182" i="2"/>
  <c r="BX182" i="2"/>
  <c r="BW182" i="2"/>
  <c r="BV182" i="2"/>
  <c r="BU182" i="2"/>
  <c r="EE180" i="2"/>
  <c r="ED180" i="2"/>
  <c r="EC180" i="2"/>
  <c r="EA180" i="2"/>
  <c r="DY180" i="2"/>
  <c r="DU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A180" i="2"/>
  <c r="CZ180" i="2"/>
  <c r="CY180" i="2"/>
  <c r="CX180" i="2"/>
  <c r="CW180" i="2"/>
  <c r="CV180" i="2"/>
  <c r="CU180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A180" i="2"/>
  <c r="BZ180" i="2"/>
  <c r="BY180" i="2"/>
  <c r="BX180" i="2"/>
  <c r="BW180" i="2"/>
  <c r="BV180" i="2"/>
  <c r="BU180" i="2"/>
  <c r="T180" i="2"/>
  <c r="S180" i="2"/>
  <c r="R180" i="2"/>
  <c r="Q180" i="2"/>
  <c r="P180" i="2"/>
  <c r="O180" i="2"/>
  <c r="N180" i="2"/>
  <c r="DX179" i="2"/>
  <c r="DX180" i="2" s="1"/>
  <c r="DW179" i="2"/>
  <c r="DW180" i="2" s="1"/>
  <c r="DV179" i="2"/>
  <c r="DV180" i="2" s="1"/>
  <c r="DU179" i="2"/>
  <c r="BT179" i="2"/>
  <c r="BS179" i="2"/>
  <c r="EP179" i="2"/>
  <c r="EO179" i="2"/>
  <c r="EN179" i="2"/>
  <c r="EM179" i="2"/>
  <c r="EL179" i="2"/>
  <c r="EE179" i="2"/>
  <c r="EE178" i="2"/>
  <c r="DZ178" i="2"/>
  <c r="DZ182" i="2" s="1"/>
  <c r="DU178" i="2"/>
  <c r="DU182" i="2" s="1"/>
  <c r="DT178" i="2"/>
  <c r="DT182" i="2" s="1"/>
  <c r="DS178" i="2"/>
  <c r="DB178" i="2"/>
  <c r="DB182" i="2" s="1"/>
  <c r="DA178" i="2"/>
  <c r="DA182" i="2" s="1"/>
  <c r="BP174" i="2"/>
  <c r="AZ174" i="2"/>
  <c r="AJ174" i="2"/>
  <c r="BP173" i="2"/>
  <c r="BO173" i="2"/>
  <c r="BO174" i="2" s="1"/>
  <c r="BL173" i="2"/>
  <c r="BL174" i="2" s="1"/>
  <c r="BK173" i="2"/>
  <c r="BK174" i="2" s="1"/>
  <c r="BI173" i="2"/>
  <c r="BI174" i="2" s="1"/>
  <c r="BH173" i="2"/>
  <c r="BH174" i="2" s="1"/>
  <c r="BG173" i="2"/>
  <c r="BG174" i="2" s="1"/>
  <c r="BD173" i="2"/>
  <c r="BD174" i="2" s="1"/>
  <c r="BC173" i="2"/>
  <c r="BC174" i="2" s="1"/>
  <c r="AZ173" i="2"/>
  <c r="AY173" i="2"/>
  <c r="AY174" i="2" s="1"/>
  <c r="AV173" i="2"/>
  <c r="AV174" i="2" s="1"/>
  <c r="AU173" i="2"/>
  <c r="AU174" i="2" s="1"/>
  <c r="AS173" i="2"/>
  <c r="AS174" i="2" s="1"/>
  <c r="AR173" i="2"/>
  <c r="AR174" i="2" s="1"/>
  <c r="AQ173" i="2"/>
  <c r="AQ174" i="2" s="1"/>
  <c r="AN173" i="2"/>
  <c r="AN174" i="2" s="1"/>
  <c r="AM173" i="2"/>
  <c r="AM174" i="2" s="1"/>
  <c r="AJ173" i="2"/>
  <c r="AI173" i="2"/>
  <c r="AI174" i="2" s="1"/>
  <c r="L174" i="2"/>
  <c r="K174" i="2"/>
  <c r="H174" i="2"/>
  <c r="G174" i="2"/>
  <c r="M173" i="2"/>
  <c r="M174" i="2" s="1"/>
  <c r="L173" i="2"/>
  <c r="K173" i="2"/>
  <c r="J173" i="2"/>
  <c r="J174" i="2" s="1"/>
  <c r="I173" i="2"/>
  <c r="I174" i="2" s="1"/>
  <c r="H173" i="2"/>
  <c r="G173" i="2"/>
  <c r="F173" i="2"/>
  <c r="F174" i="2" s="1"/>
  <c r="E173" i="2"/>
  <c r="E174" i="2" s="1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EP174" i="2"/>
  <c r="EO174" i="2"/>
  <c r="EN174" i="2"/>
  <c r="EM174" i="2"/>
  <c r="EL174" i="2"/>
  <c r="EK174" i="2"/>
  <c r="EJ174" i="2"/>
  <c r="EI174" i="2"/>
  <c r="EH174" i="2"/>
  <c r="EG174" i="2"/>
  <c r="EF174" i="2"/>
  <c r="EE171" i="2"/>
  <c r="EE173" i="2" s="1"/>
  <c r="DB171" i="2"/>
  <c r="DC171" i="2" s="1"/>
  <c r="DA171" i="2"/>
  <c r="CX171" i="2"/>
  <c r="CX345" i="2" s="1"/>
  <c r="CS171" i="2"/>
  <c r="CO171" i="2"/>
  <c r="CK171" i="2"/>
  <c r="CG171" i="2"/>
  <c r="CC171" i="2"/>
  <c r="BY171" i="2"/>
  <c r="BU171" i="2"/>
  <c r="BQ171" i="2"/>
  <c r="BR173" i="2" s="1"/>
  <c r="BR174" i="2" s="1"/>
  <c r="BM171" i="2"/>
  <c r="BN173" i="2" s="1"/>
  <c r="BN174" i="2" s="1"/>
  <c r="BI171" i="2"/>
  <c r="BJ173" i="2" s="1"/>
  <c r="BJ174" i="2" s="1"/>
  <c r="BE171" i="2"/>
  <c r="BF173" i="2" s="1"/>
  <c r="BF174" i="2" s="1"/>
  <c r="BA171" i="2"/>
  <c r="BB173" i="2" s="1"/>
  <c r="BB174" i="2" s="1"/>
  <c r="AW171" i="2"/>
  <c r="AX173" i="2" s="1"/>
  <c r="AX174" i="2" s="1"/>
  <c r="AS171" i="2"/>
  <c r="AT173" i="2" s="1"/>
  <c r="AT174" i="2" s="1"/>
  <c r="AO171" i="2"/>
  <c r="AP173" i="2" s="1"/>
  <c r="AP174" i="2" s="1"/>
  <c r="AK171" i="2"/>
  <c r="AL173" i="2" s="1"/>
  <c r="AL174" i="2" s="1"/>
  <c r="AL175" i="2" s="1"/>
  <c r="Z171" i="2"/>
  <c r="Y171" i="2"/>
  <c r="X171" i="2"/>
  <c r="W171" i="2"/>
  <c r="V171" i="2"/>
  <c r="U171" i="2"/>
  <c r="EC168" i="2"/>
  <c r="DU168" i="2"/>
  <c r="DQ168" i="2"/>
  <c r="DM168" i="2"/>
  <c r="DI168" i="2"/>
  <c r="DE168" i="2"/>
  <c r="DA168" i="2"/>
  <c r="CW168" i="2"/>
  <c r="CS168" i="2"/>
  <c r="CO168" i="2"/>
  <c r="CK168" i="2"/>
  <c r="CG168" i="2"/>
  <c r="CC168" i="2"/>
  <c r="BY168" i="2"/>
  <c r="BU168" i="2"/>
  <c r="EC164" i="2"/>
  <c r="EC165" i="2" s="1"/>
  <c r="DU164" i="2"/>
  <c r="DU165" i="2" s="1"/>
  <c r="DQ164" i="2"/>
  <c r="DQ165" i="2" s="1"/>
  <c r="DM164" i="2"/>
  <c r="DM165" i="2" s="1"/>
  <c r="DI164" i="2"/>
  <c r="DI165" i="2" s="1"/>
  <c r="DE164" i="2"/>
  <c r="DE165" i="2" s="1"/>
  <c r="DA164" i="2"/>
  <c r="DA165" i="2" s="1"/>
  <c r="CW164" i="2"/>
  <c r="CW165" i="2" s="1"/>
  <c r="CS164" i="2"/>
  <c r="CS165" i="2" s="1"/>
  <c r="CO164" i="2"/>
  <c r="CO165" i="2" s="1"/>
  <c r="CK164" i="2"/>
  <c r="CK165" i="2" s="1"/>
  <c r="CG164" i="2"/>
  <c r="CG165" i="2" s="1"/>
  <c r="CC164" i="2"/>
  <c r="CC165" i="2" s="1"/>
  <c r="BY164" i="2"/>
  <c r="BY165" i="2" s="1"/>
  <c r="BU164" i="2"/>
  <c r="BU165" i="2" s="1"/>
  <c r="ED161" i="2"/>
  <c r="ED168" i="2" s="1"/>
  <c r="EC161" i="2"/>
  <c r="DZ161" i="2"/>
  <c r="DZ168" i="2" s="1"/>
  <c r="DV161" i="2"/>
  <c r="DV168" i="2" s="1"/>
  <c r="DU161" i="2"/>
  <c r="DR161" i="2"/>
  <c r="DR168" i="2" s="1"/>
  <c r="DQ161" i="2"/>
  <c r="DN161" i="2"/>
  <c r="DN168" i="2" s="1"/>
  <c r="DM161" i="2"/>
  <c r="DJ161" i="2"/>
  <c r="DJ168" i="2" s="1"/>
  <c r="DI161" i="2"/>
  <c r="DF161" i="2"/>
  <c r="DF168" i="2" s="1"/>
  <c r="DE161" i="2"/>
  <c r="DB161" i="2"/>
  <c r="DB168" i="2" s="1"/>
  <c r="DA161" i="2"/>
  <c r="CX161" i="2"/>
  <c r="CX168" i="2" s="1"/>
  <c r="CW161" i="2"/>
  <c r="CT161" i="2"/>
  <c r="CT168" i="2" s="1"/>
  <c r="CS161" i="2"/>
  <c r="CP161" i="2"/>
  <c r="CP168" i="2" s="1"/>
  <c r="CO161" i="2"/>
  <c r="CL161" i="2"/>
  <c r="CL168" i="2" s="1"/>
  <c r="CK161" i="2"/>
  <c r="CH161" i="2"/>
  <c r="CH168" i="2" s="1"/>
  <c r="CG161" i="2"/>
  <c r="CD161" i="2"/>
  <c r="CD168" i="2" s="1"/>
  <c r="CC161" i="2"/>
  <c r="BZ161" i="2"/>
  <c r="BZ168" i="2" s="1"/>
  <c r="BY161" i="2"/>
  <c r="BV161" i="2"/>
  <c r="BV168" i="2" s="1"/>
  <c r="BU161" i="2"/>
  <c r="ED158" i="2"/>
  <c r="EC158" i="2"/>
  <c r="EB158" i="2"/>
  <c r="EB157" i="2" s="1"/>
  <c r="EA158" i="2"/>
  <c r="EA157" i="2" s="1"/>
  <c r="DZ158" i="2"/>
  <c r="DV158" i="2"/>
  <c r="DU158" i="2"/>
  <c r="DT158" i="2"/>
  <c r="DT157" i="2" s="1"/>
  <c r="DS158" i="2"/>
  <c r="DS157" i="2" s="1"/>
  <c r="DR158" i="2"/>
  <c r="DQ158" i="2"/>
  <c r="DP158" i="2"/>
  <c r="DP157" i="2" s="1"/>
  <c r="DO158" i="2"/>
  <c r="DO157" i="2" s="1"/>
  <c r="DN158" i="2"/>
  <c r="DM158" i="2"/>
  <c r="DL158" i="2"/>
  <c r="DL157" i="2" s="1"/>
  <c r="DK158" i="2"/>
  <c r="DK157" i="2" s="1"/>
  <c r="DJ158" i="2"/>
  <c r="DI158" i="2"/>
  <c r="DH158" i="2"/>
  <c r="DH157" i="2" s="1"/>
  <c r="DG158" i="2"/>
  <c r="DG157" i="2" s="1"/>
  <c r="DF158" i="2"/>
  <c r="DE158" i="2"/>
  <c r="DD158" i="2"/>
  <c r="DD157" i="2" s="1"/>
  <c r="DC158" i="2"/>
  <c r="DC157" i="2" s="1"/>
  <c r="DB158" i="2"/>
  <c r="DA158" i="2"/>
  <c r="CZ158" i="2"/>
  <c r="CZ157" i="2" s="1"/>
  <c r="CY158" i="2"/>
  <c r="CY157" i="2" s="1"/>
  <c r="CX158" i="2"/>
  <c r="CW158" i="2"/>
  <c r="CV158" i="2"/>
  <c r="CV157" i="2" s="1"/>
  <c r="CU158" i="2"/>
  <c r="CU157" i="2" s="1"/>
  <c r="CT158" i="2"/>
  <c r="CS158" i="2"/>
  <c r="CR158" i="2"/>
  <c r="CR157" i="2" s="1"/>
  <c r="CQ158" i="2"/>
  <c r="CQ157" i="2" s="1"/>
  <c r="CP158" i="2"/>
  <c r="CO158" i="2"/>
  <c r="CN158" i="2"/>
  <c r="CN157" i="2" s="1"/>
  <c r="CM158" i="2"/>
  <c r="CM157" i="2" s="1"/>
  <c r="CL158" i="2"/>
  <c r="CK158" i="2"/>
  <c r="CJ158" i="2"/>
  <c r="CJ157" i="2" s="1"/>
  <c r="CI158" i="2"/>
  <c r="CI157" i="2" s="1"/>
  <c r="CH158" i="2"/>
  <c r="CG158" i="2"/>
  <c r="CF158" i="2"/>
  <c r="CF157" i="2" s="1"/>
  <c r="CE158" i="2"/>
  <c r="CE157" i="2" s="1"/>
  <c r="CD158" i="2"/>
  <c r="CC158" i="2"/>
  <c r="CB158" i="2"/>
  <c r="CB157" i="2" s="1"/>
  <c r="CA158" i="2"/>
  <c r="CA157" i="2" s="1"/>
  <c r="BZ158" i="2"/>
  <c r="BY158" i="2"/>
  <c r="BX158" i="2"/>
  <c r="BX157" i="2" s="1"/>
  <c r="BW158" i="2"/>
  <c r="BW157" i="2" s="1"/>
  <c r="BV158" i="2"/>
  <c r="BU158" i="2"/>
  <c r="ED157" i="2"/>
  <c r="EE157" i="2" s="1"/>
  <c r="EF157" i="2" s="1"/>
  <c r="EG157" i="2" s="1"/>
  <c r="EH157" i="2" s="1"/>
  <c r="EI157" i="2" s="1"/>
  <c r="EJ157" i="2" s="1"/>
  <c r="EK157" i="2" s="1"/>
  <c r="EL157" i="2" s="1"/>
  <c r="EM157" i="2" s="1"/>
  <c r="EN157" i="2" s="1"/>
  <c r="EO157" i="2" s="1"/>
  <c r="EP157" i="2" s="1"/>
  <c r="EC157" i="2"/>
  <c r="DZ157" i="2"/>
  <c r="DV157" i="2"/>
  <c r="DU157" i="2"/>
  <c r="DR157" i="2"/>
  <c r="DQ157" i="2"/>
  <c r="DN157" i="2"/>
  <c r="DM157" i="2"/>
  <c r="DJ157" i="2"/>
  <c r="DI157" i="2"/>
  <c r="DF157" i="2"/>
  <c r="DE157" i="2"/>
  <c r="DB157" i="2"/>
  <c r="DA157" i="2"/>
  <c r="CX157" i="2"/>
  <c r="CW157" i="2"/>
  <c r="CT157" i="2"/>
  <c r="CS157" i="2"/>
  <c r="CP157" i="2"/>
  <c r="CO157" i="2"/>
  <c r="CL157" i="2"/>
  <c r="CH157" i="2"/>
  <c r="CG157" i="2"/>
  <c r="CD157" i="2"/>
  <c r="CC157" i="2"/>
  <c r="BZ157" i="2"/>
  <c r="BY157" i="2"/>
  <c r="BV157" i="2"/>
  <c r="BU157" i="2"/>
  <c r="ED156" i="2"/>
  <c r="ED164" i="2" s="1"/>
  <c r="EC156" i="2"/>
  <c r="EB156" i="2"/>
  <c r="EB161" i="2" s="1"/>
  <c r="EB168" i="2" s="1"/>
  <c r="EA156" i="2"/>
  <c r="EA164" i="2" s="1"/>
  <c r="DZ156" i="2"/>
  <c r="DZ164" i="2" s="1"/>
  <c r="DY156" i="2"/>
  <c r="DX156" i="2"/>
  <c r="DW156" i="2"/>
  <c r="DV156" i="2"/>
  <c r="DV164" i="2" s="1"/>
  <c r="DU156" i="2"/>
  <c r="DT156" i="2"/>
  <c r="DT161" i="2" s="1"/>
  <c r="DT168" i="2" s="1"/>
  <c r="DS156" i="2"/>
  <c r="DS164" i="2" s="1"/>
  <c r="DR156" i="2"/>
  <c r="DR164" i="2" s="1"/>
  <c r="DQ156" i="2"/>
  <c r="DP156" i="2"/>
  <c r="DP161" i="2" s="1"/>
  <c r="DP168" i="2" s="1"/>
  <c r="DO156" i="2"/>
  <c r="DO164" i="2" s="1"/>
  <c r="DN156" i="2"/>
  <c r="DN164" i="2" s="1"/>
  <c r="DM156" i="2"/>
  <c r="DL156" i="2"/>
  <c r="DL161" i="2" s="1"/>
  <c r="DL168" i="2" s="1"/>
  <c r="DK156" i="2"/>
  <c r="DK164" i="2" s="1"/>
  <c r="DJ156" i="2"/>
  <c r="DJ164" i="2" s="1"/>
  <c r="DI156" i="2"/>
  <c r="DH156" i="2"/>
  <c r="DH161" i="2" s="1"/>
  <c r="DH168" i="2" s="1"/>
  <c r="DG156" i="2"/>
  <c r="DG164" i="2" s="1"/>
  <c r="DF156" i="2"/>
  <c r="DF164" i="2" s="1"/>
  <c r="DE156" i="2"/>
  <c r="DD156" i="2"/>
  <c r="DD161" i="2" s="1"/>
  <c r="DD168" i="2" s="1"/>
  <c r="DC156" i="2"/>
  <c r="DC164" i="2" s="1"/>
  <c r="DB156" i="2"/>
  <c r="DB164" i="2" s="1"/>
  <c r="DA156" i="2"/>
  <c r="CZ156" i="2"/>
  <c r="CZ161" i="2" s="1"/>
  <c r="CZ168" i="2" s="1"/>
  <c r="CY156" i="2"/>
  <c r="CY164" i="2" s="1"/>
  <c r="CX156" i="2"/>
  <c r="CX164" i="2" s="1"/>
  <c r="CW156" i="2"/>
  <c r="CV156" i="2"/>
  <c r="CV161" i="2" s="1"/>
  <c r="CV168" i="2" s="1"/>
  <c r="CU156" i="2"/>
  <c r="CU164" i="2" s="1"/>
  <c r="CT156" i="2"/>
  <c r="CT164" i="2" s="1"/>
  <c r="CS156" i="2"/>
  <c r="CR156" i="2"/>
  <c r="CR161" i="2" s="1"/>
  <c r="CR168" i="2" s="1"/>
  <c r="CQ156" i="2"/>
  <c r="CQ164" i="2" s="1"/>
  <c r="CP156" i="2"/>
  <c r="CP164" i="2" s="1"/>
  <c r="CO156" i="2"/>
  <c r="CN156" i="2"/>
  <c r="CN161" i="2" s="1"/>
  <c r="CN168" i="2" s="1"/>
  <c r="CM156" i="2"/>
  <c r="CM164" i="2" s="1"/>
  <c r="CL156" i="2"/>
  <c r="CL164" i="2" s="1"/>
  <c r="CK156" i="2"/>
  <c r="CJ156" i="2"/>
  <c r="CJ161" i="2" s="1"/>
  <c r="CJ168" i="2" s="1"/>
  <c r="CI156" i="2"/>
  <c r="CI164" i="2" s="1"/>
  <c r="CH156" i="2"/>
  <c r="CH164" i="2" s="1"/>
  <c r="CG156" i="2"/>
  <c r="CF156" i="2"/>
  <c r="CF161" i="2" s="1"/>
  <c r="CF168" i="2" s="1"/>
  <c r="CE156" i="2"/>
  <c r="CE164" i="2" s="1"/>
  <c r="CD156" i="2"/>
  <c r="CD164" i="2" s="1"/>
  <c r="CC156" i="2"/>
  <c r="CB156" i="2"/>
  <c r="CB161" i="2" s="1"/>
  <c r="CB168" i="2" s="1"/>
  <c r="CA156" i="2"/>
  <c r="CA164" i="2" s="1"/>
  <c r="BZ156" i="2"/>
  <c r="BZ164" i="2" s="1"/>
  <c r="BY156" i="2"/>
  <c r="BX156" i="2"/>
  <c r="BX161" i="2" s="1"/>
  <c r="BX168" i="2" s="1"/>
  <c r="BW156" i="2"/>
  <c r="BW164" i="2" s="1"/>
  <c r="BV156" i="2"/>
  <c r="BV164" i="2" s="1"/>
  <c r="BU156" i="2"/>
  <c r="M156" i="2"/>
  <c r="L156" i="2"/>
  <c r="K156" i="2"/>
  <c r="J156" i="2"/>
  <c r="I156" i="2"/>
  <c r="H156" i="2"/>
  <c r="G156" i="2"/>
  <c r="F156" i="2"/>
  <c r="E156" i="2"/>
  <c r="CK155" i="2"/>
  <c r="CK154" i="2" s="1"/>
  <c r="CK153" i="2"/>
  <c r="EH155" i="2"/>
  <c r="EI155" i="2" s="1"/>
  <c r="EJ155" i="2" s="1"/>
  <c r="EK155" i="2" s="1"/>
  <c r="EL155" i="2" s="1"/>
  <c r="EM155" i="2" s="1"/>
  <c r="EN155" i="2" s="1"/>
  <c r="EO155" i="2" s="1"/>
  <c r="EP155" i="2" s="1"/>
  <c r="EG155" i="2"/>
  <c r="EF155" i="2"/>
  <c r="EE155" i="2"/>
  <c r="ED154" i="2"/>
  <c r="EE154" i="2" s="1"/>
  <c r="EF154" i="2" s="1"/>
  <c r="EG154" i="2" s="1"/>
  <c r="EH154" i="2" s="1"/>
  <c r="EI154" i="2" s="1"/>
  <c r="EJ154" i="2" s="1"/>
  <c r="EK154" i="2" s="1"/>
  <c r="EL154" i="2" s="1"/>
  <c r="EM154" i="2" s="1"/>
  <c r="EN154" i="2" s="1"/>
  <c r="EO154" i="2" s="1"/>
  <c r="EP154" i="2" s="1"/>
  <c r="EC154" i="2"/>
  <c r="DZ154" i="2"/>
  <c r="DY154" i="2"/>
  <c r="DV154" i="2"/>
  <c r="DU154" i="2"/>
  <c r="DR154" i="2"/>
  <c r="DQ154" i="2"/>
  <c r="DN154" i="2"/>
  <c r="DM154" i="2"/>
  <c r="DJ154" i="2"/>
  <c r="DI154" i="2"/>
  <c r="DF154" i="2"/>
  <c r="DE154" i="2"/>
  <c r="DB154" i="2"/>
  <c r="DA154" i="2"/>
  <c r="CX154" i="2"/>
  <c r="CW154" i="2"/>
  <c r="CT154" i="2"/>
  <c r="CS154" i="2"/>
  <c r="CP154" i="2"/>
  <c r="CO154" i="2"/>
  <c r="CL154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DA153" i="2"/>
  <c r="CZ153" i="2"/>
  <c r="CY153" i="2"/>
  <c r="CX153" i="2"/>
  <c r="CW153" i="2"/>
  <c r="CV153" i="2"/>
  <c r="CU153" i="2"/>
  <c r="CT153" i="2"/>
  <c r="CS153" i="2"/>
  <c r="CR153" i="2"/>
  <c r="CQ153" i="2"/>
  <c r="CP153" i="2"/>
  <c r="CO153" i="2"/>
  <c r="CN153" i="2"/>
  <c r="CM153" i="2"/>
  <c r="CL153" i="2"/>
  <c r="CH154" i="2"/>
  <c r="CG154" i="2"/>
  <c r="CD154" i="2"/>
  <c r="CC154" i="2"/>
  <c r="BZ154" i="2"/>
  <c r="BY154" i="2"/>
  <c r="BV154" i="2"/>
  <c r="BU154" i="2"/>
  <c r="CJ153" i="2"/>
  <c r="CI153" i="2"/>
  <c r="CH153" i="2"/>
  <c r="CG153" i="2"/>
  <c r="CF153" i="2"/>
  <c r="CE153" i="2"/>
  <c r="CD153" i="2"/>
  <c r="CC153" i="2"/>
  <c r="CB153" i="2"/>
  <c r="CA153" i="2"/>
  <c r="BZ153" i="2"/>
  <c r="BY153" i="2"/>
  <c r="BX153" i="2"/>
  <c r="BW153" i="2"/>
  <c r="BV153" i="2"/>
  <c r="BU153" i="2"/>
  <c r="ED151" i="2"/>
  <c r="EC151" i="2"/>
  <c r="EB151" i="2"/>
  <c r="EA151" i="2"/>
  <c r="DZ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DA151" i="2"/>
  <c r="CZ151" i="2"/>
  <c r="CY151" i="2"/>
  <c r="CX151" i="2"/>
  <c r="CW151" i="2"/>
  <c r="CV151" i="2"/>
  <c r="CU151" i="2"/>
  <c r="CT151" i="2"/>
  <c r="CS151" i="2"/>
  <c r="CR151" i="2"/>
  <c r="CQ151" i="2"/>
  <c r="CP151" i="2"/>
  <c r="CO151" i="2"/>
  <c r="CN151" i="2"/>
  <c r="CM151" i="2"/>
  <c r="CL151" i="2"/>
  <c r="CK151" i="2"/>
  <c r="CJ151" i="2"/>
  <c r="CI151" i="2"/>
  <c r="CH151" i="2"/>
  <c r="CG151" i="2"/>
  <c r="CF151" i="2"/>
  <c r="CE151" i="2"/>
  <c r="CD151" i="2"/>
  <c r="CC151" i="2"/>
  <c r="CB151" i="2"/>
  <c r="CA151" i="2"/>
  <c r="BZ151" i="2"/>
  <c r="BY151" i="2"/>
  <c r="BX151" i="2"/>
  <c r="BW151" i="2"/>
  <c r="BV151" i="2"/>
  <c r="BU151" i="2"/>
  <c r="T151" i="2"/>
  <c r="S151" i="2"/>
  <c r="R151" i="2"/>
  <c r="Q151" i="2"/>
  <c r="P151" i="2"/>
  <c r="O151" i="2"/>
  <c r="N151" i="2"/>
  <c r="DY150" i="2"/>
  <c r="DY151" i="2" s="1"/>
  <c r="DX150" i="2"/>
  <c r="DX151" i="2" s="1"/>
  <c r="DW150" i="2"/>
  <c r="DW151" i="2" s="1"/>
  <c r="BT150" i="2"/>
  <c r="BS150" i="2"/>
  <c r="BC145" i="2"/>
  <c r="AU145" i="2"/>
  <c r="AN145" i="2"/>
  <c r="AM145" i="2"/>
  <c r="AJ145" i="2"/>
  <c r="BD144" i="2"/>
  <c r="BD145" i="2" s="1"/>
  <c r="BC144" i="2"/>
  <c r="AV144" i="2"/>
  <c r="AV145" i="2" s="1"/>
  <c r="AU144" i="2"/>
  <c r="AT144" i="2"/>
  <c r="AT145" i="2" s="1"/>
  <c r="AN144" i="2"/>
  <c r="AM144" i="2"/>
  <c r="AJ144" i="2"/>
  <c r="AI144" i="2"/>
  <c r="AI145" i="2" s="1"/>
  <c r="H145" i="2"/>
  <c r="M144" i="2"/>
  <c r="M145" i="2" s="1"/>
  <c r="L144" i="2"/>
  <c r="L145" i="2" s="1"/>
  <c r="K144" i="2"/>
  <c r="K145" i="2" s="1"/>
  <c r="J144" i="2"/>
  <c r="J145" i="2" s="1"/>
  <c r="I144" i="2"/>
  <c r="I145" i="2" s="1"/>
  <c r="H144" i="2"/>
  <c r="G144" i="2"/>
  <c r="G145" i="2" s="1"/>
  <c r="F144" i="2"/>
  <c r="F145" i="2" s="1"/>
  <c r="E144" i="2"/>
  <c r="E145" i="2" s="1"/>
  <c r="EE144" i="2"/>
  <c r="EF143" i="2"/>
  <c r="EE143" i="2"/>
  <c r="DT143" i="2"/>
  <c r="DU143" i="2" s="1"/>
  <c r="DV143" i="2" s="1"/>
  <c r="DW143" i="2" s="1"/>
  <c r="DA143" i="2"/>
  <c r="CS143" i="2"/>
  <c r="CS345" i="2" s="1"/>
  <c r="CP143" i="2"/>
  <c r="CO143" i="2"/>
  <c r="CO345" i="2" s="1"/>
  <c r="CL143" i="2"/>
  <c r="CK143" i="2"/>
  <c r="CK345" i="2" s="1"/>
  <c r="CG143" i="2"/>
  <c r="CG345" i="2" s="1"/>
  <c r="CD143" i="2"/>
  <c r="CC143" i="2"/>
  <c r="CC345" i="2" s="1"/>
  <c r="BZ143" i="2"/>
  <c r="BY143" i="2"/>
  <c r="BY345" i="2" s="1"/>
  <c r="BU143" i="2"/>
  <c r="BU345" i="2" s="1"/>
  <c r="BQ143" i="2"/>
  <c r="BN143" i="2"/>
  <c r="BM143" i="2"/>
  <c r="BI143" i="2"/>
  <c r="BE143" i="2"/>
  <c r="BF143" i="2" s="1"/>
  <c r="BA143" i="2"/>
  <c r="AW143" i="2"/>
  <c r="AX143" i="2" s="1"/>
  <c r="AS143" i="2"/>
  <c r="AS345" i="2" s="1"/>
  <c r="AP143" i="2"/>
  <c r="AQ143" i="2" s="1"/>
  <c r="AO143" i="2"/>
  <c r="AO345" i="2" s="1"/>
  <c r="AK143" i="2"/>
  <c r="Y143" i="2"/>
  <c r="X143" i="2"/>
  <c r="W143" i="2"/>
  <c r="U143" i="2"/>
  <c r="DJ127" i="2"/>
  <c r="DJ134" i="2" s="1"/>
  <c r="DF127" i="2"/>
  <c r="DF134" i="2" s="1"/>
  <c r="DB127" i="2"/>
  <c r="DB134" i="2" s="1"/>
  <c r="CX127" i="2"/>
  <c r="CX134" i="2" s="1"/>
  <c r="CT127" i="2"/>
  <c r="CT134" i="2" s="1"/>
  <c r="CP127" i="2"/>
  <c r="CP134" i="2" s="1"/>
  <c r="CL127" i="2"/>
  <c r="CL134" i="2" s="1"/>
  <c r="CH127" i="2"/>
  <c r="CH134" i="2" s="1"/>
  <c r="CD127" i="2"/>
  <c r="CD134" i="2" s="1"/>
  <c r="BZ127" i="2"/>
  <c r="BZ134" i="2" s="1"/>
  <c r="BV127" i="2"/>
  <c r="BV134" i="2" s="1"/>
  <c r="ED126" i="2"/>
  <c r="ED207" i="2" s="1"/>
  <c r="EC126" i="2"/>
  <c r="EC207" i="2" s="1"/>
  <c r="EA126" i="2"/>
  <c r="EA207" i="2" s="1"/>
  <c r="DY126" i="2"/>
  <c r="DY207" i="2" s="1"/>
  <c r="DU126" i="2"/>
  <c r="DU207" i="2" s="1"/>
  <c r="DQ126" i="2"/>
  <c r="DQ207" i="2" s="1"/>
  <c r="DI126" i="2"/>
  <c r="DI207" i="2" s="1"/>
  <c r="ED124" i="2"/>
  <c r="EC124" i="2"/>
  <c r="EB124" i="2"/>
  <c r="EA124" i="2"/>
  <c r="DV124" i="2"/>
  <c r="DU124" i="2"/>
  <c r="DT124" i="2"/>
  <c r="DS124" i="2"/>
  <c r="DR124" i="2"/>
  <c r="DQ124" i="2"/>
  <c r="DP124" i="2"/>
  <c r="DP127" i="2" s="1"/>
  <c r="DP134" i="2" s="1"/>
  <c r="DO124" i="2"/>
  <c r="DO127" i="2" s="1"/>
  <c r="DO134" i="2" s="1"/>
  <c r="DN124" i="2"/>
  <c r="DM124" i="2"/>
  <c r="DL124" i="2"/>
  <c r="DL127" i="2" s="1"/>
  <c r="DL134" i="2" s="1"/>
  <c r="DK124" i="2"/>
  <c r="DK127" i="2" s="1"/>
  <c r="DK134" i="2" s="1"/>
  <c r="DJ124" i="2"/>
  <c r="DI124" i="2"/>
  <c r="DH124" i="2"/>
  <c r="DH127" i="2" s="1"/>
  <c r="DH134" i="2" s="1"/>
  <c r="DG124" i="2"/>
  <c r="DG127" i="2" s="1"/>
  <c r="DG134" i="2" s="1"/>
  <c r="DF124" i="2"/>
  <c r="DE124" i="2"/>
  <c r="DC124" i="2"/>
  <c r="DC127" i="2" s="1"/>
  <c r="DC134" i="2" s="1"/>
  <c r="DB124" i="2"/>
  <c r="DA124" i="2"/>
  <c r="CZ124" i="2"/>
  <c r="CZ127" i="2" s="1"/>
  <c r="CZ134" i="2" s="1"/>
  <c r="CY124" i="2"/>
  <c r="CY127" i="2" s="1"/>
  <c r="CY134" i="2" s="1"/>
  <c r="CX124" i="2"/>
  <c r="CW124" i="2"/>
  <c r="CV124" i="2"/>
  <c r="CV127" i="2" s="1"/>
  <c r="CV134" i="2" s="1"/>
  <c r="CU124" i="2"/>
  <c r="CU127" i="2" s="1"/>
  <c r="CU134" i="2" s="1"/>
  <c r="CT124" i="2"/>
  <c r="CS124" i="2"/>
  <c r="CR124" i="2"/>
  <c r="CR127" i="2" s="1"/>
  <c r="CR134" i="2" s="1"/>
  <c r="CQ124" i="2"/>
  <c r="CQ127" i="2" s="1"/>
  <c r="CQ134" i="2" s="1"/>
  <c r="CP124" i="2"/>
  <c r="CO124" i="2"/>
  <c r="CN124" i="2"/>
  <c r="CN127" i="2" s="1"/>
  <c r="CN134" i="2" s="1"/>
  <c r="CM124" i="2"/>
  <c r="CM127" i="2" s="1"/>
  <c r="CM134" i="2" s="1"/>
  <c r="CL124" i="2"/>
  <c r="CK124" i="2"/>
  <c r="CJ124" i="2"/>
  <c r="CJ127" i="2" s="1"/>
  <c r="CJ134" i="2" s="1"/>
  <c r="CI124" i="2"/>
  <c r="CI127" i="2" s="1"/>
  <c r="CI134" i="2" s="1"/>
  <c r="CH124" i="2"/>
  <c r="CG124" i="2"/>
  <c r="CF124" i="2"/>
  <c r="CF127" i="2" s="1"/>
  <c r="CF134" i="2" s="1"/>
  <c r="CE124" i="2"/>
  <c r="CE127" i="2" s="1"/>
  <c r="CE134" i="2" s="1"/>
  <c r="CD124" i="2"/>
  <c r="CC124" i="2"/>
  <c r="CB124" i="2"/>
  <c r="CB127" i="2" s="1"/>
  <c r="CB134" i="2" s="1"/>
  <c r="CA124" i="2"/>
  <c r="CA127" i="2" s="1"/>
  <c r="CA134" i="2" s="1"/>
  <c r="BZ124" i="2"/>
  <c r="BY124" i="2"/>
  <c r="BX124" i="2"/>
  <c r="BX127" i="2" s="1"/>
  <c r="BX134" i="2" s="1"/>
  <c r="BW124" i="2"/>
  <c r="BW127" i="2" s="1"/>
  <c r="BW134" i="2" s="1"/>
  <c r="BV124" i="2"/>
  <c r="DQ123" i="2"/>
  <c r="DQ130" i="2" s="1"/>
  <c r="DP123" i="2"/>
  <c r="DP130" i="2" s="1"/>
  <c r="DO123" i="2"/>
  <c r="DO130" i="2" s="1"/>
  <c r="DL123" i="2"/>
  <c r="DL130" i="2" s="1"/>
  <c r="DK123" i="2"/>
  <c r="DK130" i="2" s="1"/>
  <c r="DJ123" i="2"/>
  <c r="DJ130" i="2" s="1"/>
  <c r="DI123" i="2"/>
  <c r="DI130" i="2" s="1"/>
  <c r="DH123" i="2"/>
  <c r="DH130" i="2" s="1"/>
  <c r="DG123" i="2"/>
  <c r="DG130" i="2" s="1"/>
  <c r="DF123" i="2"/>
  <c r="DF130" i="2" s="1"/>
  <c r="DE123" i="2"/>
  <c r="DE130" i="2" s="1"/>
  <c r="DD123" i="2"/>
  <c r="DC123" i="2"/>
  <c r="DC130" i="2" s="1"/>
  <c r="DB123" i="2"/>
  <c r="DB130" i="2" s="1"/>
  <c r="DA123" i="2"/>
  <c r="DA130" i="2" s="1"/>
  <c r="CZ123" i="2"/>
  <c r="CZ130" i="2" s="1"/>
  <c r="CY123" i="2"/>
  <c r="CY130" i="2" s="1"/>
  <c r="CX123" i="2"/>
  <c r="CX130" i="2" s="1"/>
  <c r="CW123" i="2"/>
  <c r="CW130" i="2" s="1"/>
  <c r="CV123" i="2"/>
  <c r="CV130" i="2" s="1"/>
  <c r="CU123" i="2"/>
  <c r="CU130" i="2" s="1"/>
  <c r="CT123" i="2"/>
  <c r="CT130" i="2" s="1"/>
  <c r="CS123" i="2"/>
  <c r="CS130" i="2" s="1"/>
  <c r="CR123" i="2"/>
  <c r="CR130" i="2" s="1"/>
  <c r="CQ123" i="2"/>
  <c r="CQ130" i="2" s="1"/>
  <c r="CP123" i="2"/>
  <c r="CP130" i="2" s="1"/>
  <c r="CO123" i="2"/>
  <c r="CO130" i="2" s="1"/>
  <c r="CN123" i="2"/>
  <c r="CN130" i="2" s="1"/>
  <c r="CM123" i="2"/>
  <c r="CM130" i="2" s="1"/>
  <c r="CL123" i="2"/>
  <c r="CL130" i="2" s="1"/>
  <c r="CK123" i="2"/>
  <c r="CK130" i="2" s="1"/>
  <c r="CJ123" i="2"/>
  <c r="CJ130" i="2" s="1"/>
  <c r="CI123" i="2"/>
  <c r="CI130" i="2" s="1"/>
  <c r="CH123" i="2"/>
  <c r="CH130" i="2" s="1"/>
  <c r="CG123" i="2"/>
  <c r="CG130" i="2" s="1"/>
  <c r="CF123" i="2"/>
  <c r="CF130" i="2" s="1"/>
  <c r="CE123" i="2"/>
  <c r="CE130" i="2" s="1"/>
  <c r="CD123" i="2"/>
  <c r="CD130" i="2" s="1"/>
  <c r="CC123" i="2"/>
  <c r="CC130" i="2" s="1"/>
  <c r="CB123" i="2"/>
  <c r="CB130" i="2" s="1"/>
  <c r="CA123" i="2"/>
  <c r="CA130" i="2" s="1"/>
  <c r="BZ123" i="2"/>
  <c r="BZ130" i="2" s="1"/>
  <c r="BY123" i="2"/>
  <c r="BY130" i="2" s="1"/>
  <c r="BX123" i="2"/>
  <c r="BX130" i="2" s="1"/>
  <c r="BW123" i="2"/>
  <c r="BW130" i="2" s="1"/>
  <c r="BV123" i="2"/>
  <c r="BV130" i="2" s="1"/>
  <c r="DR120" i="2"/>
  <c r="DY119" i="2"/>
  <c r="DY120" i="2" s="1"/>
  <c r="DX119" i="2"/>
  <c r="DX120" i="2" s="1"/>
  <c r="DR119" i="2"/>
  <c r="DQ119" i="2"/>
  <c r="DQ120" i="2" s="1"/>
  <c r="DP119" i="2"/>
  <c r="DP120" i="2" s="1"/>
  <c r="DL119" i="2"/>
  <c r="DL120" i="2" s="1"/>
  <c r="DH119" i="2"/>
  <c r="DH120" i="2" s="1"/>
  <c r="DE119" i="2"/>
  <c r="DE120" i="2" s="1"/>
  <c r="DD119" i="2"/>
  <c r="DD120" i="2" s="1"/>
  <c r="CS119" i="2"/>
  <c r="CS120" i="2" s="1"/>
  <c r="CR119" i="2"/>
  <c r="CR120" i="2" s="1"/>
  <c r="CO119" i="2"/>
  <c r="CO120" i="2" s="1"/>
  <c r="CN119" i="2"/>
  <c r="CN120" i="2" s="1"/>
  <c r="CK119" i="2"/>
  <c r="CK120" i="2" s="1"/>
  <c r="CJ119" i="2"/>
  <c r="CJ120" i="2" s="1"/>
  <c r="CG119" i="2"/>
  <c r="CG120" i="2" s="1"/>
  <c r="CF119" i="2"/>
  <c r="CF120" i="2" s="1"/>
  <c r="CC119" i="2"/>
  <c r="CC120" i="2" s="1"/>
  <c r="CB119" i="2"/>
  <c r="CB120" i="2" s="1"/>
  <c r="BY119" i="2"/>
  <c r="BY120" i="2" s="1"/>
  <c r="BX119" i="2"/>
  <c r="BX120" i="2" s="1"/>
  <c r="BU119" i="2"/>
  <c r="BU120" i="2" s="1"/>
  <c r="EE118" i="2"/>
  <c r="EF118" i="2" s="1"/>
  <c r="EG118" i="2" s="1"/>
  <c r="EH118" i="2" s="1"/>
  <c r="EI118" i="2" s="1"/>
  <c r="EJ118" i="2" s="1"/>
  <c r="EK118" i="2" s="1"/>
  <c r="EL118" i="2" s="1"/>
  <c r="EM118" i="2" s="1"/>
  <c r="EN118" i="2" s="1"/>
  <c r="EO118" i="2" s="1"/>
  <c r="EP118" i="2" s="1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N117" i="2"/>
  <c r="DM117" i="2"/>
  <c r="DK117" i="2"/>
  <c r="DK116" i="2"/>
  <c r="DK119" i="2" s="1"/>
  <c r="DK120" i="2" s="1"/>
  <c r="DI117" i="2"/>
  <c r="DI119" i="2" s="1"/>
  <c r="DI120" i="2" s="1"/>
  <c r="DH117" i="2"/>
  <c r="CZ117" i="2"/>
  <c r="CY117" i="2"/>
  <c r="CX117" i="2"/>
  <c r="CW117" i="2"/>
  <c r="CV117" i="2"/>
  <c r="CU117" i="2"/>
  <c r="CT117" i="2"/>
  <c r="DY116" i="2"/>
  <c r="DX116" i="2"/>
  <c r="DW116" i="2"/>
  <c r="DW119" i="2" s="1"/>
  <c r="DW120" i="2" s="1"/>
  <c r="DR116" i="2"/>
  <c r="DQ116" i="2"/>
  <c r="DP116" i="2"/>
  <c r="DO116" i="2"/>
  <c r="DO119" i="2" s="1"/>
  <c r="DO120" i="2" s="1"/>
  <c r="DN116" i="2"/>
  <c r="DL116" i="2"/>
  <c r="DJ116" i="2"/>
  <c r="DJ119" i="2" s="1"/>
  <c r="DI116" i="2"/>
  <c r="DH116" i="2"/>
  <c r="DG116" i="2"/>
  <c r="DG119" i="2" s="1"/>
  <c r="DG120" i="2" s="1"/>
  <c r="DF116" i="2"/>
  <c r="DF119" i="2" s="1"/>
  <c r="DE116" i="2"/>
  <c r="DD116" i="2"/>
  <c r="DC116" i="2"/>
  <c r="DC119" i="2" s="1"/>
  <c r="DC120" i="2" s="1"/>
  <c r="DB116" i="2"/>
  <c r="DB119" i="2" s="1"/>
  <c r="CS116" i="2"/>
  <c r="CR116" i="2"/>
  <c r="CQ116" i="2"/>
  <c r="CQ119" i="2" s="1"/>
  <c r="CQ120" i="2" s="1"/>
  <c r="CP116" i="2"/>
  <c r="CP119" i="2" s="1"/>
  <c r="CO116" i="2"/>
  <c r="CN116" i="2"/>
  <c r="CM116" i="2"/>
  <c r="CM119" i="2" s="1"/>
  <c r="CM120" i="2" s="1"/>
  <c r="CL116" i="2"/>
  <c r="CL119" i="2" s="1"/>
  <c r="CK116" i="2"/>
  <c r="CJ116" i="2"/>
  <c r="CI116" i="2"/>
  <c r="CI119" i="2" s="1"/>
  <c r="CI120" i="2" s="1"/>
  <c r="CH116" i="2"/>
  <c r="CH119" i="2" s="1"/>
  <c r="CG116" i="2"/>
  <c r="CF116" i="2"/>
  <c r="CE116" i="2"/>
  <c r="CE119" i="2" s="1"/>
  <c r="CE120" i="2" s="1"/>
  <c r="CD116" i="2"/>
  <c r="CD119" i="2" s="1"/>
  <c r="CC116" i="2"/>
  <c r="CB116" i="2"/>
  <c r="CA116" i="2"/>
  <c r="CA119" i="2" s="1"/>
  <c r="CA120" i="2" s="1"/>
  <c r="BZ116" i="2"/>
  <c r="BZ119" i="2" s="1"/>
  <c r="BY116" i="2"/>
  <c r="BX116" i="2"/>
  <c r="BW116" i="2"/>
  <c r="BW119" i="2" s="1"/>
  <c r="BW120" i="2" s="1"/>
  <c r="BV116" i="2"/>
  <c r="BV119" i="2" s="1"/>
  <c r="BU116" i="2"/>
  <c r="DY114" i="2"/>
  <c r="DX114" i="2"/>
  <c r="DW114" i="2"/>
  <c r="DS114" i="2"/>
  <c r="DR114" i="2"/>
  <c r="DQ114" i="2"/>
  <c r="DP114" i="2"/>
  <c r="DO114" i="2"/>
  <c r="DN114" i="2"/>
  <c r="DL114" i="2"/>
  <c r="DK114" i="2"/>
  <c r="DJ114" i="2"/>
  <c r="DI114" i="2"/>
  <c r="DH114" i="2"/>
  <c r="DF114" i="2"/>
  <c r="DE114" i="2"/>
  <c r="DD114" i="2"/>
  <c r="DC114" i="2"/>
  <c r="DB114" i="2"/>
  <c r="CY114" i="2"/>
  <c r="CX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T114" i="2"/>
  <c r="S114" i="2"/>
  <c r="R114" i="2"/>
  <c r="Q114" i="2"/>
  <c r="P114" i="2"/>
  <c r="O114" i="2"/>
  <c r="N114" i="2"/>
  <c r="DX113" i="2"/>
  <c r="DW113" i="2"/>
  <c r="BT113" i="2"/>
  <c r="BS113" i="2"/>
  <c r="EE113" i="2"/>
  <c r="EE112" i="2"/>
  <c r="EE114" i="2" s="1"/>
  <c r="ED112" i="2"/>
  <c r="ED116" i="2" s="1"/>
  <c r="ED119" i="2" s="1"/>
  <c r="ED120" i="2" s="1"/>
  <c r="EC112" i="2"/>
  <c r="EC116" i="2" s="1"/>
  <c r="EC119" i="2" s="1"/>
  <c r="EC120" i="2" s="1"/>
  <c r="EB112" i="2"/>
  <c r="EB116" i="2" s="1"/>
  <c r="EB119" i="2" s="1"/>
  <c r="EB120" i="2" s="1"/>
  <c r="EA112" i="2"/>
  <c r="EA116" i="2" s="1"/>
  <c r="EA119" i="2" s="1"/>
  <c r="EA120" i="2" s="1"/>
  <c r="DZ112" i="2"/>
  <c r="DZ116" i="2" s="1"/>
  <c r="DZ119" i="2" s="1"/>
  <c r="DZ120" i="2" s="1"/>
  <c r="DV112" i="2"/>
  <c r="DV116" i="2" s="1"/>
  <c r="DV119" i="2" s="1"/>
  <c r="DV120" i="2" s="1"/>
  <c r="DU112" i="2"/>
  <c r="DU116" i="2" s="1"/>
  <c r="DU119" i="2" s="1"/>
  <c r="DU120" i="2" s="1"/>
  <c r="DT112" i="2"/>
  <c r="DT116" i="2" s="1"/>
  <c r="DT119" i="2" s="1"/>
  <c r="DT120" i="2" s="1"/>
  <c r="DS112" i="2"/>
  <c r="DS116" i="2" s="1"/>
  <c r="DM112" i="2"/>
  <c r="DM116" i="2" s="1"/>
  <c r="DA112" i="2"/>
  <c r="DA116" i="2" s="1"/>
  <c r="DA119" i="2" s="1"/>
  <c r="DA120" i="2" s="1"/>
  <c r="CZ112" i="2"/>
  <c r="CZ116" i="2" s="1"/>
  <c r="CZ119" i="2" s="1"/>
  <c r="CZ120" i="2" s="1"/>
  <c r="CY112" i="2"/>
  <c r="CY116" i="2" s="1"/>
  <c r="CY119" i="2" s="1"/>
  <c r="CY120" i="2" s="1"/>
  <c r="CX112" i="2"/>
  <c r="CX116" i="2" s="1"/>
  <c r="CW112" i="2"/>
  <c r="CW116" i="2" s="1"/>
  <c r="CW119" i="2" s="1"/>
  <c r="CW120" i="2" s="1"/>
  <c r="CV112" i="2"/>
  <c r="CV116" i="2" s="1"/>
  <c r="CV119" i="2" s="1"/>
  <c r="CV120" i="2" s="1"/>
  <c r="CU112" i="2"/>
  <c r="CU116" i="2" s="1"/>
  <c r="CU119" i="2" s="1"/>
  <c r="CU120" i="2" s="1"/>
  <c r="CT112" i="2"/>
  <c r="CT116" i="2" s="1"/>
  <c r="AH108" i="2"/>
  <c r="AH109" i="2" s="1"/>
  <c r="ED106" i="2"/>
  <c r="EC106" i="2"/>
  <c r="EB106" i="2"/>
  <c r="EA106" i="2"/>
  <c r="DZ106" i="2"/>
  <c r="DY106" i="2"/>
  <c r="DX106" i="2"/>
  <c r="DR106" i="2"/>
  <c r="DQ106" i="2"/>
  <c r="DP106" i="2"/>
  <c r="DO106" i="2"/>
  <c r="DN106" i="2"/>
  <c r="DM106" i="2"/>
  <c r="DL106" i="2"/>
  <c r="DK106" i="2"/>
  <c r="DJ106" i="2"/>
  <c r="Y106" i="2" s="1"/>
  <c r="BR106" i="2"/>
  <c r="BR108" i="2" s="1"/>
  <c r="BQ106" i="2"/>
  <c r="BQ108" i="2" s="1"/>
  <c r="BP106" i="2"/>
  <c r="BP108" i="2" s="1"/>
  <c r="BO106" i="2"/>
  <c r="BO108" i="2" s="1"/>
  <c r="BN106" i="2"/>
  <c r="BN108" i="2" s="1"/>
  <c r="BM106" i="2"/>
  <c r="BM108" i="2" s="1"/>
  <c r="BL106" i="2"/>
  <c r="BL108" i="2" s="1"/>
  <c r="BK106" i="2"/>
  <c r="BK108" i="2" s="1"/>
  <c r="BJ106" i="2"/>
  <c r="BJ108" i="2" s="1"/>
  <c r="BI106" i="2"/>
  <c r="BI108" i="2" s="1"/>
  <c r="BH106" i="2"/>
  <c r="BH108" i="2" s="1"/>
  <c r="BG106" i="2"/>
  <c r="BG108" i="2" s="1"/>
  <c r="BF106" i="2"/>
  <c r="BF108" i="2" s="1"/>
  <c r="BE106" i="2"/>
  <c r="BE108" i="2" s="1"/>
  <c r="BD106" i="2"/>
  <c r="BD108" i="2" s="1"/>
  <c r="BC106" i="2"/>
  <c r="BC108" i="2" s="1"/>
  <c r="BB106" i="2"/>
  <c r="BB108" i="2" s="1"/>
  <c r="BA106" i="2"/>
  <c r="BA108" i="2" s="1"/>
  <c r="AZ106" i="2"/>
  <c r="AZ108" i="2" s="1"/>
  <c r="AY106" i="2"/>
  <c r="AY108" i="2" s="1"/>
  <c r="AX106" i="2"/>
  <c r="AX108" i="2" s="1"/>
  <c r="AW106" i="2"/>
  <c r="AW108" i="2" s="1"/>
  <c r="AV106" i="2"/>
  <c r="AV108" i="2" s="1"/>
  <c r="AU106" i="2"/>
  <c r="AU108" i="2" s="1"/>
  <c r="AT106" i="2"/>
  <c r="AT108" i="2" s="1"/>
  <c r="AS106" i="2"/>
  <c r="AS108" i="2" s="1"/>
  <c r="AR106" i="2"/>
  <c r="AR108" i="2" s="1"/>
  <c r="AQ106" i="2"/>
  <c r="AQ108" i="2" s="1"/>
  <c r="AP106" i="2"/>
  <c r="AP108" i="2" s="1"/>
  <c r="AO106" i="2"/>
  <c r="AO108" i="2" s="1"/>
  <c r="AN106" i="2"/>
  <c r="AN108" i="2" s="1"/>
  <c r="AM106" i="2"/>
  <c r="AM108" i="2" s="1"/>
  <c r="AL106" i="2"/>
  <c r="AL108" i="2" s="1"/>
  <c r="AL109" i="2" s="1"/>
  <c r="AK106" i="2"/>
  <c r="AK108" i="2" s="1"/>
  <c r="AJ106" i="2"/>
  <c r="AJ108" i="2" s="1"/>
  <c r="AI106" i="2"/>
  <c r="AI108" i="2" s="1"/>
  <c r="M106" i="2"/>
  <c r="M108" i="2" s="1"/>
  <c r="M138" i="2" s="1"/>
  <c r="L106" i="2"/>
  <c r="L108" i="2" s="1"/>
  <c r="L138" i="2" s="1"/>
  <c r="K106" i="2"/>
  <c r="K108" i="2" s="1"/>
  <c r="K138" i="2" s="1"/>
  <c r="J106" i="2"/>
  <c r="J108" i="2" s="1"/>
  <c r="J138" i="2" s="1"/>
  <c r="I106" i="2"/>
  <c r="I108" i="2" s="1"/>
  <c r="I138" i="2" s="1"/>
  <c r="H106" i="2"/>
  <c r="H108" i="2" s="1"/>
  <c r="G106" i="2"/>
  <c r="G108" i="2" s="1"/>
  <c r="F106" i="2"/>
  <c r="F108" i="2" s="1"/>
  <c r="E106" i="2"/>
  <c r="E108" i="2" s="1"/>
  <c r="EP232" i="2"/>
  <c r="EP316" i="2" s="1"/>
  <c r="EO232" i="2"/>
  <c r="EO316" i="2" s="1"/>
  <c r="EN232" i="2"/>
  <c r="EN316" i="2" s="1"/>
  <c r="EM232" i="2"/>
  <c r="EM316" i="2" s="1"/>
  <c r="EL232" i="2"/>
  <c r="EL316" i="2" s="1"/>
  <c r="EK232" i="2"/>
  <c r="EK316" i="2" s="1"/>
  <c r="EJ232" i="2"/>
  <c r="EJ316" i="2" s="1"/>
  <c r="EI232" i="2"/>
  <c r="EI316" i="2" s="1"/>
  <c r="EH232" i="2"/>
  <c r="EH316" i="2" s="1"/>
  <c r="EG232" i="2"/>
  <c r="EG316" i="2" s="1"/>
  <c r="EF232" i="2"/>
  <c r="EF316" i="2" s="1"/>
  <c r="EE232" i="2"/>
  <c r="ED105" i="2"/>
  <c r="EC105" i="2"/>
  <c r="EB105" i="2"/>
  <c r="EA105" i="2"/>
  <c r="DZ105" i="2"/>
  <c r="DY105" i="2"/>
  <c r="DX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DA105" i="2"/>
  <c r="CZ105" i="2"/>
  <c r="CY105" i="2"/>
  <c r="CX105" i="2"/>
  <c r="CW105" i="2"/>
  <c r="CV105" i="2"/>
  <c r="CU105" i="2"/>
  <c r="CT105" i="2"/>
  <c r="CS105" i="2"/>
  <c r="CR105" i="2"/>
  <c r="CQ105" i="2"/>
  <c r="CP105" i="2"/>
  <c r="CO105" i="2"/>
  <c r="CN105" i="2"/>
  <c r="CM105" i="2"/>
  <c r="CL105" i="2"/>
  <c r="CK105" i="2"/>
  <c r="CJ105" i="2"/>
  <c r="CI105" i="2"/>
  <c r="CH105" i="2"/>
  <c r="CG105" i="2"/>
  <c r="CF105" i="2"/>
  <c r="CE105" i="2"/>
  <c r="CD105" i="2"/>
  <c r="CC105" i="2"/>
  <c r="CB105" i="2"/>
  <c r="CA105" i="2"/>
  <c r="BZ105" i="2"/>
  <c r="BY105" i="2"/>
  <c r="BX105" i="2"/>
  <c r="BW105" i="2"/>
  <c r="BV105" i="2"/>
  <c r="Y105" i="2"/>
  <c r="X105" i="2"/>
  <c r="W105" i="2"/>
  <c r="V105" i="2"/>
  <c r="EE104" i="2"/>
  <c r="EE106" i="2" s="1"/>
  <c r="DV104" i="2"/>
  <c r="DU104" i="2"/>
  <c r="DU345" i="2" s="1"/>
  <c r="DT104" i="2"/>
  <c r="DT345" i="2" s="1"/>
  <c r="DS104" i="2"/>
  <c r="DS345" i="2" s="1"/>
  <c r="DY100" i="2"/>
  <c r="DU100" i="2"/>
  <c r="DR100" i="2"/>
  <c r="DQ100" i="2"/>
  <c r="DL100" i="2"/>
  <c r="DM100" i="2" s="1"/>
  <c r="DI100" i="2"/>
  <c r="DE100" i="2"/>
  <c r="DA100" i="2"/>
  <c r="ED97" i="2"/>
  <c r="EE97" i="2" s="1"/>
  <c r="EF97" i="2" s="1"/>
  <c r="EG97" i="2" s="1"/>
  <c r="EH97" i="2" s="1"/>
  <c r="EB97" i="2"/>
  <c r="EA97" i="2"/>
  <c r="DZ97" i="2"/>
  <c r="DE97" i="2"/>
  <c r="DD97" i="2"/>
  <c r="DC97" i="2"/>
  <c r="DB97" i="2"/>
  <c r="DA97" i="2"/>
  <c r="CZ97" i="2"/>
  <c r="CY97" i="2"/>
  <c r="CX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H97" i="2"/>
  <c r="BG97" i="2"/>
  <c r="BF97" i="2"/>
  <c r="BD97" i="2"/>
  <c r="BC97" i="2"/>
  <c r="BB97" i="2"/>
  <c r="AZ97" i="2"/>
  <c r="AY97" i="2"/>
  <c r="AX97" i="2"/>
  <c r="AU97" i="2"/>
  <c r="AT97" i="2"/>
  <c r="AR97" i="2"/>
  <c r="AQ97" i="2"/>
  <c r="AP97" i="2"/>
  <c r="AN97" i="2"/>
  <c r="AM97" i="2"/>
  <c r="AL97" i="2"/>
  <c r="AJ97" i="2"/>
  <c r="AI97" i="2"/>
  <c r="AH97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H95" i="2"/>
  <c r="BG95" i="2"/>
  <c r="BF95" i="2"/>
  <c r="BD95" i="2"/>
  <c r="BC95" i="2"/>
  <c r="BB95" i="2"/>
  <c r="AZ95" i="2"/>
  <c r="AY95" i="2"/>
  <c r="AX95" i="2"/>
  <c r="AV95" i="2"/>
  <c r="AU95" i="2"/>
  <c r="AT95" i="2"/>
  <c r="AR95" i="2"/>
  <c r="AQ95" i="2"/>
  <c r="AP95" i="2"/>
  <c r="AN95" i="2"/>
  <c r="AM95" i="2"/>
  <c r="AL95" i="2"/>
  <c r="AJ95" i="2"/>
  <c r="AI95" i="2"/>
  <c r="AH95" i="2"/>
  <c r="DX94" i="2"/>
  <c r="DW94" i="2"/>
  <c r="DV94" i="2"/>
  <c r="DT94" i="2"/>
  <c r="DR94" i="2"/>
  <c r="DP94" i="2"/>
  <c r="DN94" i="2"/>
  <c r="DM94" i="2"/>
  <c r="DL94" i="2"/>
  <c r="DK94" i="2"/>
  <c r="DJ94" i="2"/>
  <c r="DH94" i="2"/>
  <c r="DG94" i="2"/>
  <c r="DF94" i="2"/>
  <c r="DE94" i="2"/>
  <c r="DD94" i="2"/>
  <c r="DC94" i="2"/>
  <c r="DB94" i="2"/>
  <c r="DA94" i="2"/>
  <c r="CZ94" i="2"/>
  <c r="CY94" i="2"/>
  <c r="CX94" i="2"/>
  <c r="CW94" i="2"/>
  <c r="CV94" i="2"/>
  <c r="CU94" i="2"/>
  <c r="CT94" i="2"/>
  <c r="CS94" i="2"/>
  <c r="CR94" i="2"/>
  <c r="CQ94" i="2"/>
  <c r="CP94" i="2"/>
  <c r="CO94" i="2"/>
  <c r="CN94" i="2"/>
  <c r="CM94" i="2"/>
  <c r="CL94" i="2"/>
  <c r="CK94" i="2"/>
  <c r="CJ94" i="2"/>
  <c r="CI94" i="2"/>
  <c r="CH94" i="2"/>
  <c r="CG94" i="2"/>
  <c r="CF94" i="2"/>
  <c r="CE94" i="2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H94" i="2"/>
  <c r="BG94" i="2"/>
  <c r="BF94" i="2"/>
  <c r="BD94" i="2"/>
  <c r="BC94" i="2"/>
  <c r="BB94" i="2"/>
  <c r="AZ94" i="2"/>
  <c r="AY94" i="2"/>
  <c r="AX94" i="2"/>
  <c r="AV94" i="2"/>
  <c r="AU94" i="2"/>
  <c r="AT94" i="2"/>
  <c r="AR94" i="2"/>
  <c r="AQ94" i="2"/>
  <c r="AP94" i="2"/>
  <c r="AN94" i="2"/>
  <c r="AM94" i="2"/>
  <c r="AL94" i="2"/>
  <c r="AJ94" i="2"/>
  <c r="AI94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H92" i="2"/>
  <c r="BG92" i="2"/>
  <c r="BF92" i="2"/>
  <c r="BD92" i="2"/>
  <c r="BC92" i="2"/>
  <c r="BB92" i="2"/>
  <c r="AZ92" i="2"/>
  <c r="AY92" i="2"/>
  <c r="AX92" i="2"/>
  <c r="AV92" i="2"/>
  <c r="AU92" i="2"/>
  <c r="AT92" i="2"/>
  <c r="AR92" i="2"/>
  <c r="AQ92" i="2"/>
  <c r="AP92" i="2"/>
  <c r="AN92" i="2"/>
  <c r="AM92" i="2"/>
  <c r="AL92" i="2"/>
  <c r="AJ92" i="2"/>
  <c r="AI92" i="2"/>
  <c r="AH92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H91" i="2"/>
  <c r="BG91" i="2"/>
  <c r="BF91" i="2"/>
  <c r="BD91" i="2"/>
  <c r="BC91" i="2"/>
  <c r="BB91" i="2"/>
  <c r="AZ91" i="2"/>
  <c r="AY91" i="2"/>
  <c r="AX91" i="2"/>
  <c r="AV91" i="2"/>
  <c r="AU91" i="2"/>
  <c r="AT91" i="2"/>
  <c r="AR91" i="2"/>
  <c r="AQ91" i="2"/>
  <c r="AP91" i="2"/>
  <c r="AN91" i="2"/>
  <c r="AM91" i="2"/>
  <c r="AL91" i="2"/>
  <c r="AJ91" i="2"/>
  <c r="AI91" i="2"/>
  <c r="AH91" i="2"/>
  <c r="EH94" i="2"/>
  <c r="EI94" i="2" s="1"/>
  <c r="EG94" i="2"/>
  <c r="BR87" i="2"/>
  <c r="BP87" i="2"/>
  <c r="BO87" i="2"/>
  <c r="BN87" i="2"/>
  <c r="BL87" i="2"/>
  <c r="BK87" i="2"/>
  <c r="BJ87" i="2"/>
  <c r="BH87" i="2"/>
  <c r="BG87" i="2"/>
  <c r="BF87" i="2"/>
  <c r="BD87" i="2"/>
  <c r="BC87" i="2"/>
  <c r="BB87" i="2"/>
  <c r="AZ87" i="2"/>
  <c r="AY87" i="2"/>
  <c r="AX87" i="2"/>
  <c r="AV87" i="2"/>
  <c r="AU87" i="2"/>
  <c r="AT87" i="2"/>
  <c r="AR87" i="2"/>
  <c r="AQ87" i="2"/>
  <c r="AP87" i="2"/>
  <c r="AN87" i="2"/>
  <c r="AM87" i="2"/>
  <c r="AL87" i="2"/>
  <c r="AJ87" i="2"/>
  <c r="AI87" i="2"/>
  <c r="AH87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H85" i="2"/>
  <c r="DG85" i="2"/>
  <c r="DF85" i="2"/>
  <c r="DE85" i="2"/>
  <c r="DD85" i="2"/>
  <c r="DC85" i="2"/>
  <c r="DB85" i="2"/>
  <c r="DA85" i="2"/>
  <c r="CZ85" i="2"/>
  <c r="CY85" i="2"/>
  <c r="CX85" i="2"/>
  <c r="CW85" i="2"/>
  <c r="CV85" i="2"/>
  <c r="CU85" i="2"/>
  <c r="CT85" i="2"/>
  <c r="CS85" i="2"/>
  <c r="CR85" i="2"/>
  <c r="CQ85" i="2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ED84" i="2"/>
  <c r="DY84" i="2"/>
  <c r="DX84" i="2"/>
  <c r="DW84" i="2"/>
  <c r="DR84" i="2"/>
  <c r="DQ84" i="2"/>
  <c r="DP84" i="2"/>
  <c r="DO84" i="2"/>
  <c r="DN84" i="2"/>
  <c r="DM84" i="2"/>
  <c r="DL84" i="2"/>
  <c r="DK84" i="2"/>
  <c r="DJ84" i="2"/>
  <c r="DI84" i="2"/>
  <c r="DH84" i="2"/>
  <c r="DG84" i="2"/>
  <c r="DF84" i="2"/>
  <c r="DE84" i="2"/>
  <c r="DD84" i="2"/>
  <c r="DC84" i="2"/>
  <c r="DB84" i="2"/>
  <c r="DA84" i="2"/>
  <c r="CZ84" i="2"/>
  <c r="CY84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BZ84" i="2"/>
  <c r="BY84" i="2"/>
  <c r="BX84" i="2"/>
  <c r="BW84" i="2"/>
  <c r="BV84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H83" i="2"/>
  <c r="DG83" i="2"/>
  <c r="DF83" i="2"/>
  <c r="DE83" i="2"/>
  <c r="DD83" i="2"/>
  <c r="DC83" i="2"/>
  <c r="DB83" i="2"/>
  <c r="DA83" i="2"/>
  <c r="CZ83" i="2"/>
  <c r="CY83" i="2"/>
  <c r="CX83" i="2"/>
  <c r="CW83" i="2"/>
  <c r="CV83" i="2"/>
  <c r="CU83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DQ82" i="2"/>
  <c r="DP82" i="2"/>
  <c r="DL82" i="2"/>
  <c r="DK82" i="2"/>
  <c r="DJ82" i="2"/>
  <c r="DI82" i="2"/>
  <c r="DH82" i="2"/>
  <c r="DG82" i="2"/>
  <c r="DF82" i="2"/>
  <c r="DE82" i="2"/>
  <c r="DD82" i="2"/>
  <c r="DC82" i="2"/>
  <c r="DB82" i="2"/>
  <c r="DA82" i="2"/>
  <c r="CZ82" i="2"/>
  <c r="CY82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BW82" i="2"/>
  <c r="BY81" i="2"/>
  <c r="BX81" i="2"/>
  <c r="BW81" i="2"/>
  <c r="BV81" i="2"/>
  <c r="BT82" i="2"/>
  <c r="BS82" i="2"/>
  <c r="BP82" i="2"/>
  <c r="BO82" i="2"/>
  <c r="BL82" i="2"/>
  <c r="BK82" i="2"/>
  <c r="BH82" i="2"/>
  <c r="BG82" i="2"/>
  <c r="BD82" i="2"/>
  <c r="BC82" i="2"/>
  <c r="AZ82" i="2"/>
  <c r="AY82" i="2"/>
  <c r="AV82" i="2"/>
  <c r="AU82" i="2"/>
  <c r="AR82" i="2"/>
  <c r="AQ82" i="2"/>
  <c r="AN82" i="2"/>
  <c r="AM82" i="2"/>
  <c r="AJ82" i="2"/>
  <c r="AI82" i="2"/>
  <c r="BU81" i="2"/>
  <c r="BT81" i="2"/>
  <c r="BS81" i="2"/>
  <c r="BR81" i="2"/>
  <c r="BQ81" i="2"/>
  <c r="BP81" i="2"/>
  <c r="BO81" i="2"/>
  <c r="BN81" i="2"/>
  <c r="BM81" i="2"/>
  <c r="BL81" i="2"/>
  <c r="BK81" i="2"/>
  <c r="BH81" i="2"/>
  <c r="BG81" i="2"/>
  <c r="BD81" i="2"/>
  <c r="BC81" i="2"/>
  <c r="AZ81" i="2"/>
  <c r="AY81" i="2"/>
  <c r="AV81" i="2"/>
  <c r="AU81" i="2"/>
  <c r="AR81" i="2"/>
  <c r="AQ81" i="2"/>
  <c r="AN81" i="2"/>
  <c r="AM81" i="2"/>
  <c r="AJ81" i="2"/>
  <c r="AI81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H78" i="2"/>
  <c r="DG78" i="2"/>
  <c r="DF78" i="2"/>
  <c r="DE78" i="2"/>
  <c r="DD78" i="2"/>
  <c r="DC78" i="2"/>
  <c r="DB78" i="2"/>
  <c r="DA78" i="2"/>
  <c r="CZ78" i="2"/>
  <c r="CY78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BZ78" i="2"/>
  <c r="BY78" i="2"/>
  <c r="BX78" i="2"/>
  <c r="BW78" i="2"/>
  <c r="BV78" i="2"/>
  <c r="BU78" i="2"/>
  <c r="BT78" i="2"/>
  <c r="BS78" i="2"/>
  <c r="EF77" i="2"/>
  <c r="EE77" i="2"/>
  <c r="ED77" i="2"/>
  <c r="EC77" i="2"/>
  <c r="EB77" i="2"/>
  <c r="EA77" i="2"/>
  <c r="DY77" i="2"/>
  <c r="DX77" i="2"/>
  <c r="DW77" i="2"/>
  <c r="DV77" i="2"/>
  <c r="DU77" i="2"/>
  <c r="DR77" i="2"/>
  <c r="DQ77" i="2"/>
  <c r="DP77" i="2"/>
  <c r="DO77" i="2"/>
  <c r="DN77" i="2"/>
  <c r="DM77" i="2"/>
  <c r="DL77" i="2"/>
  <c r="DK77" i="2"/>
  <c r="DJ77" i="2"/>
  <c r="DI77" i="2"/>
  <c r="DH77" i="2"/>
  <c r="DG77" i="2"/>
  <c r="DF77" i="2"/>
  <c r="DE77" i="2"/>
  <c r="DD77" i="2"/>
  <c r="DC77" i="2"/>
  <c r="DA77" i="2"/>
  <c r="CZ77" i="2"/>
  <c r="CY77" i="2"/>
  <c r="CX77" i="2"/>
  <c r="CW77" i="2"/>
  <c r="CV77" i="2"/>
  <c r="CU77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BX77" i="2"/>
  <c r="BW77" i="2"/>
  <c r="BV77" i="2"/>
  <c r="BU77" i="2"/>
  <c r="BT77" i="2"/>
  <c r="BS77" i="2"/>
  <c r="EG76" i="2"/>
  <c r="EF76" i="2"/>
  <c r="EF179" i="2" s="1"/>
  <c r="EF75" i="2"/>
  <c r="ED76" i="2"/>
  <c r="EC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H76" i="2"/>
  <c r="DG76" i="2"/>
  <c r="DF76" i="2"/>
  <c r="DE76" i="2"/>
  <c r="DD76" i="2"/>
  <c r="DC76" i="2"/>
  <c r="DB76" i="2"/>
  <c r="DA76" i="2"/>
  <c r="CZ76" i="2"/>
  <c r="CY76" i="2"/>
  <c r="CX76" i="2"/>
  <c r="CW76" i="2"/>
  <c r="CV76" i="2"/>
  <c r="CU76" i="2"/>
  <c r="CT76" i="2"/>
  <c r="CS76" i="2"/>
  <c r="CR76" i="2"/>
  <c r="CQ76" i="2"/>
  <c r="CP76" i="2"/>
  <c r="CO76" i="2"/>
  <c r="CN76" i="2"/>
  <c r="CM76" i="2"/>
  <c r="CL76" i="2"/>
  <c r="CK76" i="2"/>
  <c r="CJ76" i="2"/>
  <c r="CI76" i="2"/>
  <c r="CH76" i="2"/>
  <c r="CG76" i="2"/>
  <c r="CF76" i="2"/>
  <c r="CE76" i="2"/>
  <c r="CD76" i="2"/>
  <c r="CC76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ED75" i="2"/>
  <c r="EC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H75" i="2"/>
  <c r="DG75" i="2"/>
  <c r="DF75" i="2"/>
  <c r="DE75" i="2"/>
  <c r="DD75" i="2"/>
  <c r="DC75" i="2"/>
  <c r="DB75" i="2"/>
  <c r="DA75" i="2"/>
  <c r="CZ75" i="2"/>
  <c r="CY75" i="2"/>
  <c r="CX75" i="2"/>
  <c r="CW75" i="2"/>
  <c r="CV75" i="2"/>
  <c r="CU75" i="2"/>
  <c r="CT75" i="2"/>
  <c r="CS75" i="2"/>
  <c r="CR75" i="2"/>
  <c r="CQ75" i="2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R74" i="2"/>
  <c r="T78" i="2"/>
  <c r="S78" i="2"/>
  <c r="R78" i="2"/>
  <c r="Q78" i="2"/>
  <c r="P78" i="2"/>
  <c r="O78" i="2"/>
  <c r="N78" i="2"/>
  <c r="T77" i="2"/>
  <c r="S77" i="2"/>
  <c r="R77" i="2"/>
  <c r="Q77" i="2"/>
  <c r="P77" i="2"/>
  <c r="O77" i="2"/>
  <c r="N77" i="2"/>
  <c r="T76" i="2"/>
  <c r="S76" i="2"/>
  <c r="R76" i="2"/>
  <c r="Q76" i="2"/>
  <c r="P76" i="2"/>
  <c r="O76" i="2"/>
  <c r="N76" i="2"/>
  <c r="T75" i="2"/>
  <c r="S75" i="2"/>
  <c r="R75" i="2"/>
  <c r="Q75" i="2"/>
  <c r="P75" i="2"/>
  <c r="O75" i="2"/>
  <c r="N75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F72" i="2"/>
  <c r="DE72" i="2"/>
  <c r="DD72" i="2"/>
  <c r="DC72" i="2"/>
  <c r="DB72" i="2"/>
  <c r="DA72" i="2"/>
  <c r="CZ72" i="2"/>
  <c r="CY72" i="2"/>
  <c r="CX72" i="2"/>
  <c r="CW72" i="2"/>
  <c r="CV72" i="2"/>
  <c r="CU72" i="2"/>
  <c r="CT72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G72" i="2"/>
  <c r="CF72" i="2"/>
  <c r="CE72" i="2"/>
  <c r="CD72" i="2"/>
  <c r="CC72" i="2"/>
  <c r="CB72" i="2"/>
  <c r="CA72" i="2"/>
  <c r="BZ72" i="2"/>
  <c r="BY72" i="2"/>
  <c r="BX72" i="2"/>
  <c r="BW72" i="2"/>
  <c r="BV72" i="2"/>
  <c r="BU72" i="2"/>
  <c r="BT72" i="2"/>
  <c r="BS72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CX71" i="2"/>
  <c r="CW71" i="2"/>
  <c r="CV71" i="2"/>
  <c r="CU71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BZ71" i="2"/>
  <c r="BY71" i="2"/>
  <c r="BX71" i="2"/>
  <c r="BW71" i="2"/>
  <c r="BV71" i="2"/>
  <c r="BU71" i="2"/>
  <c r="BT71" i="2"/>
  <c r="BS71" i="2"/>
  <c r="EG150" i="2"/>
  <c r="EF150" i="2"/>
  <c r="EE150" i="2"/>
  <c r="ED70" i="2"/>
  <c r="EC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F70" i="2"/>
  <c r="DE70" i="2"/>
  <c r="DD70" i="2"/>
  <c r="DC70" i="2"/>
  <c r="DB70" i="2"/>
  <c r="DA70" i="2"/>
  <c r="CZ70" i="2"/>
  <c r="CY70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EG149" i="2"/>
  <c r="EG151" i="2" s="1"/>
  <c r="EF149" i="2"/>
  <c r="EE69" i="2"/>
  <c r="EE149" i="2" s="1"/>
  <c r="EE151" i="2" s="1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F69" i="2"/>
  <c r="DE69" i="2"/>
  <c r="DD69" i="2"/>
  <c r="DC69" i="2"/>
  <c r="DB69" i="2"/>
  <c r="DA69" i="2"/>
  <c r="CZ69" i="2"/>
  <c r="CY69" i="2"/>
  <c r="CX69" i="2"/>
  <c r="CW69" i="2"/>
  <c r="CV69" i="2"/>
  <c r="CU69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BX69" i="2"/>
  <c r="BW69" i="2"/>
  <c r="BV69" i="2"/>
  <c r="BU69" i="2"/>
  <c r="BT69" i="2"/>
  <c r="BS69" i="2"/>
  <c r="EG145" i="2"/>
  <c r="EF145" i="2"/>
  <c r="EE145" i="2"/>
  <c r="BR70" i="2"/>
  <c r="BQ70" i="2"/>
  <c r="BP70" i="2"/>
  <c r="BO70" i="2"/>
  <c r="BR69" i="2"/>
  <c r="BQ69" i="2"/>
  <c r="BP69" i="2"/>
  <c r="BO69" i="2"/>
  <c r="T72" i="2"/>
  <c r="S72" i="2"/>
  <c r="R72" i="2"/>
  <c r="Q72" i="2"/>
  <c r="P72" i="2"/>
  <c r="O72" i="2"/>
  <c r="N72" i="2"/>
  <c r="T71" i="2"/>
  <c r="S71" i="2"/>
  <c r="R71" i="2"/>
  <c r="Q71" i="2"/>
  <c r="P71" i="2"/>
  <c r="O71" i="2"/>
  <c r="N71" i="2"/>
  <c r="T70" i="2"/>
  <c r="S70" i="2"/>
  <c r="R70" i="2"/>
  <c r="Q70" i="2"/>
  <c r="P70" i="2"/>
  <c r="O70" i="2"/>
  <c r="N70" i="2"/>
  <c r="T69" i="2"/>
  <c r="S69" i="2"/>
  <c r="R69" i="2"/>
  <c r="Q69" i="2"/>
  <c r="P69" i="2"/>
  <c r="O69" i="2"/>
  <c r="N69" i="2"/>
  <c r="ED66" i="2"/>
  <c r="EC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F66" i="2"/>
  <c r="DE66" i="2"/>
  <c r="DD66" i="2"/>
  <c r="DC66" i="2"/>
  <c r="DB66" i="2"/>
  <c r="DA66" i="2"/>
  <c r="CZ66" i="2"/>
  <c r="CY66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EE65" i="2"/>
  <c r="DY65" i="2"/>
  <c r="DX65" i="2"/>
  <c r="DW65" i="2"/>
  <c r="DS65" i="2"/>
  <c r="DR65" i="2"/>
  <c r="DQ65" i="2"/>
  <c r="DP65" i="2"/>
  <c r="DO65" i="2"/>
  <c r="DN65" i="2"/>
  <c r="DL65" i="2"/>
  <c r="DK65" i="2"/>
  <c r="DJ65" i="2"/>
  <c r="DI65" i="2"/>
  <c r="DH65" i="2"/>
  <c r="DG65" i="2"/>
  <c r="DF65" i="2"/>
  <c r="DE65" i="2"/>
  <c r="DD65" i="2"/>
  <c r="DC65" i="2"/>
  <c r="DB65" i="2"/>
  <c r="CY65" i="2"/>
  <c r="CX65" i="2"/>
  <c r="CU65" i="2"/>
  <c r="CT65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ED64" i="2"/>
  <c r="EC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F64" i="2"/>
  <c r="DE64" i="2"/>
  <c r="DD64" i="2"/>
  <c r="DC64" i="2"/>
  <c r="DB64" i="2"/>
  <c r="DA64" i="2"/>
  <c r="CZ64" i="2"/>
  <c r="CY64" i="2"/>
  <c r="CX64" i="2"/>
  <c r="CW64" i="2"/>
  <c r="CV64" i="2"/>
  <c r="CU64" i="2"/>
  <c r="CT64" i="2"/>
  <c r="CS64" i="2"/>
  <c r="CR64" i="2"/>
  <c r="CQ64" i="2"/>
  <c r="CP64" i="2"/>
  <c r="CO64" i="2"/>
  <c r="CN64" i="2"/>
  <c r="CM64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ED63" i="2"/>
  <c r="EC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F63" i="2"/>
  <c r="DE63" i="2"/>
  <c r="DD63" i="2"/>
  <c r="DC63" i="2"/>
  <c r="DB63" i="2"/>
  <c r="DA63" i="2"/>
  <c r="CZ63" i="2"/>
  <c r="CY63" i="2"/>
  <c r="CX63" i="2"/>
  <c r="CW63" i="2"/>
  <c r="CV63" i="2"/>
  <c r="CU63" i="2"/>
  <c r="CT63" i="2"/>
  <c r="CS63" i="2"/>
  <c r="CR63" i="2"/>
  <c r="CQ63" i="2"/>
  <c r="CP63" i="2"/>
  <c r="CO63" i="2"/>
  <c r="CN63" i="2"/>
  <c r="CM63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EI108" i="2"/>
  <c r="EH108" i="2"/>
  <c r="EF108" i="2"/>
  <c r="BR62" i="2"/>
  <c r="BQ62" i="2"/>
  <c r="T66" i="2"/>
  <c r="S66" i="2"/>
  <c r="R66" i="2"/>
  <c r="Q66" i="2"/>
  <c r="P66" i="2"/>
  <c r="O66" i="2"/>
  <c r="N66" i="2"/>
  <c r="T65" i="2"/>
  <c r="S65" i="2"/>
  <c r="R65" i="2"/>
  <c r="Q65" i="2"/>
  <c r="P65" i="2"/>
  <c r="O65" i="2"/>
  <c r="N65" i="2"/>
  <c r="T64" i="2"/>
  <c r="S64" i="2"/>
  <c r="R64" i="2"/>
  <c r="Q64" i="2"/>
  <c r="P64" i="2"/>
  <c r="O64" i="2"/>
  <c r="N64" i="2"/>
  <c r="T63" i="2"/>
  <c r="S63" i="2"/>
  <c r="R63" i="2"/>
  <c r="Q63" i="2"/>
  <c r="P63" i="2"/>
  <c r="O63" i="2"/>
  <c r="N63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F60" i="2"/>
  <c r="DE60" i="2"/>
  <c r="DD60" i="2"/>
  <c r="DC60" i="2"/>
  <c r="DB60" i="2"/>
  <c r="DA60" i="2"/>
  <c r="CZ60" i="2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CE58" i="2"/>
  <c r="CE335" i="2" s="1"/>
  <c r="CE337" i="2" s="1"/>
  <c r="CD58" i="2"/>
  <c r="CD335" i="2" s="1"/>
  <c r="CD337" i="2" s="1"/>
  <c r="CC58" i="2"/>
  <c r="CC335" i="2" s="1"/>
  <c r="CC337" i="2" s="1"/>
  <c r="CB58" i="2"/>
  <c r="CB335" i="2" s="1"/>
  <c r="CB337" i="2" s="1"/>
  <c r="CA58" i="2"/>
  <c r="CA335" i="2" s="1"/>
  <c r="CA337" i="2" s="1"/>
  <c r="BZ58" i="2"/>
  <c r="BZ335" i="2" s="1"/>
  <c r="BZ337" i="2" s="1"/>
  <c r="BY58" i="2"/>
  <c r="BY335" i="2" s="1"/>
  <c r="BY337" i="2" s="1"/>
  <c r="BX58" i="2"/>
  <c r="BX335" i="2" s="1"/>
  <c r="BX337" i="2" s="1"/>
  <c r="BW58" i="2"/>
  <c r="BW335" i="2" s="1"/>
  <c r="BW337" i="2" s="1"/>
  <c r="BV58" i="2"/>
  <c r="BV335" i="2" s="1"/>
  <c r="BV337" i="2" s="1"/>
  <c r="BU58" i="2"/>
  <c r="BU335" i="2" s="1"/>
  <c r="BU337" i="2" s="1"/>
  <c r="BT58" i="2"/>
  <c r="BT335" i="2" s="1"/>
  <c r="BT337" i="2" s="1"/>
  <c r="BS58" i="2"/>
  <c r="BS335" i="2" s="1"/>
  <c r="BS337" i="2" s="1"/>
  <c r="BR58" i="2"/>
  <c r="BR335" i="2" s="1"/>
  <c r="BR337" i="2" s="1"/>
  <c r="BQ58" i="2"/>
  <c r="BQ335" i="2" s="1"/>
  <c r="BQ337" i="2" s="1"/>
  <c r="BP58" i="2"/>
  <c r="BP335" i="2" s="1"/>
  <c r="BP337" i="2" s="1"/>
  <c r="BO58" i="2"/>
  <c r="BO335" i="2" s="1"/>
  <c r="BO337" i="2" s="1"/>
  <c r="BN58" i="2"/>
  <c r="BN335" i="2" s="1"/>
  <c r="BN337" i="2" s="1"/>
  <c r="BM58" i="2"/>
  <c r="BM335" i="2" s="1"/>
  <c r="BM337" i="2" s="1"/>
  <c r="BL58" i="2"/>
  <c r="BL335" i="2" s="1"/>
  <c r="BL337" i="2" s="1"/>
  <c r="BK58" i="2"/>
  <c r="BK335" i="2" s="1"/>
  <c r="BK337" i="2" s="1"/>
  <c r="BJ58" i="2"/>
  <c r="BJ335" i="2" s="1"/>
  <c r="BJ337" i="2" s="1"/>
  <c r="BI58" i="2"/>
  <c r="BI335" i="2" s="1"/>
  <c r="BI337" i="2" s="1"/>
  <c r="BH58" i="2"/>
  <c r="BH335" i="2" s="1"/>
  <c r="BH337" i="2" s="1"/>
  <c r="BG58" i="2"/>
  <c r="BG335" i="2" s="1"/>
  <c r="BG337" i="2" s="1"/>
  <c r="BF58" i="2"/>
  <c r="BF335" i="2" s="1"/>
  <c r="BF337" i="2" s="1"/>
  <c r="BD58" i="2"/>
  <c r="BD335" i="2" s="1"/>
  <c r="BD337" i="2" s="1"/>
  <c r="BC58" i="2"/>
  <c r="BC335" i="2" s="1"/>
  <c r="BC337" i="2" s="1"/>
  <c r="BB58" i="2"/>
  <c r="BB335" i="2" s="1"/>
  <c r="BB337" i="2" s="1"/>
  <c r="AZ58" i="2"/>
  <c r="AZ335" i="2" s="1"/>
  <c r="AZ337" i="2" s="1"/>
  <c r="AY58" i="2"/>
  <c r="AY335" i="2" s="1"/>
  <c r="AY337" i="2" s="1"/>
  <c r="AX58" i="2"/>
  <c r="AX335" i="2" s="1"/>
  <c r="AX337" i="2" s="1"/>
  <c r="AV58" i="2"/>
  <c r="AV335" i="2" s="1"/>
  <c r="AV337" i="2" s="1"/>
  <c r="AU58" i="2"/>
  <c r="AU335" i="2" s="1"/>
  <c r="AU337" i="2" s="1"/>
  <c r="AT58" i="2"/>
  <c r="AT335" i="2" s="1"/>
  <c r="AT337" i="2" s="1"/>
  <c r="AS58" i="2"/>
  <c r="AS335" i="2" s="1"/>
  <c r="AS337" i="2" s="1"/>
  <c r="AR58" i="2"/>
  <c r="AR335" i="2" s="1"/>
  <c r="AR337" i="2" s="1"/>
  <c r="AQ58" i="2"/>
  <c r="AQ335" i="2" s="1"/>
  <c r="AQ337" i="2" s="1"/>
  <c r="AP58" i="2"/>
  <c r="AP335" i="2" s="1"/>
  <c r="AP337" i="2" s="1"/>
  <c r="AN58" i="2"/>
  <c r="AN335" i="2" s="1"/>
  <c r="AN337" i="2" s="1"/>
  <c r="AM58" i="2"/>
  <c r="AM335" i="2" s="1"/>
  <c r="AM337" i="2" s="1"/>
  <c r="AL58" i="2"/>
  <c r="AL335" i="2" s="1"/>
  <c r="AL337" i="2" s="1"/>
  <c r="AJ58" i="2"/>
  <c r="AJ335" i="2" s="1"/>
  <c r="AJ337" i="2" s="1"/>
  <c r="AI58" i="2"/>
  <c r="AI335" i="2" s="1"/>
  <c r="AI337" i="2" s="1"/>
  <c r="AH58" i="2"/>
  <c r="AH335" i="2" s="1"/>
  <c r="AH337" i="2" s="1"/>
  <c r="V58" i="2"/>
  <c r="V335" i="2" s="1"/>
  <c r="V337" i="2" s="1"/>
  <c r="U58" i="2"/>
  <c r="U335" i="2" s="1"/>
  <c r="U337" i="2" s="1"/>
  <c r="P58" i="2"/>
  <c r="P335" i="2" s="1"/>
  <c r="P337" i="2" s="1"/>
  <c r="O58" i="2"/>
  <c r="O335" i="2" s="1"/>
  <c r="O337" i="2" s="1"/>
  <c r="N58" i="2"/>
  <c r="N335" i="2" s="1"/>
  <c r="N337" i="2" s="1"/>
  <c r="M58" i="2"/>
  <c r="M335" i="2" s="1"/>
  <c r="M337" i="2" s="1"/>
  <c r="L58" i="2"/>
  <c r="L335" i="2" s="1"/>
  <c r="L337" i="2" s="1"/>
  <c r="K58" i="2"/>
  <c r="K335" i="2" s="1"/>
  <c r="K337" i="2" s="1"/>
  <c r="J58" i="2"/>
  <c r="J335" i="2" s="1"/>
  <c r="J337" i="2" s="1"/>
  <c r="I58" i="2"/>
  <c r="I335" i="2" s="1"/>
  <c r="I337" i="2" s="1"/>
  <c r="H58" i="2"/>
  <c r="H335" i="2" s="1"/>
  <c r="H337" i="2" s="1"/>
  <c r="G58" i="2"/>
  <c r="G335" i="2" s="1"/>
  <c r="G337" i="2" s="1"/>
  <c r="F58" i="2"/>
  <c r="F335" i="2" s="1"/>
  <c r="F337" i="2" s="1"/>
  <c r="E58" i="2"/>
  <c r="E335" i="2" s="1"/>
  <c r="E337" i="2" s="1"/>
  <c r="CS55" i="2"/>
  <c r="CO55" i="2"/>
  <c r="CK55" i="2"/>
  <c r="CE55" i="2"/>
  <c r="CD55" i="2"/>
  <c r="CG55" i="2" s="1"/>
  <c r="CB55" i="2"/>
  <c r="CA55" i="2"/>
  <c r="BZ55" i="2"/>
  <c r="BX55" i="2"/>
  <c r="BY55" i="2" s="1"/>
  <c r="BW55" i="2"/>
  <c r="BV55" i="2"/>
  <c r="BT55" i="2"/>
  <c r="BU55" i="2" s="1"/>
  <c r="BS55" i="2"/>
  <c r="BR55" i="2"/>
  <c r="BP55" i="2"/>
  <c r="BO55" i="2"/>
  <c r="BN55" i="2"/>
  <c r="BL55" i="2"/>
  <c r="BK55" i="2"/>
  <c r="BJ55" i="2"/>
  <c r="BH55" i="2"/>
  <c r="BI55" i="2" s="1"/>
  <c r="BG55" i="2"/>
  <c r="BF55" i="2"/>
  <c r="BD55" i="2"/>
  <c r="BE55" i="2" s="1"/>
  <c r="BC55" i="2"/>
  <c r="BB55" i="2"/>
  <c r="AZ55" i="2"/>
  <c r="AY55" i="2"/>
  <c r="AX55" i="2"/>
  <c r="AV55" i="2"/>
  <c r="AU55" i="2"/>
  <c r="AT55" i="2"/>
  <c r="AR55" i="2"/>
  <c r="AS55" i="2" s="1"/>
  <c r="AQ55" i="2"/>
  <c r="AP55" i="2"/>
  <c r="AN55" i="2"/>
  <c r="AO55" i="2" s="1"/>
  <c r="AM55" i="2"/>
  <c r="AL55" i="2"/>
  <c r="AJ55" i="2"/>
  <c r="AI55" i="2"/>
  <c r="AH55" i="2"/>
  <c r="ED55" i="2"/>
  <c r="EC55" i="2"/>
  <c r="CX53" i="2"/>
  <c r="V55" i="2"/>
  <c r="U55" i="2"/>
  <c r="T55" i="2"/>
  <c r="S55" i="2"/>
  <c r="R55" i="2"/>
  <c r="Q55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N49" i="2"/>
  <c r="DM49" i="2"/>
  <c r="DD49" i="2"/>
  <c r="DC49" i="2"/>
  <c r="CY49" i="2"/>
  <c r="CR49" i="2"/>
  <c r="CQ49" i="2"/>
  <c r="CO49" i="2"/>
  <c r="CK49" i="2"/>
  <c r="CG49" i="2"/>
  <c r="CC49" i="2"/>
  <c r="BY49" i="2"/>
  <c r="BU49" i="2"/>
  <c r="BQ49" i="2"/>
  <c r="BF49" i="2"/>
  <c r="AW49" i="2"/>
  <c r="AW48" i="2"/>
  <c r="AW216" i="2" s="1"/>
  <c r="AW47" i="2"/>
  <c r="AW46" i="2"/>
  <c r="AW45" i="2"/>
  <c r="AR49" i="2"/>
  <c r="AQ49" i="2"/>
  <c r="AS49" i="2" s="1"/>
  <c r="G49" i="2" s="1"/>
  <c r="AO49" i="2"/>
  <c r="AJ49" i="2"/>
  <c r="AI49" i="2"/>
  <c r="AH49" i="2"/>
  <c r="AK49" i="2" s="1"/>
  <c r="E49" i="2" s="1"/>
  <c r="DE48" i="2"/>
  <c r="DE216" i="2" s="1"/>
  <c r="CZ48" i="2"/>
  <c r="CZ216" i="2" s="1"/>
  <c r="DY46" i="2"/>
  <c r="DX46" i="2"/>
  <c r="DU46" i="2"/>
  <c r="DU45" i="2"/>
  <c r="DS46" i="2"/>
  <c r="DS45" i="2"/>
  <c r="DQ46" i="2"/>
  <c r="DQ45" i="2"/>
  <c r="CC46" i="2"/>
  <c r="CC45" i="2"/>
  <c r="AS46" i="2"/>
  <c r="ED46" i="2"/>
  <c r="EC46" i="2"/>
  <c r="EB46" i="2"/>
  <c r="EA46" i="2"/>
  <c r="ED45" i="2"/>
  <c r="EC45" i="2"/>
  <c r="EB45" i="2"/>
  <c r="EA45" i="2"/>
  <c r="DZ45" i="2"/>
  <c r="DY45" i="2"/>
  <c r="DX45" i="2"/>
  <c r="DW45" i="2"/>
  <c r="DV45" i="2"/>
  <c r="DR45" i="2"/>
  <c r="DP45" i="2"/>
  <c r="DO45" i="2"/>
  <c r="DN45" i="2"/>
  <c r="DM45" i="2"/>
  <c r="DL45" i="2"/>
  <c r="DK45" i="2"/>
  <c r="DJ45" i="2"/>
  <c r="DI45" i="2"/>
  <c r="DG45" i="2"/>
  <c r="DF45" i="2"/>
  <c r="DE45" i="2"/>
  <c r="DD45" i="2"/>
  <c r="DC45" i="2"/>
  <c r="DB45" i="2"/>
  <c r="CZ45" i="2"/>
  <c r="CY45" i="2"/>
  <c r="CX45" i="2"/>
  <c r="CW45" i="2"/>
  <c r="CV45" i="2"/>
  <c r="CU45" i="2"/>
  <c r="CT45" i="2"/>
  <c r="CR45" i="2"/>
  <c r="CQ45" i="2"/>
  <c r="CO45" i="2"/>
  <c r="CK45" i="2"/>
  <c r="CG45" i="2"/>
  <c r="CD45" i="2"/>
  <c r="N49" i="2"/>
  <c r="M49" i="2"/>
  <c r="L49" i="2"/>
  <c r="K49" i="2"/>
  <c r="J49" i="2"/>
  <c r="I49" i="2"/>
  <c r="H49" i="2"/>
  <c r="F49" i="2"/>
  <c r="N48" i="2"/>
  <c r="N216" i="2" s="1"/>
  <c r="M48" i="2"/>
  <c r="M216" i="2" s="1"/>
  <c r="L48" i="2"/>
  <c r="L216" i="2" s="1"/>
  <c r="K48" i="2"/>
  <c r="K216" i="2" s="1"/>
  <c r="J48" i="2"/>
  <c r="J216" i="2" s="1"/>
  <c r="I48" i="2"/>
  <c r="I216" i="2" s="1"/>
  <c r="H48" i="2"/>
  <c r="H216" i="2" s="1"/>
  <c r="G48" i="2"/>
  <c r="G216" i="2" s="1"/>
  <c r="F48" i="2"/>
  <c r="F216" i="2" s="1"/>
  <c r="E48" i="2"/>
  <c r="E216" i="2" s="1"/>
  <c r="N47" i="2"/>
  <c r="M47" i="2"/>
  <c r="L47" i="2"/>
  <c r="K47" i="2"/>
  <c r="J47" i="2"/>
  <c r="I47" i="2"/>
  <c r="H47" i="2"/>
  <c r="G47" i="2"/>
  <c r="F47" i="2"/>
  <c r="E47" i="2"/>
  <c r="N46" i="2"/>
  <c r="M46" i="2"/>
  <c r="L46" i="2"/>
  <c r="K46" i="2"/>
  <c r="J46" i="2"/>
  <c r="I46" i="2"/>
  <c r="H46" i="2"/>
  <c r="G46" i="2"/>
  <c r="F46" i="2"/>
  <c r="E46" i="2"/>
  <c r="N45" i="2"/>
  <c r="M45" i="2"/>
  <c r="L45" i="2"/>
  <c r="K45" i="2"/>
  <c r="J45" i="2"/>
  <c r="I45" i="2"/>
  <c r="H45" i="2"/>
  <c r="G45" i="2"/>
  <c r="F45" i="2"/>
  <c r="E45" i="2"/>
  <c r="BI41" i="2"/>
  <c r="BI36" i="2"/>
  <c r="BI97" i="2" s="1"/>
  <c r="BE41" i="2"/>
  <c r="BE36" i="2"/>
  <c r="BE97" i="2" s="1"/>
  <c r="BA41" i="2"/>
  <c r="BA39" i="2"/>
  <c r="BA37" i="2"/>
  <c r="BA36" i="2"/>
  <c r="BA97" i="2" s="1"/>
  <c r="AW41" i="2"/>
  <c r="AW39" i="2"/>
  <c r="AW36" i="2"/>
  <c r="AS41" i="2"/>
  <c r="AS36" i="2"/>
  <c r="AS97" i="2" s="1"/>
  <c r="AS35" i="2"/>
  <c r="AS33" i="2"/>
  <c r="AS31" i="2"/>
  <c r="AS30" i="2"/>
  <c r="AS91" i="2" s="1"/>
  <c r="AO41" i="2"/>
  <c r="AO39" i="2"/>
  <c r="AO36" i="2"/>
  <c r="AO97" i="2" s="1"/>
  <c r="AO35" i="2"/>
  <c r="AO33" i="2"/>
  <c r="AO94" i="2" s="1"/>
  <c r="AO31" i="2"/>
  <c r="AO30" i="2"/>
  <c r="AO91" i="2" s="1"/>
  <c r="AK41" i="2"/>
  <c r="AK36" i="2"/>
  <c r="AK97" i="2" s="1"/>
  <c r="DG39" i="2"/>
  <c r="DF39" i="2"/>
  <c r="DE39" i="2"/>
  <c r="DD39" i="2"/>
  <c r="DC39" i="2"/>
  <c r="DB39" i="2"/>
  <c r="CZ39" i="2"/>
  <c r="CY39" i="2"/>
  <c r="CX39" i="2"/>
  <c r="CW39" i="2"/>
  <c r="CV39" i="2"/>
  <c r="CU39" i="2"/>
  <c r="CT39" i="2"/>
  <c r="CS39" i="2"/>
  <c r="CR39" i="2"/>
  <c r="CQ39" i="2"/>
  <c r="CP39" i="2"/>
  <c r="CO39" i="2"/>
  <c r="CK39" i="2"/>
  <c r="CG39" i="2"/>
  <c r="CD39" i="2"/>
  <c r="CC39" i="2"/>
  <c r="BY39" i="2"/>
  <c r="BU39" i="2"/>
  <c r="BT39" i="2"/>
  <c r="BQ39" i="2"/>
  <c r="BD39" i="2"/>
  <c r="BD37" i="2"/>
  <c r="AV39" i="2"/>
  <c r="AV37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BG37" i="2"/>
  <c r="BC37" i="2"/>
  <c r="AP37" i="2"/>
  <c r="AS37" i="2" s="1"/>
  <c r="G37" i="2" s="1"/>
  <c r="EC37" i="2"/>
  <c r="EC36" i="2"/>
  <c r="EC97" i="2" s="1"/>
  <c r="DY37" i="2"/>
  <c r="DX37" i="2"/>
  <c r="DW37" i="2"/>
  <c r="DV37" i="2"/>
  <c r="DU37" i="2"/>
  <c r="DT37" i="2"/>
  <c r="DR37" i="2"/>
  <c r="DO37" i="2"/>
  <c r="DN37" i="2"/>
  <c r="DM37" i="2"/>
  <c r="DL37" i="2"/>
  <c r="DI37" i="2"/>
  <c r="DF37" i="2"/>
  <c r="DF36" i="2"/>
  <c r="DD37" i="2"/>
  <c r="CR37" i="2"/>
  <c r="CQ37" i="2"/>
  <c r="CP37" i="2"/>
  <c r="CO37" i="2"/>
  <c r="CN37" i="2"/>
  <c r="CM37" i="2"/>
  <c r="CL37" i="2"/>
  <c r="CK37" i="2"/>
  <c r="CJ37" i="2"/>
  <c r="CH37" i="2"/>
  <c r="CG37" i="2"/>
  <c r="CE37" i="2"/>
  <c r="CD37" i="2"/>
  <c r="CC37" i="2"/>
  <c r="CA37" i="2"/>
  <c r="BZ37" i="2"/>
  <c r="BY37" i="2"/>
  <c r="BU37" i="2"/>
  <c r="BT37" i="2"/>
  <c r="BQ37" i="2"/>
  <c r="BN37" i="2"/>
  <c r="BM37" i="2"/>
  <c r="BL37" i="2"/>
  <c r="AZ37" i="2"/>
  <c r="AY37" i="2"/>
  <c r="AX37" i="2"/>
  <c r="AU37" i="2"/>
  <c r="AT37" i="2"/>
  <c r="AW37" i="2" s="1"/>
  <c r="H37" i="2" s="1"/>
  <c r="AR39" i="2"/>
  <c r="AQ39" i="2"/>
  <c r="AS39" i="2" s="1"/>
  <c r="AR37" i="2"/>
  <c r="AQ37" i="2"/>
  <c r="AN37" i="2"/>
  <c r="AM37" i="2"/>
  <c r="AL37" i="2"/>
  <c r="AO37" i="2" s="1"/>
  <c r="F37" i="2" s="1"/>
  <c r="AJ39" i="2"/>
  <c r="AI39" i="2"/>
  <c r="AH39" i="2"/>
  <c r="AJ37" i="2"/>
  <c r="AI37" i="2"/>
  <c r="AH37" i="2"/>
  <c r="AK37" i="2" s="1"/>
  <c r="E37" i="2" s="1"/>
  <c r="DU33" i="2"/>
  <c r="DU94" i="2" s="1"/>
  <c r="DS33" i="2"/>
  <c r="DQ33" i="2"/>
  <c r="DO33" i="2"/>
  <c r="DI33" i="2"/>
  <c r="BI33" i="2"/>
  <c r="BI94" i="2" s="1"/>
  <c r="BE33" i="2"/>
  <c r="BA33" i="2"/>
  <c r="BA94" i="2" s="1"/>
  <c r="AW33" i="2"/>
  <c r="AK33" i="2"/>
  <c r="AK94" i="2" s="1"/>
  <c r="AK31" i="2"/>
  <c r="AK30" i="2"/>
  <c r="AK91" i="2" s="1"/>
  <c r="ED33" i="2"/>
  <c r="EC33" i="2"/>
  <c r="EB33" i="2"/>
  <c r="EA33" i="2"/>
  <c r="DZ33" i="2"/>
  <c r="DY33" i="2"/>
  <c r="DY94" i="2" s="1"/>
  <c r="EE36" i="2"/>
  <c r="EE35" i="2"/>
  <c r="EE33" i="2"/>
  <c r="EE31" i="2"/>
  <c r="EB31" i="2"/>
  <c r="EA31" i="2"/>
  <c r="CR31" i="2"/>
  <c r="ED30" i="2"/>
  <c r="ED204" i="2" s="1"/>
  <c r="ED27" i="2"/>
  <c r="ED89" i="2" s="1"/>
  <c r="ED26" i="2"/>
  <c r="ED88" i="2" s="1"/>
  <c r="EB30" i="2"/>
  <c r="EB26" i="2"/>
  <c r="EB88" i="2" s="1"/>
  <c r="DX30" i="2"/>
  <c r="DS30" i="2"/>
  <c r="DS26" i="2"/>
  <c r="DS88" i="2" s="1"/>
  <c r="DC30" i="2"/>
  <c r="DC27" i="2"/>
  <c r="DC89" i="2" s="1"/>
  <c r="DC26" i="2"/>
  <c r="DC88" i="2" s="1"/>
  <c r="DC25" i="2"/>
  <c r="DC87" i="2" s="1"/>
  <c r="BI30" i="2"/>
  <c r="BI91" i="2" s="1"/>
  <c r="BE30" i="2"/>
  <c r="BE91" i="2" s="1"/>
  <c r="BA30" i="2"/>
  <c r="BA91" i="2" s="1"/>
  <c r="AW30" i="2"/>
  <c r="AW91" i="2" s="1"/>
  <c r="EC27" i="2"/>
  <c r="EC89" i="2" s="1"/>
  <c r="EC26" i="2"/>
  <c r="EC88" i="2" s="1"/>
  <c r="BY29" i="2"/>
  <c r="BY86" i="2" s="1"/>
  <c r="BX29" i="2"/>
  <c r="BX86" i="2" s="1"/>
  <c r="BW29" i="2"/>
  <c r="BW86" i="2" s="1"/>
  <c r="BV29" i="2"/>
  <c r="BV86" i="2" s="1"/>
  <c r="BU29" i="2"/>
  <c r="BU86" i="2" s="1"/>
  <c r="BT29" i="2"/>
  <c r="BT86" i="2" s="1"/>
  <c r="BS29" i="2"/>
  <c r="BS86" i="2" s="1"/>
  <c r="BR29" i="2"/>
  <c r="BR32" i="2" s="1"/>
  <c r="BQ29" i="2"/>
  <c r="BQ86" i="2" s="1"/>
  <c r="BP29" i="2"/>
  <c r="BP86" i="2" s="1"/>
  <c r="BO29" i="2"/>
  <c r="BO86" i="2" s="1"/>
  <c r="BN29" i="2"/>
  <c r="BN86" i="2" s="1"/>
  <c r="BM29" i="2"/>
  <c r="BM86" i="2" s="1"/>
  <c r="BL29" i="2"/>
  <c r="BL86" i="2" s="1"/>
  <c r="BK29" i="2"/>
  <c r="BK86" i="2" s="1"/>
  <c r="BJ29" i="2"/>
  <c r="BJ32" i="2" s="1"/>
  <c r="BH29" i="2"/>
  <c r="BH86" i="2" s="1"/>
  <c r="BG29" i="2"/>
  <c r="BG86" i="2" s="1"/>
  <c r="BF29" i="2"/>
  <c r="BF86" i="2" s="1"/>
  <c r="BD29" i="2"/>
  <c r="BD86" i="2" s="1"/>
  <c r="BC29" i="2"/>
  <c r="BC86" i="2" s="1"/>
  <c r="BB29" i="2"/>
  <c r="BB32" i="2" s="1"/>
  <c r="AZ29" i="2"/>
  <c r="AZ86" i="2" s="1"/>
  <c r="AY29" i="2"/>
  <c r="AY86" i="2" s="1"/>
  <c r="AX29" i="2"/>
  <c r="AX86" i="2" s="1"/>
  <c r="AV29" i="2"/>
  <c r="AV86" i="2" s="1"/>
  <c r="AU29" i="2"/>
  <c r="AU86" i="2" s="1"/>
  <c r="AT29" i="2"/>
  <c r="AT32" i="2" s="1"/>
  <c r="AR29" i="2"/>
  <c r="AR86" i="2" s="1"/>
  <c r="AQ29" i="2"/>
  <c r="AQ86" i="2" s="1"/>
  <c r="AP29" i="2"/>
  <c r="AP86" i="2" s="1"/>
  <c r="AN29" i="2"/>
  <c r="AN86" i="2" s="1"/>
  <c r="AM29" i="2"/>
  <c r="AM86" i="2" s="1"/>
  <c r="AL29" i="2"/>
  <c r="AL32" i="2" s="1"/>
  <c r="AJ29" i="2"/>
  <c r="AJ86" i="2" s="1"/>
  <c r="AI29" i="2"/>
  <c r="AI86" i="2" s="1"/>
  <c r="AH29" i="2"/>
  <c r="AH86" i="2" s="1"/>
  <c r="N41" i="2"/>
  <c r="M41" i="2"/>
  <c r="L41" i="2"/>
  <c r="K41" i="2"/>
  <c r="J41" i="2"/>
  <c r="I41" i="2"/>
  <c r="H41" i="2"/>
  <c r="G41" i="2"/>
  <c r="F41" i="2"/>
  <c r="E41" i="2"/>
  <c r="I39" i="2"/>
  <c r="H39" i="2"/>
  <c r="F39" i="2"/>
  <c r="I37" i="2"/>
  <c r="M36" i="2"/>
  <c r="L36" i="2"/>
  <c r="K36" i="2"/>
  <c r="J36" i="2"/>
  <c r="I36" i="2"/>
  <c r="H36" i="2"/>
  <c r="G36" i="2"/>
  <c r="F36" i="2"/>
  <c r="E36" i="2"/>
  <c r="M35" i="2"/>
  <c r="L35" i="2"/>
  <c r="K35" i="2"/>
  <c r="J35" i="2"/>
  <c r="I35" i="2"/>
  <c r="H35" i="2"/>
  <c r="G35" i="2"/>
  <c r="F35" i="2"/>
  <c r="E35" i="2"/>
  <c r="N33" i="2"/>
  <c r="M33" i="2"/>
  <c r="L33" i="2"/>
  <c r="K33" i="2"/>
  <c r="K95" i="2" s="1"/>
  <c r="J33" i="2"/>
  <c r="I33" i="2"/>
  <c r="H33" i="2"/>
  <c r="G33" i="2"/>
  <c r="F33" i="2"/>
  <c r="E33" i="2"/>
  <c r="N31" i="2"/>
  <c r="M31" i="2"/>
  <c r="L31" i="2"/>
  <c r="K31" i="2"/>
  <c r="K92" i="2" s="1"/>
  <c r="J31" i="2"/>
  <c r="I31" i="2"/>
  <c r="H31" i="2"/>
  <c r="G31" i="2"/>
  <c r="G92" i="2" s="1"/>
  <c r="F31" i="2"/>
  <c r="E31" i="2"/>
  <c r="N30" i="2"/>
  <c r="M30" i="2"/>
  <c r="L30" i="2"/>
  <c r="K30" i="2"/>
  <c r="K91" i="2" s="1"/>
  <c r="J30" i="2"/>
  <c r="I30" i="2"/>
  <c r="H30" i="2"/>
  <c r="G30" i="2"/>
  <c r="G91" i="2" s="1"/>
  <c r="F30" i="2"/>
  <c r="E30" i="2"/>
  <c r="EI30" i="2"/>
  <c r="EH30" i="2"/>
  <c r="EE28" i="2"/>
  <c r="EE90" i="2" s="1"/>
  <c r="EA27" i="2"/>
  <c r="EA89" i="2" s="1"/>
  <c r="DY27" i="2"/>
  <c r="DY89" i="2" s="1"/>
  <c r="EA26" i="2"/>
  <c r="EA88" i="2" s="1"/>
  <c r="DZ26" i="2"/>
  <c r="DZ88" i="2" s="1"/>
  <c r="DV26" i="2"/>
  <c r="DV88" i="2" s="1"/>
  <c r="DU26" i="2"/>
  <c r="DU88" i="2" s="1"/>
  <c r="DT26" i="2"/>
  <c r="DT88" i="2" s="1"/>
  <c r="DR27" i="2"/>
  <c r="DR89" i="2" s="1"/>
  <c r="DQ27" i="2"/>
  <c r="DQ89" i="2" s="1"/>
  <c r="DP27" i="2"/>
  <c r="DP89" i="2" s="1"/>
  <c r="DO27" i="2"/>
  <c r="DO89" i="2" s="1"/>
  <c r="DN27" i="2"/>
  <c r="DN89" i="2" s="1"/>
  <c r="DM27" i="2"/>
  <c r="DM89" i="2" s="1"/>
  <c r="DL27" i="2"/>
  <c r="DL89" i="2" s="1"/>
  <c r="DK27" i="2"/>
  <c r="DK89" i="2" s="1"/>
  <c r="DJ27" i="2"/>
  <c r="DJ89" i="2" s="1"/>
  <c r="DI27" i="2"/>
  <c r="DI89" i="2" s="1"/>
  <c r="DH27" i="2"/>
  <c r="DH89" i="2" s="1"/>
  <c r="DG27" i="2"/>
  <c r="DG89" i="2" s="1"/>
  <c r="DF27" i="2"/>
  <c r="DF89" i="2" s="1"/>
  <c r="DE27" i="2"/>
  <c r="DE89" i="2" s="1"/>
  <c r="DD27" i="2"/>
  <c r="DD89" i="2" s="1"/>
  <c r="DR26" i="2"/>
  <c r="DR88" i="2" s="1"/>
  <c r="DQ26" i="2"/>
  <c r="DQ88" i="2" s="1"/>
  <c r="DP26" i="2"/>
  <c r="DP88" i="2" s="1"/>
  <c r="DO26" i="2"/>
  <c r="DO88" i="2" s="1"/>
  <c r="DN26" i="2"/>
  <c r="DN88" i="2" s="1"/>
  <c r="DM26" i="2"/>
  <c r="DM88" i="2" s="1"/>
  <c r="DL26" i="2"/>
  <c r="DL88" i="2" s="1"/>
  <c r="DK26" i="2"/>
  <c r="DK88" i="2" s="1"/>
  <c r="DJ26" i="2"/>
  <c r="DJ88" i="2" s="1"/>
  <c r="DI26" i="2"/>
  <c r="DI88" i="2" s="1"/>
  <c r="DH26" i="2"/>
  <c r="DH88" i="2" s="1"/>
  <c r="DG26" i="2"/>
  <c r="DG88" i="2" s="1"/>
  <c r="DF26" i="2"/>
  <c r="DF88" i="2" s="1"/>
  <c r="DE26" i="2"/>
  <c r="DE88" i="2" s="1"/>
  <c r="DD26" i="2"/>
  <c r="DD88" i="2" s="1"/>
  <c r="DQ25" i="2"/>
  <c r="DQ87" i="2" s="1"/>
  <c r="DP25" i="2"/>
  <c r="DP87" i="2" s="1"/>
  <c r="DO25" i="2"/>
  <c r="DO87" i="2" s="1"/>
  <c r="DL25" i="2"/>
  <c r="DL87" i="2" s="1"/>
  <c r="DK25" i="2"/>
  <c r="DK87" i="2" s="1"/>
  <c r="DJ25" i="2"/>
  <c r="DJ87" i="2" s="1"/>
  <c r="DI25" i="2"/>
  <c r="DI87" i="2" s="1"/>
  <c r="DH25" i="2"/>
  <c r="DH87" i="2" s="1"/>
  <c r="DG25" i="2"/>
  <c r="DF25" i="2"/>
  <c r="DF87" i="2" s="1"/>
  <c r="DE25" i="2"/>
  <c r="DE87" i="2" s="1"/>
  <c r="DB27" i="2"/>
  <c r="DB89" i="2" s="1"/>
  <c r="DA27" i="2"/>
  <c r="DA89" i="2" s="1"/>
  <c r="CZ27" i="2"/>
  <c r="CZ89" i="2" s="1"/>
  <c r="CX27" i="2"/>
  <c r="CX89" i="2" s="1"/>
  <c r="CW27" i="2"/>
  <c r="CW89" i="2" s="1"/>
  <c r="CV27" i="2"/>
  <c r="CV89" i="2" s="1"/>
  <c r="CU27" i="2"/>
  <c r="CU89" i="2" s="1"/>
  <c r="CT27" i="2"/>
  <c r="CT89" i="2" s="1"/>
  <c r="CS27" i="2"/>
  <c r="CS89" i="2" s="1"/>
  <c r="CR27" i="2"/>
  <c r="CR89" i="2" s="1"/>
  <c r="CP27" i="2"/>
  <c r="CP89" i="2" s="1"/>
  <c r="CO27" i="2"/>
  <c r="CO89" i="2" s="1"/>
  <c r="CN27" i="2"/>
  <c r="CN89" i="2" s="1"/>
  <c r="CM27" i="2"/>
  <c r="CM89" i="2" s="1"/>
  <c r="CL27" i="2"/>
  <c r="CL89" i="2" s="1"/>
  <c r="CK27" i="2"/>
  <c r="CK89" i="2" s="1"/>
  <c r="CJ27" i="2"/>
  <c r="CJ89" i="2" s="1"/>
  <c r="CI27" i="2"/>
  <c r="CI89" i="2" s="1"/>
  <c r="CH27" i="2"/>
  <c r="CH89" i="2" s="1"/>
  <c r="CG27" i="2"/>
  <c r="CG89" i="2" s="1"/>
  <c r="CF27" i="2"/>
  <c r="CF89" i="2" s="1"/>
  <c r="CE27" i="2"/>
  <c r="CE89" i="2" s="1"/>
  <c r="CD27" i="2"/>
  <c r="CD89" i="2" s="1"/>
  <c r="CC27" i="2"/>
  <c r="CC89" i="2" s="1"/>
  <c r="CB27" i="2"/>
  <c r="CB89" i="2" s="1"/>
  <c r="CA27" i="2"/>
  <c r="CA89" i="2" s="1"/>
  <c r="BZ27" i="2"/>
  <c r="BZ89" i="2" s="1"/>
  <c r="BY27" i="2"/>
  <c r="BY89" i="2" s="1"/>
  <c r="BX27" i="2"/>
  <c r="BX89" i="2" s="1"/>
  <c r="BW27" i="2"/>
  <c r="BW89" i="2" s="1"/>
  <c r="BV27" i="2"/>
  <c r="BV89" i="2" s="1"/>
  <c r="BU27" i="2"/>
  <c r="BU89" i="2" s="1"/>
  <c r="DB26" i="2"/>
  <c r="DB88" i="2" s="1"/>
  <c r="DA26" i="2"/>
  <c r="DA88" i="2" s="1"/>
  <c r="CZ26" i="2"/>
  <c r="CZ88" i="2" s="1"/>
  <c r="CY26" i="2"/>
  <c r="CY88" i="2" s="1"/>
  <c r="CX26" i="2"/>
  <c r="CX88" i="2" s="1"/>
  <c r="CW26" i="2"/>
  <c r="CW88" i="2" s="1"/>
  <c r="CV26" i="2"/>
  <c r="CV88" i="2" s="1"/>
  <c r="CU26" i="2"/>
  <c r="CU88" i="2" s="1"/>
  <c r="CT26" i="2"/>
  <c r="CS26" i="2"/>
  <c r="CS88" i="2" s="1"/>
  <c r="CR26" i="2"/>
  <c r="CR88" i="2" s="1"/>
  <c r="CQ26" i="2"/>
  <c r="CQ88" i="2" s="1"/>
  <c r="CP26" i="2"/>
  <c r="CO26" i="2"/>
  <c r="CO88" i="2" s="1"/>
  <c r="CN26" i="2"/>
  <c r="CN88" i="2" s="1"/>
  <c r="CM26" i="2"/>
  <c r="CM88" i="2" s="1"/>
  <c r="CL26" i="2"/>
  <c r="CL88" i="2" s="1"/>
  <c r="CK26" i="2"/>
  <c r="CK88" i="2" s="1"/>
  <c r="CJ26" i="2"/>
  <c r="CJ88" i="2" s="1"/>
  <c r="CI26" i="2"/>
  <c r="CI88" i="2" s="1"/>
  <c r="CH26" i="2"/>
  <c r="CH88" i="2" s="1"/>
  <c r="CG26" i="2"/>
  <c r="CG88" i="2" s="1"/>
  <c r="CF26" i="2"/>
  <c r="CF88" i="2" s="1"/>
  <c r="CE26" i="2"/>
  <c r="CE88" i="2" s="1"/>
  <c r="CD26" i="2"/>
  <c r="CC26" i="2"/>
  <c r="CC88" i="2" s="1"/>
  <c r="CB26" i="2"/>
  <c r="CB88" i="2" s="1"/>
  <c r="CA26" i="2"/>
  <c r="CA88" i="2" s="1"/>
  <c r="BZ26" i="2"/>
  <c r="BY26" i="2"/>
  <c r="BY88" i="2" s="1"/>
  <c r="BX26" i="2"/>
  <c r="BX88" i="2" s="1"/>
  <c r="BW26" i="2"/>
  <c r="BW88" i="2" s="1"/>
  <c r="BV26" i="2"/>
  <c r="BV88" i="2" s="1"/>
  <c r="BU26" i="2"/>
  <c r="BU88" i="2" s="1"/>
  <c r="DB25" i="2"/>
  <c r="DB87" i="2" s="1"/>
  <c r="DA25" i="2"/>
  <c r="DA87" i="2" s="1"/>
  <c r="CZ25" i="2"/>
  <c r="CZ87" i="2" s="1"/>
  <c r="CY25" i="2"/>
  <c r="CY87" i="2" s="1"/>
  <c r="CX25" i="2"/>
  <c r="CX87" i="2" s="1"/>
  <c r="CW25" i="2"/>
  <c r="CW87" i="2" s="1"/>
  <c r="CV25" i="2"/>
  <c r="CV87" i="2" s="1"/>
  <c r="CU25" i="2"/>
  <c r="CU87" i="2" s="1"/>
  <c r="CT25" i="2"/>
  <c r="CT87" i="2" s="1"/>
  <c r="CS25" i="2"/>
  <c r="CS87" i="2" s="1"/>
  <c r="CR25" i="2"/>
  <c r="CR87" i="2" s="1"/>
  <c r="CQ25" i="2"/>
  <c r="CQ87" i="2" s="1"/>
  <c r="CP25" i="2"/>
  <c r="CP87" i="2" s="1"/>
  <c r="CO25" i="2"/>
  <c r="CO87" i="2" s="1"/>
  <c r="CN25" i="2"/>
  <c r="CN87" i="2" s="1"/>
  <c r="CM25" i="2"/>
  <c r="CM87" i="2" s="1"/>
  <c r="CL25" i="2"/>
  <c r="CL87" i="2" s="1"/>
  <c r="CK25" i="2"/>
  <c r="CK87" i="2" s="1"/>
  <c r="CJ25" i="2"/>
  <c r="CJ87" i="2" s="1"/>
  <c r="CI25" i="2"/>
  <c r="CI87" i="2" s="1"/>
  <c r="CH25" i="2"/>
  <c r="CH87" i="2" s="1"/>
  <c r="CG25" i="2"/>
  <c r="CG87" i="2" s="1"/>
  <c r="CF25" i="2"/>
  <c r="CF87" i="2" s="1"/>
  <c r="CE25" i="2"/>
  <c r="CE87" i="2" s="1"/>
  <c r="CD25" i="2"/>
  <c r="CD87" i="2" s="1"/>
  <c r="CC25" i="2"/>
  <c r="CC87" i="2" s="1"/>
  <c r="CB25" i="2"/>
  <c r="CB87" i="2" s="1"/>
  <c r="CA25" i="2"/>
  <c r="CA87" i="2" s="1"/>
  <c r="BZ25" i="2"/>
  <c r="BZ87" i="2" s="1"/>
  <c r="BY25" i="2"/>
  <c r="BY87" i="2" s="1"/>
  <c r="BX25" i="2"/>
  <c r="BX87" i="2" s="1"/>
  <c r="BW25" i="2"/>
  <c r="BW87" i="2" s="1"/>
  <c r="BV25" i="2"/>
  <c r="BV87" i="2" s="1"/>
  <c r="BT25" i="2"/>
  <c r="BT87" i="2" s="1"/>
  <c r="BS25" i="2"/>
  <c r="BS87" i="2" s="1"/>
  <c r="N26" i="2"/>
  <c r="DZ22" i="2"/>
  <c r="DY22" i="2"/>
  <c r="DX22" i="2"/>
  <c r="DW22" i="2"/>
  <c r="DV22" i="2"/>
  <c r="DF22" i="2"/>
  <c r="DE22" i="2"/>
  <c r="DD22" i="2"/>
  <c r="CY22" i="2"/>
  <c r="CY20" i="2"/>
  <c r="CY186" i="2" s="1"/>
  <c r="CY189" i="2" s="1"/>
  <c r="CY196" i="2" s="1"/>
  <c r="CC22" i="2"/>
  <c r="CC21" i="2"/>
  <c r="CC28" i="2" s="1"/>
  <c r="CC90" i="2" s="1"/>
  <c r="BZ22" i="2"/>
  <c r="BZ21" i="2"/>
  <c r="BZ28" i="2" s="1"/>
  <c r="BI22" i="2"/>
  <c r="BE22" i="2"/>
  <c r="BA22" i="2"/>
  <c r="AW22" i="2"/>
  <c r="AS22" i="2"/>
  <c r="AO22" i="2"/>
  <c r="AK22" i="2"/>
  <c r="N22" i="2"/>
  <c r="M22" i="2"/>
  <c r="L22" i="2"/>
  <c r="K22" i="2"/>
  <c r="J22" i="2"/>
  <c r="I22" i="2"/>
  <c r="H22" i="2"/>
  <c r="G22" i="2"/>
  <c r="F22" i="2"/>
  <c r="E22" i="2"/>
  <c r="ED21" i="2"/>
  <c r="ED28" i="2" s="1"/>
  <c r="ED90" i="2" s="1"/>
  <c r="EC21" i="2"/>
  <c r="EC28" i="2" s="1"/>
  <c r="EC90" i="2" s="1"/>
  <c r="EB21" i="2"/>
  <c r="EB28" i="2" s="1"/>
  <c r="EB90" i="2" s="1"/>
  <c r="EA21" i="2"/>
  <c r="EA28" i="2" s="1"/>
  <c r="EA90" i="2" s="1"/>
  <c r="DU21" i="2"/>
  <c r="DU28" i="2" s="1"/>
  <c r="DU90" i="2" s="1"/>
  <c r="DT21" i="2"/>
  <c r="DS21" i="2"/>
  <c r="DS28" i="2" s="1"/>
  <c r="DS90" i="2" s="1"/>
  <c r="DR21" i="2"/>
  <c r="DR28" i="2" s="1"/>
  <c r="DQ21" i="2"/>
  <c r="DQ28" i="2" s="1"/>
  <c r="DQ90" i="2" s="1"/>
  <c r="DP21" i="2"/>
  <c r="DP28" i="2" s="1"/>
  <c r="DP90" i="2" s="1"/>
  <c r="DO21" i="2"/>
  <c r="DO28" i="2" s="1"/>
  <c r="DO90" i="2" s="1"/>
  <c r="DN21" i="2"/>
  <c r="DN28" i="2" s="1"/>
  <c r="DM21" i="2"/>
  <c r="DM28" i="2" s="1"/>
  <c r="DM90" i="2" s="1"/>
  <c r="DL21" i="2"/>
  <c r="DL28" i="2" s="1"/>
  <c r="DL90" i="2" s="1"/>
  <c r="DK21" i="2"/>
  <c r="DK28" i="2" s="1"/>
  <c r="DK90" i="2" s="1"/>
  <c r="DJ21" i="2"/>
  <c r="DJ28" i="2" s="1"/>
  <c r="DI21" i="2"/>
  <c r="DI28" i="2" s="1"/>
  <c r="DI90" i="2" s="1"/>
  <c r="DH21" i="2"/>
  <c r="DG21" i="2"/>
  <c r="DG28" i="2" s="1"/>
  <c r="DG90" i="2" s="1"/>
  <c r="DF21" i="2"/>
  <c r="DF28" i="2" s="1"/>
  <c r="DE21" i="2"/>
  <c r="DE28" i="2" s="1"/>
  <c r="DE90" i="2" s="1"/>
  <c r="DD21" i="2"/>
  <c r="DD28" i="2" s="1"/>
  <c r="DD90" i="2" s="1"/>
  <c r="DC21" i="2"/>
  <c r="DC28" i="2" s="1"/>
  <c r="DC90" i="2" s="1"/>
  <c r="DB21" i="2"/>
  <c r="DB28" i="2" s="1"/>
  <c r="DA21" i="2"/>
  <c r="DA28" i="2" s="1"/>
  <c r="DA90" i="2" s="1"/>
  <c r="CZ21" i="2"/>
  <c r="CZ28" i="2" s="1"/>
  <c r="CZ90" i="2" s="1"/>
  <c r="CX21" i="2"/>
  <c r="CX28" i="2" s="1"/>
  <c r="CW21" i="2"/>
  <c r="CW28" i="2" s="1"/>
  <c r="CW90" i="2" s="1"/>
  <c r="CV21" i="2"/>
  <c r="CV28" i="2" s="1"/>
  <c r="CV90" i="2" s="1"/>
  <c r="CU21" i="2"/>
  <c r="CU28" i="2" s="1"/>
  <c r="CU90" i="2" s="1"/>
  <c r="CT21" i="2"/>
  <c r="CT28" i="2" s="1"/>
  <c r="CS21" i="2"/>
  <c r="CS28" i="2" s="1"/>
  <c r="CS90" i="2" s="1"/>
  <c r="CR21" i="2"/>
  <c r="CR28" i="2" s="1"/>
  <c r="CR90" i="2" s="1"/>
  <c r="CQ21" i="2"/>
  <c r="T21" i="2" s="1"/>
  <c r="CP21" i="2"/>
  <c r="CP28" i="2" s="1"/>
  <c r="CO21" i="2"/>
  <c r="CO28" i="2" s="1"/>
  <c r="CO90" i="2" s="1"/>
  <c r="CN21" i="2"/>
  <c r="CN28" i="2" s="1"/>
  <c r="CN90" i="2" s="1"/>
  <c r="CM21" i="2"/>
  <c r="S21" i="2" s="1"/>
  <c r="CL21" i="2"/>
  <c r="CL28" i="2" s="1"/>
  <c r="CK21" i="2"/>
  <c r="CK28" i="2" s="1"/>
  <c r="CK90" i="2" s="1"/>
  <c r="CJ21" i="2"/>
  <c r="CJ28" i="2" s="1"/>
  <c r="CJ90" i="2" s="1"/>
  <c r="CI21" i="2"/>
  <c r="CI28" i="2" s="1"/>
  <c r="CI90" i="2" s="1"/>
  <c r="CH21" i="2"/>
  <c r="CH28" i="2" s="1"/>
  <c r="CG21" i="2"/>
  <c r="CG28" i="2" s="1"/>
  <c r="CG90" i="2" s="1"/>
  <c r="CF21" i="2"/>
  <c r="CF28" i="2" s="1"/>
  <c r="CF90" i="2" s="1"/>
  <c r="CE21" i="2"/>
  <c r="CE28" i="2" s="1"/>
  <c r="CE90" i="2" s="1"/>
  <c r="CD21" i="2"/>
  <c r="CD28" i="2" s="1"/>
  <c r="CB21" i="2"/>
  <c r="CB28" i="2" s="1"/>
  <c r="CB90" i="2" s="1"/>
  <c r="CA21" i="2"/>
  <c r="P21" i="2" s="1"/>
  <c r="BY21" i="2"/>
  <c r="BX21" i="2"/>
  <c r="BW21" i="2"/>
  <c r="BV21" i="2"/>
  <c r="O21" i="2" s="1"/>
  <c r="DX20" i="2"/>
  <c r="DX186" i="2" s="1"/>
  <c r="DX189" i="2" s="1"/>
  <c r="DX196" i="2" s="1"/>
  <c r="DW20" i="2"/>
  <c r="DW186" i="2" s="1"/>
  <c r="DW189" i="2" s="1"/>
  <c r="DW196" i="2" s="1"/>
  <c r="DV20" i="2"/>
  <c r="DV186" i="2" s="1"/>
  <c r="DV189" i="2" s="1"/>
  <c r="DV196" i="2" s="1"/>
  <c r="CQ20" i="2"/>
  <c r="CQ186" i="2" s="1"/>
  <c r="CQ189" i="2" s="1"/>
  <c r="CQ196" i="2" s="1"/>
  <c r="DY19" i="2"/>
  <c r="DY158" i="2" s="1"/>
  <c r="DX19" i="2"/>
  <c r="DX158" i="2" s="1"/>
  <c r="DX157" i="2" s="1"/>
  <c r="DW19" i="2"/>
  <c r="DW158" i="2" s="1"/>
  <c r="DW157" i="2" s="1"/>
  <c r="EG21" i="2"/>
  <c r="EH21" i="2" s="1"/>
  <c r="EI21" i="2" s="1"/>
  <c r="EJ21" i="2" s="1"/>
  <c r="EK21" i="2" s="1"/>
  <c r="EL21" i="2" s="1"/>
  <c r="EM21" i="2" s="1"/>
  <c r="EN21" i="2" s="1"/>
  <c r="EO21" i="2" s="1"/>
  <c r="EP21" i="2" s="1"/>
  <c r="EF21" i="2"/>
  <c r="DZ18" i="2"/>
  <c r="DZ124" i="2" s="1"/>
  <c r="DY18" i="2"/>
  <c r="DY124" i="2" s="1"/>
  <c r="DX18" i="2"/>
  <c r="DX124" i="2" s="1"/>
  <c r="DW18" i="2"/>
  <c r="DW124" i="2" s="1"/>
  <c r="DD18" i="2"/>
  <c r="DD124" i="2" s="1"/>
  <c r="DD127" i="2" s="1"/>
  <c r="DD134" i="2" s="1"/>
  <c r="BU18" i="2"/>
  <c r="BU124" i="2" s="1"/>
  <c r="U21" i="2"/>
  <c r="Q21" i="2"/>
  <c r="W20" i="2"/>
  <c r="W186" i="2" s="1"/>
  <c r="V20" i="2"/>
  <c r="V186" i="2" s="1"/>
  <c r="U20" i="2"/>
  <c r="U186" i="2" s="1"/>
  <c r="T20" i="2"/>
  <c r="T186" i="2" s="1"/>
  <c r="S20" i="2"/>
  <c r="S186" i="2" s="1"/>
  <c r="R20" i="2"/>
  <c r="R186" i="2" s="1"/>
  <c r="Q20" i="2"/>
  <c r="Q186" i="2" s="1"/>
  <c r="P20" i="2"/>
  <c r="P186" i="2" s="1"/>
  <c r="O20" i="2"/>
  <c r="O186" i="2" s="1"/>
  <c r="N20" i="2"/>
  <c r="N186" i="2" s="1"/>
  <c r="W19" i="2"/>
  <c r="W158" i="2" s="1"/>
  <c r="V19" i="2"/>
  <c r="V158" i="2" s="1"/>
  <c r="U19" i="2"/>
  <c r="U158" i="2" s="1"/>
  <c r="T19" i="2"/>
  <c r="T158" i="2" s="1"/>
  <c r="S19" i="2"/>
  <c r="S158" i="2" s="1"/>
  <c r="R19" i="2"/>
  <c r="R158" i="2" s="1"/>
  <c r="Q19" i="2"/>
  <c r="Q158" i="2" s="1"/>
  <c r="P19" i="2"/>
  <c r="P158" i="2" s="1"/>
  <c r="O19" i="2"/>
  <c r="O158" i="2" s="1"/>
  <c r="N19" i="2"/>
  <c r="N158" i="2" s="1"/>
  <c r="W18" i="2"/>
  <c r="W124" i="2" s="1"/>
  <c r="V18" i="2"/>
  <c r="V124" i="2" s="1"/>
  <c r="U18" i="2"/>
  <c r="U124" i="2" s="1"/>
  <c r="T18" i="2"/>
  <c r="T124" i="2" s="1"/>
  <c r="S18" i="2"/>
  <c r="S124" i="2" s="1"/>
  <c r="R18" i="2"/>
  <c r="R124" i="2" s="1"/>
  <c r="Q18" i="2"/>
  <c r="Q124" i="2" s="1"/>
  <c r="P18" i="2"/>
  <c r="P124" i="2" s="1"/>
  <c r="O18" i="2"/>
  <c r="O124" i="2" s="1"/>
  <c r="N18" i="2"/>
  <c r="N124" i="2" s="1"/>
  <c r="EA15" i="2"/>
  <c r="DW15" i="2"/>
  <c r="DQ15" i="2"/>
  <c r="DQ91" i="2" s="1"/>
  <c r="DP15" i="2"/>
  <c r="DO15" i="2"/>
  <c r="DL15" i="2"/>
  <c r="DL95" i="2" s="1"/>
  <c r="DK15" i="2"/>
  <c r="DJ15" i="2"/>
  <c r="DJ91" i="2" s="1"/>
  <c r="DI15" i="2"/>
  <c r="DI91" i="2" s="1"/>
  <c r="DH15" i="2"/>
  <c r="DG15" i="2"/>
  <c r="DF15" i="2"/>
  <c r="DF92" i="2" s="1"/>
  <c r="DE15" i="2"/>
  <c r="DD15" i="2"/>
  <c r="DC15" i="2"/>
  <c r="DB15" i="2"/>
  <c r="DB91" i="2" s="1"/>
  <c r="DA15" i="2"/>
  <c r="DA91" i="2" s="1"/>
  <c r="CZ15" i="2"/>
  <c r="CY15" i="2"/>
  <c r="CX15" i="2"/>
  <c r="CX92" i="2" s="1"/>
  <c r="CW15" i="2"/>
  <c r="CW29" i="2" s="1"/>
  <c r="CV15" i="2"/>
  <c r="CV95" i="2" s="1"/>
  <c r="CU15" i="2"/>
  <c r="CT15" i="2"/>
  <c r="CT91" i="2" s="1"/>
  <c r="CS15" i="2"/>
  <c r="CS91" i="2" s="1"/>
  <c r="CR15" i="2"/>
  <c r="CQ15" i="2"/>
  <c r="CP15" i="2"/>
  <c r="CP92" i="2" s="1"/>
  <c r="CO15" i="2"/>
  <c r="CO29" i="2" s="1"/>
  <c r="CN15" i="2"/>
  <c r="CM15" i="2"/>
  <c r="CL15" i="2"/>
  <c r="CL91" i="2" s="1"/>
  <c r="CK15" i="2"/>
  <c r="CK91" i="2" s="1"/>
  <c r="CJ15" i="2"/>
  <c r="CI15" i="2"/>
  <c r="CH15" i="2"/>
  <c r="CH92" i="2" s="1"/>
  <c r="CG15" i="2"/>
  <c r="CG29" i="2" s="1"/>
  <c r="CF15" i="2"/>
  <c r="CF95" i="2" s="1"/>
  <c r="CE15" i="2"/>
  <c r="CD15" i="2"/>
  <c r="CD91" i="2" s="1"/>
  <c r="CC15" i="2"/>
  <c r="CC91" i="2" s="1"/>
  <c r="CB15" i="2"/>
  <c r="CA15" i="2"/>
  <c r="BZ15" i="2"/>
  <c r="BZ92" i="2" s="1"/>
  <c r="BI15" i="2"/>
  <c r="BI81" i="2" s="1"/>
  <c r="BI13" i="2"/>
  <c r="BI12" i="2"/>
  <c r="BI11" i="2"/>
  <c r="BE15" i="2"/>
  <c r="BE14" i="2"/>
  <c r="BE13" i="2"/>
  <c r="BE12" i="2"/>
  <c r="BE11" i="2"/>
  <c r="BA15" i="2"/>
  <c r="BA13" i="2"/>
  <c r="BA12" i="2"/>
  <c r="BA11" i="2"/>
  <c r="AW15" i="2"/>
  <c r="AX81" i="2" s="1"/>
  <c r="AW13" i="2"/>
  <c r="AW12" i="2"/>
  <c r="AW14" i="2" s="1"/>
  <c r="AW11" i="2"/>
  <c r="AX82" i="2" s="1"/>
  <c r="AS15" i="2"/>
  <c r="AS81" i="2" s="1"/>
  <c r="AS13" i="2"/>
  <c r="AS12" i="2"/>
  <c r="AS11" i="2"/>
  <c r="AO15" i="2"/>
  <c r="AO14" i="2"/>
  <c r="AO13" i="2"/>
  <c r="AO12" i="2"/>
  <c r="AO11" i="2"/>
  <c r="AK15" i="2"/>
  <c r="AK29" i="2" s="1"/>
  <c r="AK13" i="2"/>
  <c r="AK12" i="2"/>
  <c r="AK11" i="2"/>
  <c r="BY14" i="2"/>
  <c r="BZ85" i="2" s="1"/>
  <c r="BX14" i="2"/>
  <c r="BW14" i="2"/>
  <c r="BW28" i="2" s="1"/>
  <c r="BW90" i="2" s="1"/>
  <c r="BV14" i="2"/>
  <c r="BR14" i="2"/>
  <c r="BR90" i="2" s="1"/>
  <c r="BN14" i="2"/>
  <c r="BN90" i="2" s="1"/>
  <c r="BJ14" i="2"/>
  <c r="BJ90" i="2" s="1"/>
  <c r="EB13" i="2"/>
  <c r="DZ13" i="2"/>
  <c r="DZ185" i="2" s="1"/>
  <c r="DU13" i="2"/>
  <c r="DU27" i="2" s="1"/>
  <c r="DU89" i="2" s="1"/>
  <c r="DT13" i="2"/>
  <c r="DT27" i="2" s="1"/>
  <c r="DT89" i="2" s="1"/>
  <c r="DS13" i="2"/>
  <c r="DS185" i="2" s="1"/>
  <c r="O15" i="2"/>
  <c r="N15" i="2"/>
  <c r="M15" i="2"/>
  <c r="L15" i="2"/>
  <c r="L81" i="2" s="1"/>
  <c r="K15" i="2"/>
  <c r="K81" i="2" s="1"/>
  <c r="J15" i="2"/>
  <c r="I15" i="2"/>
  <c r="H15" i="2"/>
  <c r="H81" i="2" s="1"/>
  <c r="G15" i="2"/>
  <c r="F15" i="2"/>
  <c r="E15" i="2"/>
  <c r="M13" i="2"/>
  <c r="M84" i="2" s="1"/>
  <c r="L13" i="2"/>
  <c r="L84" i="2" s="1"/>
  <c r="K13" i="2"/>
  <c r="K84" i="2" s="1"/>
  <c r="J13" i="2"/>
  <c r="I13" i="2"/>
  <c r="I84" i="2" s="1"/>
  <c r="H13" i="2"/>
  <c r="H84" i="2" s="1"/>
  <c r="G13" i="2"/>
  <c r="G84" i="2" s="1"/>
  <c r="F13" i="2"/>
  <c r="E13" i="2"/>
  <c r="E14" i="2" s="1"/>
  <c r="BT13" i="2"/>
  <c r="BT27" i="2" s="1"/>
  <c r="BT89" i="2" s="1"/>
  <c r="BS13" i="2"/>
  <c r="BS27" i="2" s="1"/>
  <c r="BS89" i="2" s="1"/>
  <c r="BR13" i="2"/>
  <c r="BR89" i="2" s="1"/>
  <c r="BQ13" i="2"/>
  <c r="BP13" i="2"/>
  <c r="BP84" i="2" s="1"/>
  <c r="BO13" i="2"/>
  <c r="BO84" i="2" s="1"/>
  <c r="BN13" i="2"/>
  <c r="BN89" i="2" s="1"/>
  <c r="BM13" i="2"/>
  <c r="BL13" i="2"/>
  <c r="BL84" i="2" s="1"/>
  <c r="BK13" i="2"/>
  <c r="BK89" i="2" s="1"/>
  <c r="BJ13" i="2"/>
  <c r="BJ89" i="2" s="1"/>
  <c r="BT12" i="2"/>
  <c r="BT26" i="2" s="1"/>
  <c r="BS12" i="2"/>
  <c r="BS26" i="2" s="1"/>
  <c r="BR12" i="2"/>
  <c r="BQ12" i="2"/>
  <c r="BP12" i="2"/>
  <c r="BP14" i="2" s="1"/>
  <c r="BO12" i="2"/>
  <c r="BO14" i="2" s="1"/>
  <c r="BN12" i="2"/>
  <c r="BM12" i="2"/>
  <c r="BL12" i="2"/>
  <c r="BL14" i="2" s="1"/>
  <c r="BK12" i="2"/>
  <c r="BK14" i="2" s="1"/>
  <c r="BJ12" i="2"/>
  <c r="BH14" i="2"/>
  <c r="BG14" i="2"/>
  <c r="BG90" i="2" s="1"/>
  <c r="BH13" i="2"/>
  <c r="BG13" i="2"/>
  <c r="BG84" i="2" s="1"/>
  <c r="BF13" i="2"/>
  <c r="BF89" i="2" s="1"/>
  <c r="BH12" i="2"/>
  <c r="BG12" i="2"/>
  <c r="BF12" i="2"/>
  <c r="BF14" i="2" s="1"/>
  <c r="BD14" i="2"/>
  <c r="BD13" i="2"/>
  <c r="BD89" i="2" s="1"/>
  <c r="BC13" i="2"/>
  <c r="BC89" i="2" s="1"/>
  <c r="BB13" i="2"/>
  <c r="BB89" i="2" s="1"/>
  <c r="BD12" i="2"/>
  <c r="BC12" i="2"/>
  <c r="BC14" i="2" s="1"/>
  <c r="BB12" i="2"/>
  <c r="BB14" i="2" s="1"/>
  <c r="AX14" i="2"/>
  <c r="AX90" i="2" s="1"/>
  <c r="AZ13" i="2"/>
  <c r="AZ84" i="2" s="1"/>
  <c r="AY13" i="2"/>
  <c r="AY84" i="2" s="1"/>
  <c r="AX13" i="2"/>
  <c r="AX89" i="2" s="1"/>
  <c r="AZ12" i="2"/>
  <c r="AZ14" i="2" s="1"/>
  <c r="AY12" i="2"/>
  <c r="AY14" i="2" s="1"/>
  <c r="AX12" i="2"/>
  <c r="AU14" i="2"/>
  <c r="AU90" i="2" s="1"/>
  <c r="AT14" i="2"/>
  <c r="AT90" i="2" s="1"/>
  <c r="AV13" i="2"/>
  <c r="AV84" i="2" s="1"/>
  <c r="AU13" i="2"/>
  <c r="AU89" i="2" s="1"/>
  <c r="AT13" i="2"/>
  <c r="AT89" i="2" s="1"/>
  <c r="AV12" i="2"/>
  <c r="AV14" i="2" s="1"/>
  <c r="AU12" i="2"/>
  <c r="AT12" i="2"/>
  <c r="AR14" i="2"/>
  <c r="AQ14" i="2"/>
  <c r="AQ90" i="2" s="1"/>
  <c r="AR13" i="2"/>
  <c r="AQ13" i="2"/>
  <c r="AQ84" i="2" s="1"/>
  <c r="AP13" i="2"/>
  <c r="AP89" i="2" s="1"/>
  <c r="AR12" i="2"/>
  <c r="AQ12" i="2"/>
  <c r="AP12" i="2"/>
  <c r="AP14" i="2" s="1"/>
  <c r="AN14" i="2"/>
  <c r="AN13" i="2"/>
  <c r="AN89" i="2" s="1"/>
  <c r="AM13" i="2"/>
  <c r="AM89" i="2" s="1"/>
  <c r="AL13" i="2"/>
  <c r="AL89" i="2" s="1"/>
  <c r="AN12" i="2"/>
  <c r="AM12" i="2"/>
  <c r="AM14" i="2" s="1"/>
  <c r="AL12" i="2"/>
  <c r="AL14" i="2" s="1"/>
  <c r="AH14" i="2"/>
  <c r="AH90" i="2" s="1"/>
  <c r="AJ13" i="2"/>
  <c r="AJ84" i="2" s="1"/>
  <c r="AI13" i="2"/>
  <c r="AI84" i="2" s="1"/>
  <c r="AH13" i="2"/>
  <c r="AH89" i="2" s="1"/>
  <c r="AJ12" i="2"/>
  <c r="AJ14" i="2" s="1"/>
  <c r="AI12" i="2"/>
  <c r="AI14" i="2" s="1"/>
  <c r="AH12" i="2"/>
  <c r="EF14" i="2"/>
  <c r="EF28" i="2" s="1"/>
  <c r="EF90" i="2" s="1"/>
  <c r="ED11" i="2"/>
  <c r="ED123" i="2" s="1"/>
  <c r="EC11" i="2"/>
  <c r="EC123" i="2" s="1"/>
  <c r="EB11" i="2"/>
  <c r="EB25" i="2" s="1"/>
  <c r="EB87" i="2" s="1"/>
  <c r="EA11" i="2"/>
  <c r="EA25" i="2" s="1"/>
  <c r="EA87" i="2" s="1"/>
  <c r="DZ11" i="2"/>
  <c r="DZ123" i="2" s="1"/>
  <c r="DY11" i="2"/>
  <c r="DY123" i="2" s="1"/>
  <c r="DX11" i="2"/>
  <c r="DX15" i="2" s="1"/>
  <c r="DW11" i="2"/>
  <c r="DV11" i="2"/>
  <c r="DV123" i="2" s="1"/>
  <c r="DU11" i="2"/>
  <c r="DU123" i="2" s="1"/>
  <c r="DT11" i="2"/>
  <c r="DT15" i="2" s="1"/>
  <c r="DS11" i="2"/>
  <c r="DS25" i="2" s="1"/>
  <c r="DS87" i="2" s="1"/>
  <c r="DR11" i="2"/>
  <c r="DR123" i="2" s="1"/>
  <c r="DN11" i="2"/>
  <c r="DM11" i="2"/>
  <c r="DM123" i="2" s="1"/>
  <c r="BU11" i="2"/>
  <c r="BV82" i="2" s="1"/>
  <c r="BQ11" i="2"/>
  <c r="BR82" i="2" s="1"/>
  <c r="BM11" i="2"/>
  <c r="N11" i="2"/>
  <c r="N123" i="2" s="1"/>
  <c r="M11" i="2"/>
  <c r="M82" i="2" s="1"/>
  <c r="L11" i="2"/>
  <c r="K11" i="2"/>
  <c r="K14" i="2" s="1"/>
  <c r="J11" i="2"/>
  <c r="J82" i="2" s="1"/>
  <c r="I11" i="2"/>
  <c r="I82" i="2" s="1"/>
  <c r="H11" i="2"/>
  <c r="G11" i="2"/>
  <c r="G14" i="2" s="1"/>
  <c r="F11" i="2"/>
  <c r="F14" i="2" s="1"/>
  <c r="F85" i="2" s="1"/>
  <c r="E11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EA7" i="2"/>
  <c r="EA60" i="2" s="1"/>
  <c r="DZ7" i="2"/>
  <c r="DZ9" i="2" s="1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DU3" i="2"/>
  <c r="DT3" i="2"/>
  <c r="DS3" i="2"/>
  <c r="DR3" i="2"/>
  <c r="DQ3" i="2"/>
  <c r="DP3" i="2"/>
  <c r="DO3" i="2"/>
  <c r="DN3" i="2"/>
  <c r="Z3" i="2" s="1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V3" i="2" s="1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R3" i="2" s="1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N3" i="2" s="1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J3" i="2" s="1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K3" i="2"/>
  <c r="AJ3" i="2"/>
  <c r="AI3" i="2"/>
  <c r="AF5" i="2"/>
  <c r="AE5" i="2"/>
  <c r="H4" i="2"/>
  <c r="G4" i="2"/>
  <c r="X3" i="2"/>
  <c r="T3" i="2"/>
  <c r="P3" i="2"/>
  <c r="L3" i="2"/>
  <c r="H3" i="2"/>
  <c r="E3" i="2"/>
  <c r="DY5" i="2"/>
  <c r="EC5" i="2" s="1"/>
  <c r="EG5" i="2" s="1"/>
  <c r="EK5" i="2" s="1"/>
  <c r="EO5" i="2" s="1"/>
  <c r="DX5" i="2"/>
  <c r="EB5" i="2" s="1"/>
  <c r="EF5" i="2" s="1"/>
  <c r="EJ5" i="2" s="1"/>
  <c r="EN5" i="2" s="1"/>
  <c r="DW5" i="2"/>
  <c r="EA5" i="2" s="1"/>
  <c r="EE5" i="2" s="1"/>
  <c r="EI5" i="2" s="1"/>
  <c r="EM5" i="2" s="1"/>
  <c r="DV5" i="2"/>
  <c r="EA4" i="2"/>
  <c r="DZ4" i="2"/>
  <c r="DY4" i="2"/>
  <c r="DX4" i="2"/>
  <c r="DW4" i="2"/>
  <c r="DV4" i="2"/>
  <c r="DZ3" i="2"/>
  <c r="DY3" i="2"/>
  <c r="DX3" i="2"/>
  <c r="DW3" i="2"/>
  <c r="DV3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EF151" i="2" l="1"/>
  <c r="EF171" i="2"/>
  <c r="EI112" i="2"/>
  <c r="EG108" i="2"/>
  <c r="EG140" i="2" s="1"/>
  <c r="EG113" i="2"/>
  <c r="EF113" i="2"/>
  <c r="EH145" i="2"/>
  <c r="EH150" i="2"/>
  <c r="EH149" i="2"/>
  <c r="AL90" i="2"/>
  <c r="AY90" i="2"/>
  <c r="AY85" i="2"/>
  <c r="CG86" i="2"/>
  <c r="CG32" i="2"/>
  <c r="CO86" i="2"/>
  <c r="CO32" i="2"/>
  <c r="CW86" i="2"/>
  <c r="CW32" i="2"/>
  <c r="AT294" i="2"/>
  <c r="AT293" i="2"/>
  <c r="AT93" i="2"/>
  <c r="AT34" i="2"/>
  <c r="BJ294" i="2"/>
  <c r="BJ293" i="2"/>
  <c r="BJ93" i="2"/>
  <c r="BJ34" i="2"/>
  <c r="BR294" i="2"/>
  <c r="BR293" i="2"/>
  <c r="BR93" i="2"/>
  <c r="BR34" i="2"/>
  <c r="G55" i="2"/>
  <c r="K55" i="2"/>
  <c r="O55" i="2"/>
  <c r="AM90" i="2"/>
  <c r="AM85" i="2"/>
  <c r="AV85" i="2"/>
  <c r="AV90" i="2"/>
  <c r="AZ85" i="2"/>
  <c r="AZ90" i="2"/>
  <c r="BF90" i="2"/>
  <c r="BF85" i="2"/>
  <c r="AW85" i="2"/>
  <c r="AW90" i="2"/>
  <c r="DB90" i="2"/>
  <c r="DF90" i="2"/>
  <c r="DJ90" i="2"/>
  <c r="DN90" i="2"/>
  <c r="DR90" i="2"/>
  <c r="F55" i="2"/>
  <c r="J55" i="2"/>
  <c r="N55" i="2"/>
  <c r="EJ94" i="2"/>
  <c r="DT354" i="2"/>
  <c r="DT315" i="2"/>
  <c r="DT308" i="2"/>
  <c r="DT303" i="2"/>
  <c r="DT302" i="2"/>
  <c r="DT309" i="2"/>
  <c r="DT91" i="2"/>
  <c r="DT92" i="2"/>
  <c r="DT95" i="2"/>
  <c r="DT29" i="2"/>
  <c r="G85" i="2"/>
  <c r="K85" i="2"/>
  <c r="AI90" i="2"/>
  <c r="AI85" i="2"/>
  <c r="BB90" i="2"/>
  <c r="BK90" i="2"/>
  <c r="BK85" i="2"/>
  <c r="BO90" i="2"/>
  <c r="BO85" i="2"/>
  <c r="AK86" i="2"/>
  <c r="AK32" i="2"/>
  <c r="CD90" i="2"/>
  <c r="CH90" i="2"/>
  <c r="CL90" i="2"/>
  <c r="CP90" i="2"/>
  <c r="CT90" i="2"/>
  <c r="CX90" i="2"/>
  <c r="BZ90" i="2"/>
  <c r="AL294" i="2"/>
  <c r="AL293" i="2"/>
  <c r="AL93" i="2"/>
  <c r="AL34" i="2"/>
  <c r="BB294" i="2"/>
  <c r="BB293" i="2"/>
  <c r="BB93" i="2"/>
  <c r="BB34" i="2"/>
  <c r="G39" i="2"/>
  <c r="DX315" i="2"/>
  <c r="DX309" i="2"/>
  <c r="DX303" i="2"/>
  <c r="DX302" i="2"/>
  <c r="DX92" i="2"/>
  <c r="DX81" i="2"/>
  <c r="DX95" i="2"/>
  <c r="DX29" i="2"/>
  <c r="AJ85" i="2"/>
  <c r="AJ90" i="2"/>
  <c r="AP90" i="2"/>
  <c r="AP85" i="2"/>
  <c r="BC90" i="2"/>
  <c r="BC85" i="2"/>
  <c r="BL85" i="2"/>
  <c r="BL90" i="2"/>
  <c r="BP85" i="2"/>
  <c r="BP90" i="2"/>
  <c r="EI97" i="2"/>
  <c r="E302" i="2"/>
  <c r="I81" i="2"/>
  <c r="M81" i="2"/>
  <c r="DS192" i="2"/>
  <c r="DS189" i="2"/>
  <c r="DS196" i="2" s="1"/>
  <c r="EB185" i="2"/>
  <c r="EB178" i="2"/>
  <c r="EC84" i="2"/>
  <c r="EB84" i="2"/>
  <c r="AK87" i="2"/>
  <c r="AK82" i="2"/>
  <c r="AO85" i="2"/>
  <c r="AS84" i="2"/>
  <c r="AS89" i="2"/>
  <c r="BA87" i="2"/>
  <c r="BA82" i="2"/>
  <c r="BA302" i="2"/>
  <c r="BA309" i="2"/>
  <c r="BA303" i="2"/>
  <c r="BA92" i="2"/>
  <c r="BE85" i="2"/>
  <c r="BI84" i="2"/>
  <c r="BI89" i="2"/>
  <c r="CA309" i="2"/>
  <c r="CA303" i="2"/>
  <c r="CA302" i="2"/>
  <c r="CA95" i="2"/>
  <c r="CA91" i="2"/>
  <c r="CE354" i="2"/>
  <c r="CE309" i="2"/>
  <c r="CE308" i="2"/>
  <c r="CE303" i="2"/>
  <c r="CE302" i="2"/>
  <c r="CE95" i="2"/>
  <c r="CE91" i="2"/>
  <c r="CI309" i="2"/>
  <c r="CI303" i="2"/>
  <c r="CI302" i="2"/>
  <c r="CI95" i="2"/>
  <c r="CI91" i="2"/>
  <c r="CM309" i="2"/>
  <c r="CM303" i="2"/>
  <c r="CM302" i="2"/>
  <c r="CM95" i="2"/>
  <c r="CM91" i="2"/>
  <c r="CQ354" i="2"/>
  <c r="CQ309" i="2"/>
  <c r="CQ308" i="2"/>
  <c r="CQ303" i="2"/>
  <c r="CQ302" i="2"/>
  <c r="CQ95" i="2"/>
  <c r="CQ91" i="2"/>
  <c r="CU354" i="2"/>
  <c r="CU309" i="2"/>
  <c r="CU308" i="2"/>
  <c r="CU303" i="2"/>
  <c r="CU302" i="2"/>
  <c r="CU95" i="2"/>
  <c r="CU91" i="2"/>
  <c r="CY309" i="2"/>
  <c r="CY302" i="2"/>
  <c r="CY95" i="2"/>
  <c r="CY91" i="2"/>
  <c r="DC309" i="2"/>
  <c r="DC303" i="2"/>
  <c r="DC302" i="2"/>
  <c r="DC95" i="2"/>
  <c r="DG309" i="2"/>
  <c r="DG303" i="2"/>
  <c r="DG302" i="2"/>
  <c r="DG95" i="2"/>
  <c r="DG91" i="2"/>
  <c r="DK309" i="2"/>
  <c r="DK303" i="2"/>
  <c r="DK302" i="2"/>
  <c r="DK92" i="2"/>
  <c r="DK95" i="2"/>
  <c r="DK91" i="2"/>
  <c r="DO354" i="2"/>
  <c r="DO309" i="2"/>
  <c r="DO303" i="2"/>
  <c r="DO308" i="2"/>
  <c r="DO302" i="2"/>
  <c r="DO92" i="2"/>
  <c r="DO91" i="2"/>
  <c r="DS15" i="2"/>
  <c r="DW309" i="2"/>
  <c r="DW308" i="2"/>
  <c r="DW303" i="2"/>
  <c r="DW302" i="2"/>
  <c r="DW92" i="2"/>
  <c r="DW95" i="2"/>
  <c r="DW91" i="2"/>
  <c r="EA309" i="2"/>
  <c r="EA302" i="2"/>
  <c r="EA91" i="2"/>
  <c r="DY164" i="2"/>
  <c r="DY161" i="2"/>
  <c r="DY168" i="2" s="1"/>
  <c r="DY157" i="2"/>
  <c r="BU21" i="2"/>
  <c r="DX21" i="2"/>
  <c r="DX28" i="2" s="1"/>
  <c r="DX90" i="2" s="1"/>
  <c r="AO306" i="2"/>
  <c r="AO305" i="2"/>
  <c r="AO304" i="2"/>
  <c r="AO307" i="2"/>
  <c r="BE306" i="2"/>
  <c r="BE305" i="2"/>
  <c r="BE304" i="2"/>
  <c r="BE307" i="2"/>
  <c r="CY304" i="2"/>
  <c r="CY306" i="2"/>
  <c r="CY305" i="2"/>
  <c r="DV305" i="2"/>
  <c r="DV304" i="2"/>
  <c r="DZ305" i="2"/>
  <c r="DZ304" i="2"/>
  <c r="DZ307" i="2"/>
  <c r="DZ306" i="2"/>
  <c r="BV28" i="2"/>
  <c r="DG29" i="2"/>
  <c r="DK29" i="2"/>
  <c r="DO29" i="2"/>
  <c r="DT25" i="2"/>
  <c r="DT87" i="2" s="1"/>
  <c r="DT28" i="2"/>
  <c r="DT90" i="2" s="1"/>
  <c r="DY25" i="2"/>
  <c r="DY87" i="2" s="1"/>
  <c r="EI204" i="2"/>
  <c r="E29" i="2"/>
  <c r="E32" i="2" s="1"/>
  <c r="I29" i="2"/>
  <c r="I32" i="2" s="1"/>
  <c r="M29" i="2"/>
  <c r="M32" i="2" s="1"/>
  <c r="E91" i="2"/>
  <c r="I91" i="2"/>
  <c r="M91" i="2"/>
  <c r="E92" i="2"/>
  <c r="I92" i="2"/>
  <c r="M92" i="2"/>
  <c r="E314" i="2"/>
  <c r="E218" i="2"/>
  <c r="E95" i="2"/>
  <c r="E94" i="2"/>
  <c r="I314" i="2"/>
  <c r="I218" i="2"/>
  <c r="I95" i="2"/>
  <c r="I94" i="2"/>
  <c r="M314" i="2"/>
  <c r="M218" i="2"/>
  <c r="M95" i="2"/>
  <c r="CC29" i="2"/>
  <c r="CK29" i="2"/>
  <c r="CS29" i="2"/>
  <c r="DA29" i="2"/>
  <c r="DC204" i="2"/>
  <c r="DC203" i="2" s="1"/>
  <c r="DC91" i="2"/>
  <c r="DX26" i="2"/>
  <c r="DX88" i="2" s="1"/>
  <c r="DX204" i="2"/>
  <c r="DX203" i="2" s="1"/>
  <c r="DX91" i="2"/>
  <c r="ED203" i="2"/>
  <c r="EE203" i="2" s="1"/>
  <c r="EF203" i="2" s="1"/>
  <c r="EG203" i="2" s="1"/>
  <c r="EE201" i="2"/>
  <c r="EE314" i="2"/>
  <c r="EE218" i="2"/>
  <c r="AH32" i="2"/>
  <c r="AM32" i="2"/>
  <c r="AR32" i="2"/>
  <c r="AX32" i="2"/>
  <c r="BC32" i="2"/>
  <c r="BH32" i="2"/>
  <c r="BM32" i="2"/>
  <c r="BQ32" i="2"/>
  <c r="BU32" i="2"/>
  <c r="BY32" i="2"/>
  <c r="EB314" i="2"/>
  <c r="EB94" i="2"/>
  <c r="AK39" i="2"/>
  <c r="AS29" i="2"/>
  <c r="AS314" i="2"/>
  <c r="AS218" i="2"/>
  <c r="AS95" i="2"/>
  <c r="EF140" i="2"/>
  <c r="EF138" i="2"/>
  <c r="EF71" i="2"/>
  <c r="EF178" i="2"/>
  <c r="EF180" i="2" s="1"/>
  <c r="EG75" i="2"/>
  <c r="F82" i="2"/>
  <c r="N82" i="2"/>
  <c r="AL82" i="2"/>
  <c r="BB82" i="2"/>
  <c r="CA81" i="2"/>
  <c r="CI81" i="2"/>
  <c r="CQ81" i="2"/>
  <c r="CY81" i="2"/>
  <c r="DG81" i="2"/>
  <c r="DY82" i="2"/>
  <c r="AM84" i="2"/>
  <c r="AU84" i="2"/>
  <c r="BC84" i="2"/>
  <c r="BK84" i="2"/>
  <c r="BS84" i="2"/>
  <c r="EA84" i="2"/>
  <c r="AQ85" i="2"/>
  <c r="BG85" i="2"/>
  <c r="BW85" i="2"/>
  <c r="AL86" i="2"/>
  <c r="AT86" i="2"/>
  <c r="BB86" i="2"/>
  <c r="BJ86" i="2"/>
  <c r="BR86" i="2"/>
  <c r="BZ88" i="2"/>
  <c r="CP88" i="2"/>
  <c r="AV89" i="2"/>
  <c r="BL89" i="2"/>
  <c r="AO90" i="2"/>
  <c r="BE90" i="2"/>
  <c r="BZ91" i="2"/>
  <c r="CH91" i="2"/>
  <c r="CP91" i="2"/>
  <c r="CX91" i="2"/>
  <c r="DF91" i="2"/>
  <c r="CD92" i="2"/>
  <c r="CL92" i="2"/>
  <c r="CT92" i="2"/>
  <c r="DB92" i="2"/>
  <c r="DJ92" i="2"/>
  <c r="G95" i="2"/>
  <c r="AK109" i="2"/>
  <c r="AO109" i="2"/>
  <c r="AS109" i="2"/>
  <c r="AW109" i="2"/>
  <c r="BA109" i="2"/>
  <c r="BE109" i="2"/>
  <c r="BI109" i="2"/>
  <c r="BM109" i="2"/>
  <c r="BQ138" i="2"/>
  <c r="BQ109" i="2"/>
  <c r="DS119" i="2"/>
  <c r="BX131" i="2"/>
  <c r="BX132" i="2"/>
  <c r="BX133" i="2" s="1"/>
  <c r="CB132" i="2"/>
  <c r="CB133" i="2" s="1"/>
  <c r="CB131" i="2"/>
  <c r="CF131" i="2"/>
  <c r="CF132" i="2"/>
  <c r="CF133" i="2" s="1"/>
  <c r="CJ131" i="2"/>
  <c r="CJ132" i="2"/>
  <c r="CJ133" i="2" s="1"/>
  <c r="CN131" i="2"/>
  <c r="CN132" i="2"/>
  <c r="CN133" i="2" s="1"/>
  <c r="CR132" i="2"/>
  <c r="CR133" i="2" s="1"/>
  <c r="CR131" i="2"/>
  <c r="CV131" i="2"/>
  <c r="CV132" i="2"/>
  <c r="CV133" i="2" s="1"/>
  <c r="CZ131" i="2"/>
  <c r="CZ132" i="2"/>
  <c r="CZ133" i="2" s="1"/>
  <c r="DD130" i="2"/>
  <c r="DH132" i="2"/>
  <c r="DH133" i="2" s="1"/>
  <c r="DH131" i="2"/>
  <c r="DL131" i="2"/>
  <c r="DL132" i="2"/>
  <c r="DL133" i="2" s="1"/>
  <c r="AX345" i="2"/>
  <c r="AY144" i="2"/>
  <c r="AY145" i="2" s="1"/>
  <c r="AY146" i="2" s="1"/>
  <c r="AY143" i="2"/>
  <c r="J146" i="2"/>
  <c r="H146" i="2"/>
  <c r="H278" i="2"/>
  <c r="H276" i="2"/>
  <c r="H274" i="2"/>
  <c r="H272" i="2"/>
  <c r="H270" i="2"/>
  <c r="H268" i="2"/>
  <c r="H266" i="2"/>
  <c r="H309" i="2" s="1"/>
  <c r="H261" i="2"/>
  <c r="H260" i="2"/>
  <c r="H259" i="2"/>
  <c r="H257" i="2"/>
  <c r="H308" i="2" s="1"/>
  <c r="H256" i="2"/>
  <c r="H255" i="2"/>
  <c r="H254" i="2"/>
  <c r="H305" i="2" s="1"/>
  <c r="H253" i="2"/>
  <c r="H252" i="2"/>
  <c r="H251" i="2"/>
  <c r="H277" i="2"/>
  <c r="H275" i="2"/>
  <c r="H273" i="2"/>
  <c r="H371" i="2" s="1"/>
  <c r="H271" i="2"/>
  <c r="H311" i="2" s="1"/>
  <c r="H267" i="2"/>
  <c r="H265" i="2"/>
  <c r="AQ307" i="2"/>
  <c r="AQ303" i="2"/>
  <c r="AQ305" i="2"/>
  <c r="AY307" i="2"/>
  <c r="AY303" i="2"/>
  <c r="AY305" i="2"/>
  <c r="BK307" i="2"/>
  <c r="BK303" i="2"/>
  <c r="BK305" i="2"/>
  <c r="BS307" i="2"/>
  <c r="BS303" i="2"/>
  <c r="BS305" i="2"/>
  <c r="BS174" i="2"/>
  <c r="BS145" i="2"/>
  <c r="BS108" i="2"/>
  <c r="CE307" i="2"/>
  <c r="CE305" i="2"/>
  <c r="CE174" i="2"/>
  <c r="CE108" i="2"/>
  <c r="CE145" i="2"/>
  <c r="CU307" i="2"/>
  <c r="CU305" i="2"/>
  <c r="CU174" i="2"/>
  <c r="CU108" i="2"/>
  <c r="CU145" i="2"/>
  <c r="DC307" i="2"/>
  <c r="DC305" i="2"/>
  <c r="DC174" i="2"/>
  <c r="DC108" i="2"/>
  <c r="DC145" i="2"/>
  <c r="DO307" i="2"/>
  <c r="DO305" i="2"/>
  <c r="DO174" i="2"/>
  <c r="DO145" i="2"/>
  <c r="DO108" i="2"/>
  <c r="DM130" i="2"/>
  <c r="DM127" i="2"/>
  <c r="DM134" i="2" s="1"/>
  <c r="BQ84" i="2"/>
  <c r="BQ89" i="2"/>
  <c r="BM87" i="2"/>
  <c r="BM82" i="2"/>
  <c r="DN123" i="2"/>
  <c r="DO82" i="2"/>
  <c r="DU130" i="2"/>
  <c r="DU127" i="2"/>
  <c r="DU134" i="2" s="1"/>
  <c r="DY130" i="2"/>
  <c r="DY127" i="2"/>
  <c r="DY134" i="2" s="1"/>
  <c r="EC130" i="2"/>
  <c r="EC127" i="2"/>
  <c r="EC134" i="2" s="1"/>
  <c r="EG14" i="2"/>
  <c r="AN84" i="2"/>
  <c r="AR85" i="2"/>
  <c r="BD84" i="2"/>
  <c r="BH85" i="2"/>
  <c r="F84" i="2"/>
  <c r="J84" i="2"/>
  <c r="N13" i="2"/>
  <c r="J14" i="2"/>
  <c r="F81" i="2"/>
  <c r="J81" i="2"/>
  <c r="N81" i="2"/>
  <c r="DT185" i="2"/>
  <c r="DT84" i="2"/>
  <c r="BS14" i="2"/>
  <c r="AO87" i="2"/>
  <c r="AO82" i="2"/>
  <c r="AO302" i="2"/>
  <c r="AO309" i="2"/>
  <c r="AO303" i="2"/>
  <c r="AS14" i="2"/>
  <c r="AW84" i="2"/>
  <c r="AW89" i="2"/>
  <c r="BE87" i="2"/>
  <c r="BE82" i="2"/>
  <c r="BE302" i="2"/>
  <c r="BE309" i="2"/>
  <c r="BE308" i="2"/>
  <c r="BE303" i="2"/>
  <c r="BE92" i="2"/>
  <c r="BI14" i="2"/>
  <c r="CB315" i="2"/>
  <c r="CB309" i="2"/>
  <c r="CB303" i="2"/>
  <c r="CB302" i="2"/>
  <c r="CB91" i="2"/>
  <c r="CB92" i="2"/>
  <c r="CB81" i="2"/>
  <c r="CF354" i="2"/>
  <c r="CF315" i="2"/>
  <c r="CF308" i="2"/>
  <c r="CF303" i="2"/>
  <c r="CF309" i="2"/>
  <c r="CF302" i="2"/>
  <c r="CF91" i="2"/>
  <c r="CF92" i="2"/>
  <c r="CF81" i="2"/>
  <c r="CJ315" i="2"/>
  <c r="CJ303" i="2"/>
  <c r="CJ302" i="2"/>
  <c r="CJ309" i="2"/>
  <c r="CJ91" i="2"/>
  <c r="CJ92" i="2"/>
  <c r="CJ81" i="2"/>
  <c r="CN315" i="2"/>
  <c r="CN303" i="2"/>
  <c r="CN302" i="2"/>
  <c r="CN309" i="2"/>
  <c r="CN91" i="2"/>
  <c r="CN92" i="2"/>
  <c r="CN81" i="2"/>
  <c r="CR354" i="2"/>
  <c r="CR315" i="2"/>
  <c r="CR308" i="2"/>
  <c r="CR309" i="2"/>
  <c r="CR303" i="2"/>
  <c r="CR302" i="2"/>
  <c r="CR91" i="2"/>
  <c r="CR81" i="2"/>
  <c r="CV354" i="2"/>
  <c r="CV315" i="2"/>
  <c r="CV308" i="2"/>
  <c r="CV303" i="2"/>
  <c r="CV309" i="2"/>
  <c r="CV302" i="2"/>
  <c r="CV91" i="2"/>
  <c r="CV92" i="2"/>
  <c r="CV81" i="2"/>
  <c r="CZ315" i="2"/>
  <c r="CZ303" i="2"/>
  <c r="CZ302" i="2"/>
  <c r="CZ91" i="2"/>
  <c r="CZ92" i="2"/>
  <c r="CZ81" i="2"/>
  <c r="DD315" i="2"/>
  <c r="DD303" i="2"/>
  <c r="DD302" i="2"/>
  <c r="DD309" i="2"/>
  <c r="DD91" i="2"/>
  <c r="DD92" i="2"/>
  <c r="DD81" i="2"/>
  <c r="DH315" i="2"/>
  <c r="DH309" i="2"/>
  <c r="DH303" i="2"/>
  <c r="DH302" i="2"/>
  <c r="DH91" i="2"/>
  <c r="DH92" i="2"/>
  <c r="DH81" i="2"/>
  <c r="DL315" i="2"/>
  <c r="DL308" i="2"/>
  <c r="DL303" i="2"/>
  <c r="DL309" i="2"/>
  <c r="DL302" i="2"/>
  <c r="DL91" i="2"/>
  <c r="DL92" i="2"/>
  <c r="DL81" i="2"/>
  <c r="DP354" i="2"/>
  <c r="DP315" i="2"/>
  <c r="DP308" i="2"/>
  <c r="DP303" i="2"/>
  <c r="DP302" i="2"/>
  <c r="DP309" i="2"/>
  <c r="DP91" i="2"/>
  <c r="DP92" i="2"/>
  <c r="DP81" i="2"/>
  <c r="EB15" i="2"/>
  <c r="N21" i="2"/>
  <c r="R21" i="2"/>
  <c r="R22" i="2" s="1"/>
  <c r="DY21" i="2"/>
  <c r="DY28" i="2" s="1"/>
  <c r="DY90" i="2" s="1"/>
  <c r="O22" i="2"/>
  <c r="S22" i="2"/>
  <c r="AS306" i="2"/>
  <c r="AS305" i="2"/>
  <c r="AS304" i="2"/>
  <c r="AS307" i="2"/>
  <c r="BI306" i="2"/>
  <c r="BI305" i="2"/>
  <c r="BI304" i="2"/>
  <c r="BI307" i="2"/>
  <c r="CC306" i="2"/>
  <c r="CC305" i="2"/>
  <c r="CC304" i="2"/>
  <c r="CC307" i="2"/>
  <c r="DD307" i="2"/>
  <c r="DD306" i="2"/>
  <c r="DD305" i="2"/>
  <c r="DD304" i="2"/>
  <c r="DW304" i="2"/>
  <c r="DW307" i="2"/>
  <c r="DW305" i="2"/>
  <c r="N25" i="2"/>
  <c r="N87" i="2" s="1"/>
  <c r="CQ27" i="2"/>
  <c r="CQ89" i="2" s="1"/>
  <c r="CY27" i="2"/>
  <c r="CY89" i="2" s="1"/>
  <c r="CA28" i="2"/>
  <c r="CA90" i="2" s="1"/>
  <c r="CM28" i="2"/>
  <c r="CM90" i="2" s="1"/>
  <c r="CQ28" i="2"/>
  <c r="CQ90" i="2" s="1"/>
  <c r="DD25" i="2"/>
  <c r="DD87" i="2" s="1"/>
  <c r="DD29" i="2"/>
  <c r="DH29" i="2"/>
  <c r="DL29" i="2"/>
  <c r="DP29" i="2"/>
  <c r="DU25" i="2"/>
  <c r="DU87" i="2" s="1"/>
  <c r="DZ25" i="2"/>
  <c r="DZ87" i="2" s="1"/>
  <c r="EJ30" i="2"/>
  <c r="F29" i="2"/>
  <c r="F32" i="2" s="1"/>
  <c r="J29" i="2"/>
  <c r="J32" i="2" s="1"/>
  <c r="N29" i="2"/>
  <c r="F91" i="2"/>
  <c r="J91" i="2"/>
  <c r="N91" i="2"/>
  <c r="F92" i="2"/>
  <c r="J92" i="2"/>
  <c r="N92" i="2"/>
  <c r="F314" i="2"/>
  <c r="F218" i="2"/>
  <c r="F95" i="2"/>
  <c r="F94" i="2"/>
  <c r="J314" i="2"/>
  <c r="J218" i="2"/>
  <c r="J95" i="2"/>
  <c r="N314" i="2"/>
  <c r="N218" i="2"/>
  <c r="N95" i="2"/>
  <c r="BZ29" i="2"/>
  <c r="CD29" i="2"/>
  <c r="CH29" i="2"/>
  <c r="CL29" i="2"/>
  <c r="CP29" i="2"/>
  <c r="CT29" i="2"/>
  <c r="CX29" i="2"/>
  <c r="DB29" i="2"/>
  <c r="BA29" i="2"/>
  <c r="BI29" i="2"/>
  <c r="DX27" i="2"/>
  <c r="DX89" i="2" s="1"/>
  <c r="CR92" i="2"/>
  <c r="EF31" i="2"/>
  <c r="AI32" i="2"/>
  <c r="AN32" i="2"/>
  <c r="AY32" i="2"/>
  <c r="BD32" i="2"/>
  <c r="BN32" i="2"/>
  <c r="BV32" i="2"/>
  <c r="DY314" i="2"/>
  <c r="DY95" i="2"/>
  <c r="EC314" i="2"/>
  <c r="AK92" i="2"/>
  <c r="AW314" i="2"/>
  <c r="AW218" i="2"/>
  <c r="AW95" i="2"/>
  <c r="BE314" i="2"/>
  <c r="BE218" i="2"/>
  <c r="BE95" i="2"/>
  <c r="DI314" i="2"/>
  <c r="DI95" i="2"/>
  <c r="DQ314" i="2"/>
  <c r="DQ95" i="2"/>
  <c r="DU314" i="2"/>
  <c r="AO92" i="2"/>
  <c r="AK58" i="2"/>
  <c r="AK335" i="2" s="1"/>
  <c r="AK337" i="2" s="1"/>
  <c r="AO58" i="2"/>
  <c r="AO335" i="2" s="1"/>
  <c r="AO337" i="2" s="1"/>
  <c r="AW58" i="2"/>
  <c r="AW335" i="2" s="1"/>
  <c r="BA58" i="2"/>
  <c r="BA335" i="2" s="1"/>
  <c r="BA337" i="2" s="1"/>
  <c r="BE58" i="2"/>
  <c r="BE335" i="2" s="1"/>
  <c r="BE337" i="2" s="1"/>
  <c r="EG71" i="2"/>
  <c r="EG179" i="2"/>
  <c r="EH76" i="2"/>
  <c r="AK81" i="2"/>
  <c r="AO81" i="2"/>
  <c r="AW81" i="2"/>
  <c r="BA81" i="2"/>
  <c r="BE81" i="2"/>
  <c r="BN82" i="2"/>
  <c r="CD81" i="2"/>
  <c r="CL81" i="2"/>
  <c r="CT81" i="2"/>
  <c r="DB81" i="2"/>
  <c r="DJ81" i="2"/>
  <c r="DM82" i="2"/>
  <c r="DR82" i="2"/>
  <c r="DZ82" i="2"/>
  <c r="AP84" i="2"/>
  <c r="AX84" i="2"/>
  <c r="BF84" i="2"/>
  <c r="BN84" i="2"/>
  <c r="AT85" i="2"/>
  <c r="BJ85" i="2"/>
  <c r="DG87" i="2"/>
  <c r="AI89" i="2"/>
  <c r="AQ89" i="2"/>
  <c r="AY89" i="2"/>
  <c r="BG89" i="2"/>
  <c r="BO89" i="2"/>
  <c r="AR90" i="2"/>
  <c r="BH90" i="2"/>
  <c r="CE92" i="2"/>
  <c r="CM92" i="2"/>
  <c r="CU92" i="2"/>
  <c r="DC92" i="2"/>
  <c r="DQ94" i="2"/>
  <c r="EC94" i="2"/>
  <c r="CJ95" i="2"/>
  <c r="CZ95" i="2"/>
  <c r="DP95" i="2"/>
  <c r="AP109" i="2"/>
  <c r="AT109" i="2"/>
  <c r="AX109" i="2"/>
  <c r="BB109" i="2"/>
  <c r="BF109" i="2"/>
  <c r="BJ109" i="2"/>
  <c r="BN109" i="2"/>
  <c r="BR138" i="2"/>
  <c r="BR109" i="2"/>
  <c r="BY131" i="2"/>
  <c r="BY132" i="2"/>
  <c r="BY133" i="2" s="1"/>
  <c r="CC131" i="2"/>
  <c r="CC132" i="2"/>
  <c r="CC133" i="2" s="1"/>
  <c r="CG131" i="2"/>
  <c r="CG132" i="2"/>
  <c r="CG133" i="2" s="1"/>
  <c r="CK131" i="2"/>
  <c r="CK132" i="2"/>
  <c r="CK133" i="2" s="1"/>
  <c r="CO131" i="2"/>
  <c r="CO132" i="2"/>
  <c r="CO133" i="2" s="1"/>
  <c r="CS131" i="2"/>
  <c r="CS132" i="2"/>
  <c r="CS133" i="2" s="1"/>
  <c r="CW131" i="2"/>
  <c r="CW132" i="2"/>
  <c r="CW133" i="2" s="1"/>
  <c r="DA131" i="2"/>
  <c r="DA132" i="2"/>
  <c r="DA133" i="2" s="1"/>
  <c r="DE131" i="2"/>
  <c r="DE132" i="2"/>
  <c r="DE133" i="2" s="1"/>
  <c r="DI131" i="2"/>
  <c r="DI132" i="2"/>
  <c r="DI133" i="2" s="1"/>
  <c r="DO132" i="2"/>
  <c r="DO133" i="2" s="1"/>
  <c r="DO131" i="2"/>
  <c r="AI146" i="2"/>
  <c r="BD146" i="2"/>
  <c r="AU146" i="2"/>
  <c r="DX174" i="2"/>
  <c r="DX145" i="2"/>
  <c r="DX108" i="2"/>
  <c r="DZ5" i="2"/>
  <c r="AB3" i="2"/>
  <c r="AM307" i="2"/>
  <c r="AM303" i="2"/>
  <c r="AM305" i="2"/>
  <c r="BC307" i="2"/>
  <c r="BC303" i="2"/>
  <c r="BC305" i="2"/>
  <c r="BW307" i="2"/>
  <c r="BW303" i="2"/>
  <c r="BW305" i="2"/>
  <c r="BW174" i="2"/>
  <c r="BW108" i="2"/>
  <c r="BW145" i="2"/>
  <c r="CM307" i="2"/>
  <c r="CM305" i="2"/>
  <c r="CM174" i="2"/>
  <c r="CM108" i="2"/>
  <c r="CM145" i="2"/>
  <c r="DG305" i="2"/>
  <c r="DG174" i="2"/>
  <c r="DG145" i="2"/>
  <c r="DG108" i="2"/>
  <c r="EA281" i="2"/>
  <c r="EA249" i="2"/>
  <c r="EA214" i="2"/>
  <c r="DX123" i="2"/>
  <c r="DX82" i="2"/>
  <c r="AN85" i="2"/>
  <c r="M14" i="2"/>
  <c r="DV174" i="2"/>
  <c r="DV145" i="2"/>
  <c r="DV108" i="2"/>
  <c r="DZ174" i="2"/>
  <c r="DZ145" i="2"/>
  <c r="DZ108" i="2"/>
  <c r="F3" i="2"/>
  <c r="F146" i="2" s="1"/>
  <c r="BM305" i="2"/>
  <c r="BM303" i="2"/>
  <c r="BM307" i="2"/>
  <c r="BQ305" i="2"/>
  <c r="BQ307" i="2"/>
  <c r="BQ303" i="2"/>
  <c r="BU305" i="2"/>
  <c r="BU303" i="2"/>
  <c r="BU307" i="2"/>
  <c r="BU174" i="2"/>
  <c r="BU145" i="2"/>
  <c r="BU108" i="2"/>
  <c r="BY305" i="2"/>
  <c r="BY307" i="2"/>
  <c r="BY303" i="2"/>
  <c r="BY145" i="2"/>
  <c r="BY174" i="2"/>
  <c r="BY108" i="2"/>
  <c r="CC174" i="2"/>
  <c r="CC145" i="2"/>
  <c r="CC108" i="2"/>
  <c r="CG305" i="2"/>
  <c r="CG307" i="2"/>
  <c r="CG145" i="2"/>
  <c r="CG174" i="2"/>
  <c r="CG108" i="2"/>
  <c r="CK305" i="2"/>
  <c r="CK307" i="2"/>
  <c r="CK174" i="2"/>
  <c r="CK145" i="2"/>
  <c r="CK108" i="2"/>
  <c r="CO305" i="2"/>
  <c r="CO307" i="2"/>
  <c r="CO145" i="2"/>
  <c r="CO174" i="2"/>
  <c r="CO108" i="2"/>
  <c r="CS305" i="2"/>
  <c r="CS307" i="2"/>
  <c r="CS174" i="2"/>
  <c r="CS145" i="2"/>
  <c r="CS108" i="2"/>
  <c r="CW305" i="2"/>
  <c r="CW307" i="2"/>
  <c r="CW145" i="2"/>
  <c r="CW174" i="2"/>
  <c r="CW108" i="2"/>
  <c r="DA305" i="2"/>
  <c r="DA307" i="2"/>
  <c r="DA174" i="2"/>
  <c r="DA145" i="2"/>
  <c r="DA108" i="2"/>
  <c r="DE145" i="2"/>
  <c r="DE174" i="2"/>
  <c r="DE108" i="2"/>
  <c r="DI305" i="2"/>
  <c r="DI307" i="2"/>
  <c r="DI174" i="2"/>
  <c r="DI145" i="2"/>
  <c r="DI108" i="2"/>
  <c r="DM305" i="2"/>
  <c r="DM307" i="2"/>
  <c r="DM145" i="2"/>
  <c r="DM174" i="2"/>
  <c r="DM108" i="2"/>
  <c r="DQ305" i="2"/>
  <c r="DQ307" i="2"/>
  <c r="DQ174" i="2"/>
  <c r="DQ145" i="2"/>
  <c r="DQ108" i="2"/>
  <c r="DU305" i="2"/>
  <c r="DU307" i="2"/>
  <c r="DU145" i="2"/>
  <c r="DU174" i="2"/>
  <c r="DU108" i="2"/>
  <c r="H82" i="2"/>
  <c r="L82" i="2"/>
  <c r="BQ87" i="2"/>
  <c r="BQ82" i="2"/>
  <c r="DR130" i="2"/>
  <c r="DR127" i="2"/>
  <c r="DR134" i="2" s="1"/>
  <c r="DV130" i="2"/>
  <c r="DV127" i="2"/>
  <c r="DV134" i="2" s="1"/>
  <c r="DZ130" i="2"/>
  <c r="DZ127" i="2"/>
  <c r="DZ134" i="2" s="1"/>
  <c r="ED130" i="2"/>
  <c r="ED127" i="2"/>
  <c r="ED134" i="2" s="1"/>
  <c r="AR84" i="2"/>
  <c r="BH84" i="2"/>
  <c r="DU185" i="2"/>
  <c r="DU84" i="2"/>
  <c r="BT14" i="2"/>
  <c r="BX85" i="2"/>
  <c r="AK84" i="2"/>
  <c r="AK89" i="2"/>
  <c r="AS87" i="2"/>
  <c r="AS82" i="2"/>
  <c r="AS302" i="2"/>
  <c r="AS309" i="2"/>
  <c r="AS303" i="2"/>
  <c r="BA84" i="2"/>
  <c r="BA89" i="2"/>
  <c r="BI87" i="2"/>
  <c r="BI82" i="2"/>
  <c r="BI354" i="2"/>
  <c r="BI302" i="2"/>
  <c r="BI309" i="2"/>
  <c r="BI308" i="2"/>
  <c r="BI303" i="2"/>
  <c r="BI92" i="2"/>
  <c r="CC315" i="2"/>
  <c r="CC302" i="2"/>
  <c r="CC308" i="2"/>
  <c r="CC303" i="2"/>
  <c r="CC309" i="2"/>
  <c r="CC95" i="2"/>
  <c r="CC92" i="2"/>
  <c r="CC81" i="2"/>
  <c r="CG315" i="2"/>
  <c r="CG309" i="2"/>
  <c r="CG302" i="2"/>
  <c r="CG303" i="2"/>
  <c r="CG95" i="2"/>
  <c r="CG92" i="2"/>
  <c r="CG81" i="2"/>
  <c r="CK315" i="2"/>
  <c r="CK302" i="2"/>
  <c r="CK309" i="2"/>
  <c r="CK303" i="2"/>
  <c r="CK95" i="2"/>
  <c r="CK92" i="2"/>
  <c r="CK81" i="2"/>
  <c r="CO315" i="2"/>
  <c r="CO302" i="2"/>
  <c r="CO309" i="2"/>
  <c r="CO308" i="2"/>
  <c r="CO303" i="2"/>
  <c r="CO95" i="2"/>
  <c r="CO92" i="2"/>
  <c r="CO81" i="2"/>
  <c r="CS354" i="2"/>
  <c r="CS315" i="2"/>
  <c r="CS302" i="2"/>
  <c r="CS303" i="2"/>
  <c r="CS309" i="2"/>
  <c r="CS308" i="2"/>
  <c r="CS95" i="2"/>
  <c r="CS92" i="2"/>
  <c r="CS81" i="2"/>
  <c r="CW315" i="2"/>
  <c r="CW309" i="2"/>
  <c r="CW302" i="2"/>
  <c r="CW303" i="2"/>
  <c r="CW95" i="2"/>
  <c r="CW92" i="2"/>
  <c r="CW81" i="2"/>
  <c r="DA315" i="2"/>
  <c r="DA302" i="2"/>
  <c r="DA309" i="2"/>
  <c r="DA95" i="2"/>
  <c r="DA92" i="2"/>
  <c r="DA81" i="2"/>
  <c r="DE315" i="2"/>
  <c r="DE302" i="2"/>
  <c r="DE309" i="2"/>
  <c r="DE303" i="2"/>
  <c r="DE95" i="2"/>
  <c r="DE92" i="2"/>
  <c r="DE81" i="2"/>
  <c r="DI302" i="2"/>
  <c r="DI303" i="2"/>
  <c r="DI309" i="2"/>
  <c r="DI92" i="2"/>
  <c r="DI81" i="2"/>
  <c r="DM15" i="2"/>
  <c r="DQ354" i="2"/>
  <c r="DQ302" i="2"/>
  <c r="DQ309" i="2"/>
  <c r="DQ308" i="2"/>
  <c r="DQ303" i="2"/>
  <c r="DQ92" i="2"/>
  <c r="DQ81" i="2"/>
  <c r="DU15" i="2"/>
  <c r="DU95" i="2" s="1"/>
  <c r="DY15" i="2"/>
  <c r="EC15" i="2"/>
  <c r="W21" i="2"/>
  <c r="W22" i="2" s="1"/>
  <c r="DV21" i="2"/>
  <c r="DV28" i="2" s="1"/>
  <c r="DV90" i="2" s="1"/>
  <c r="DZ21" i="2"/>
  <c r="DZ28" i="2" s="1"/>
  <c r="DZ90" i="2" s="1"/>
  <c r="P22" i="2"/>
  <c r="T22" i="2"/>
  <c r="AW306" i="2"/>
  <c r="AW305" i="2"/>
  <c r="AW304" i="2"/>
  <c r="AW307" i="2"/>
  <c r="DE306" i="2"/>
  <c r="DE305" i="2"/>
  <c r="DE304" i="2"/>
  <c r="DE307" i="2"/>
  <c r="DX307" i="2"/>
  <c r="DX306" i="2"/>
  <c r="DX305" i="2"/>
  <c r="DX304" i="2"/>
  <c r="BX28" i="2"/>
  <c r="BX90" i="2" s="1"/>
  <c r="DM25" i="2"/>
  <c r="DH28" i="2"/>
  <c r="DH90" i="2" s="1"/>
  <c r="DE29" i="2"/>
  <c r="DI29" i="2"/>
  <c r="DQ29" i="2"/>
  <c r="DV25" i="2"/>
  <c r="DV87" i="2" s="1"/>
  <c r="DV27" i="2"/>
  <c r="DV89" i="2" s="1"/>
  <c r="EA29" i="2"/>
  <c r="G29" i="2"/>
  <c r="G32" i="2" s="1"/>
  <c r="K29" i="2"/>
  <c r="K32" i="2" s="1"/>
  <c r="G314" i="2"/>
  <c r="G218" i="2"/>
  <c r="K314" i="2"/>
  <c r="K218" i="2"/>
  <c r="CA29" i="2"/>
  <c r="CE29" i="2"/>
  <c r="CI29" i="2"/>
  <c r="CM29" i="2"/>
  <c r="CQ29" i="2"/>
  <c r="CU29" i="2"/>
  <c r="CY29" i="2"/>
  <c r="EC25" i="2"/>
  <c r="EC87" i="2" s="1"/>
  <c r="DS204" i="2"/>
  <c r="DS203" i="2" s="1"/>
  <c r="DS91" i="2"/>
  <c r="EB204" i="2"/>
  <c r="EB203" i="2" s="1"/>
  <c r="EB91" i="2"/>
  <c r="EA92" i="2"/>
  <c r="AJ32" i="2"/>
  <c r="AP32" i="2"/>
  <c r="AU32" i="2"/>
  <c r="AZ32" i="2"/>
  <c r="BF32" i="2"/>
  <c r="BK32" i="2"/>
  <c r="BO32" i="2"/>
  <c r="BQ290" i="2" s="1"/>
  <c r="BS32" i="2"/>
  <c r="BW32" i="2"/>
  <c r="DZ314" i="2"/>
  <c r="DZ94" i="2"/>
  <c r="ED314" i="2"/>
  <c r="ED94" i="2"/>
  <c r="AS92" i="2"/>
  <c r="EE55" i="2"/>
  <c r="AK55" i="2"/>
  <c r="AW55" i="2"/>
  <c r="BA55" i="2"/>
  <c r="BM55" i="2"/>
  <c r="BQ55" i="2"/>
  <c r="CC55" i="2"/>
  <c r="EH140" i="2"/>
  <c r="EH138" i="2"/>
  <c r="AL81" i="2"/>
  <c r="AP81" i="2"/>
  <c r="AT81" i="2"/>
  <c r="BB81" i="2"/>
  <c r="BF81" i="2"/>
  <c r="BJ81" i="2"/>
  <c r="AT82" i="2"/>
  <c r="BJ82" i="2"/>
  <c r="CE81" i="2"/>
  <c r="CM81" i="2"/>
  <c r="CU81" i="2"/>
  <c r="DC81" i="2"/>
  <c r="DK81" i="2"/>
  <c r="DN82" i="2"/>
  <c r="DU82" i="2"/>
  <c r="EC82" i="2"/>
  <c r="DS84" i="2"/>
  <c r="AU85" i="2"/>
  <c r="CD88" i="2"/>
  <c r="CT88" i="2"/>
  <c r="AJ89" i="2"/>
  <c r="AR89" i="2"/>
  <c r="AZ89" i="2"/>
  <c r="BH89" i="2"/>
  <c r="BP89" i="2"/>
  <c r="AS94" i="2"/>
  <c r="AW94" i="2"/>
  <c r="BE94" i="2"/>
  <c r="DI94" i="2"/>
  <c r="CN95" i="2"/>
  <c r="DD95" i="2"/>
  <c r="AI109" i="2"/>
  <c r="AM109" i="2"/>
  <c r="AQ109" i="2"/>
  <c r="AU109" i="2"/>
  <c r="AY109" i="2"/>
  <c r="BC109" i="2"/>
  <c r="BG109" i="2"/>
  <c r="BK109" i="2"/>
  <c r="BO109" i="2"/>
  <c r="BV132" i="2"/>
  <c r="BV133" i="2" s="1"/>
  <c r="BV131" i="2"/>
  <c r="BZ132" i="2"/>
  <c r="BZ133" i="2" s="1"/>
  <c r="BZ131" i="2"/>
  <c r="CD132" i="2"/>
  <c r="CD133" i="2" s="1"/>
  <c r="CD131" i="2"/>
  <c r="CH132" i="2"/>
  <c r="CH133" i="2" s="1"/>
  <c r="CH131" i="2"/>
  <c r="CL132" i="2"/>
  <c r="CL133" i="2" s="1"/>
  <c r="CL131" i="2"/>
  <c r="CP132" i="2"/>
  <c r="CP133" i="2" s="1"/>
  <c r="CP131" i="2"/>
  <c r="CT132" i="2"/>
  <c r="CT133" i="2" s="1"/>
  <c r="CT131" i="2"/>
  <c r="CX132" i="2"/>
  <c r="CX133" i="2" s="1"/>
  <c r="CX131" i="2"/>
  <c r="DB132" i="2"/>
  <c r="DB133" i="2" s="1"/>
  <c r="DB131" i="2"/>
  <c r="DF132" i="2"/>
  <c r="DF133" i="2" s="1"/>
  <c r="DF131" i="2"/>
  <c r="DJ132" i="2"/>
  <c r="DJ133" i="2" s="1"/>
  <c r="DJ131" i="2"/>
  <c r="DP131" i="2"/>
  <c r="DP132" i="2"/>
  <c r="DP133" i="2" s="1"/>
  <c r="AQ345" i="2"/>
  <c r="AR144" i="2"/>
  <c r="AR145" i="2" s="1"/>
  <c r="AR146" i="2" s="1"/>
  <c r="AQ144" i="2"/>
  <c r="AQ145" i="2" s="1"/>
  <c r="AQ146" i="2" s="1"/>
  <c r="AR143" i="2"/>
  <c r="BF345" i="2"/>
  <c r="BG143" i="2"/>
  <c r="BG144" i="2" s="1"/>
  <c r="BG145" i="2" s="1"/>
  <c r="L146" i="2"/>
  <c r="AJ146" i="2"/>
  <c r="BC146" i="2"/>
  <c r="AU307" i="2"/>
  <c r="AU303" i="2"/>
  <c r="AU305" i="2"/>
  <c r="BG307" i="2"/>
  <c r="BG303" i="2"/>
  <c r="BG305" i="2"/>
  <c r="BO307" i="2"/>
  <c r="BO303" i="2"/>
  <c r="BO305" i="2"/>
  <c r="CA307" i="2"/>
  <c r="CA305" i="2"/>
  <c r="CA174" i="2"/>
  <c r="CA145" i="2"/>
  <c r="CA108" i="2"/>
  <c r="CI307" i="2"/>
  <c r="CI305" i="2"/>
  <c r="CI174" i="2"/>
  <c r="CI145" i="2"/>
  <c r="CI108" i="2"/>
  <c r="CQ307" i="2"/>
  <c r="CQ305" i="2"/>
  <c r="CQ174" i="2"/>
  <c r="CQ145" i="2"/>
  <c r="CQ108" i="2"/>
  <c r="CY174" i="2"/>
  <c r="CY145" i="2"/>
  <c r="CY108" i="2"/>
  <c r="DK307" i="2"/>
  <c r="DK305" i="2"/>
  <c r="DK174" i="2"/>
  <c r="DK108" i="2"/>
  <c r="DK145" i="2"/>
  <c r="DS307" i="2"/>
  <c r="DS305" i="2"/>
  <c r="DS174" i="2"/>
  <c r="DS108" i="2"/>
  <c r="DS145" i="2"/>
  <c r="N130" i="2"/>
  <c r="DT123" i="2"/>
  <c r="DT82" i="2"/>
  <c r="EB123" i="2"/>
  <c r="EB82" i="2"/>
  <c r="BD85" i="2"/>
  <c r="BM84" i="2"/>
  <c r="BM89" i="2"/>
  <c r="I14" i="2"/>
  <c r="I85" i="2" s="1"/>
  <c r="DY174" i="2"/>
  <c r="DY145" i="2"/>
  <c r="DY108" i="2"/>
  <c r="I3" i="2"/>
  <c r="M3" i="2"/>
  <c r="Q3" i="2"/>
  <c r="U3" i="2"/>
  <c r="Y3" i="2"/>
  <c r="I4" i="2"/>
  <c r="AN307" i="2"/>
  <c r="AN303" i="2"/>
  <c r="AN305" i="2"/>
  <c r="AN146" i="2"/>
  <c r="AR307" i="2"/>
  <c r="AR303" i="2"/>
  <c r="AR305" i="2"/>
  <c r="AV307" i="2"/>
  <c r="AV303" i="2"/>
  <c r="AV305" i="2"/>
  <c r="AZ307" i="2"/>
  <c r="AZ305" i="2"/>
  <c r="BD307" i="2"/>
  <c r="BD303" i="2"/>
  <c r="BD305" i="2"/>
  <c r="BH307" i="2"/>
  <c r="BH303" i="2"/>
  <c r="BH305" i="2"/>
  <c r="BL307" i="2"/>
  <c r="BL303" i="2"/>
  <c r="BL305" i="2"/>
  <c r="BP307" i="2"/>
  <c r="BP303" i="2"/>
  <c r="BP305" i="2"/>
  <c r="BT307" i="2"/>
  <c r="BT303" i="2"/>
  <c r="BT305" i="2"/>
  <c r="BT174" i="2"/>
  <c r="BT145" i="2"/>
  <c r="BT108" i="2"/>
  <c r="BX307" i="2"/>
  <c r="BX303" i="2"/>
  <c r="BX305" i="2"/>
  <c r="BX174" i="2"/>
  <c r="BX145" i="2"/>
  <c r="BX108" i="2"/>
  <c r="CB307" i="2"/>
  <c r="CB305" i="2"/>
  <c r="CB174" i="2"/>
  <c r="CB145" i="2"/>
  <c r="CB108" i="2"/>
  <c r="CF307" i="2"/>
  <c r="CF305" i="2"/>
  <c r="CF174" i="2"/>
  <c r="CF145" i="2"/>
  <c r="CF108" i="2"/>
  <c r="CJ307" i="2"/>
  <c r="CJ305" i="2"/>
  <c r="CJ174" i="2"/>
  <c r="CJ145" i="2"/>
  <c r="CJ108" i="2"/>
  <c r="CN307" i="2"/>
  <c r="CN305" i="2"/>
  <c r="CN174" i="2"/>
  <c r="CN145" i="2"/>
  <c r="CN108" i="2"/>
  <c r="CR307" i="2"/>
  <c r="CR305" i="2"/>
  <c r="CR174" i="2"/>
  <c r="CR145" i="2"/>
  <c r="CR108" i="2"/>
  <c r="CV307" i="2"/>
  <c r="CV305" i="2"/>
  <c r="CV174" i="2"/>
  <c r="CV145" i="2"/>
  <c r="CV108" i="2"/>
  <c r="CZ307" i="2"/>
  <c r="CZ305" i="2"/>
  <c r="CZ174" i="2"/>
  <c r="CZ145" i="2"/>
  <c r="CZ108" i="2"/>
  <c r="DD174" i="2"/>
  <c r="DD145" i="2"/>
  <c r="DD108" i="2"/>
  <c r="DH307" i="2"/>
  <c r="DH305" i="2"/>
  <c r="DH174" i="2"/>
  <c r="DH145" i="2"/>
  <c r="DH108" i="2"/>
  <c r="DL307" i="2"/>
  <c r="DL305" i="2"/>
  <c r="DL174" i="2"/>
  <c r="DL145" i="2"/>
  <c r="DL108" i="2"/>
  <c r="DP307" i="2"/>
  <c r="DP305" i="2"/>
  <c r="DP174" i="2"/>
  <c r="DP145" i="2"/>
  <c r="DP108" i="2"/>
  <c r="DT307" i="2"/>
  <c r="DT305" i="2"/>
  <c r="DT174" i="2"/>
  <c r="DT145" i="2"/>
  <c r="DT108" i="2"/>
  <c r="EB7" i="2"/>
  <c r="G82" i="2"/>
  <c r="K82" i="2"/>
  <c r="DW174" i="2"/>
  <c r="DW145" i="2"/>
  <c r="DW108" i="2"/>
  <c r="EA3" i="2"/>
  <c r="G3" i="2"/>
  <c r="K3" i="2"/>
  <c r="O3" i="2"/>
  <c r="S3" i="2"/>
  <c r="W3" i="2"/>
  <c r="AA3" i="2"/>
  <c r="G278" i="2"/>
  <c r="G276" i="2"/>
  <c r="G373" i="2" s="1"/>
  <c r="G274" i="2"/>
  <c r="G272" i="2"/>
  <c r="G270" i="2"/>
  <c r="G268" i="2"/>
  <c r="G266" i="2"/>
  <c r="G309" i="2" s="1"/>
  <c r="G261" i="2"/>
  <c r="G260" i="2"/>
  <c r="G259" i="2"/>
  <c r="G257" i="2"/>
  <c r="G308" i="2" s="1"/>
  <c r="G256" i="2"/>
  <c r="G255" i="2"/>
  <c r="G254" i="2"/>
  <c r="G253" i="2"/>
  <c r="G302" i="2" s="1"/>
  <c r="G252" i="2"/>
  <c r="G251" i="2"/>
  <c r="G277" i="2"/>
  <c r="G275" i="2"/>
  <c r="G273" i="2"/>
  <c r="G271" i="2"/>
  <c r="G311" i="2" s="1"/>
  <c r="G267" i="2"/>
  <c r="G265" i="2"/>
  <c r="G269" i="2" s="1"/>
  <c r="AP305" i="2"/>
  <c r="AP307" i="2"/>
  <c r="AP303" i="2"/>
  <c r="AT305" i="2"/>
  <c r="AT307" i="2"/>
  <c r="AT303" i="2"/>
  <c r="AX305" i="2"/>
  <c r="AX307" i="2"/>
  <c r="AX303" i="2"/>
  <c r="BB305" i="2"/>
  <c r="BB307" i="2"/>
  <c r="BB303" i="2"/>
  <c r="BF305" i="2"/>
  <c r="BF307" i="2"/>
  <c r="BF303" i="2"/>
  <c r="BJ305" i="2"/>
  <c r="BJ307" i="2"/>
  <c r="BJ303" i="2"/>
  <c r="BN305" i="2"/>
  <c r="BN307" i="2"/>
  <c r="BN303" i="2"/>
  <c r="BR305" i="2"/>
  <c r="BR307" i="2"/>
  <c r="BR303" i="2"/>
  <c r="BV305" i="2"/>
  <c r="BV307" i="2"/>
  <c r="BV303" i="2"/>
  <c r="BV174" i="2"/>
  <c r="BV145" i="2"/>
  <c r="BV108" i="2"/>
  <c r="BZ174" i="2"/>
  <c r="BZ145" i="2"/>
  <c r="BZ108" i="2"/>
  <c r="CD305" i="2"/>
  <c r="CD307" i="2"/>
  <c r="CD174" i="2"/>
  <c r="CD145" i="2"/>
  <c r="CD108" i="2"/>
  <c r="CH305" i="2"/>
  <c r="CH307" i="2"/>
  <c r="CH174" i="2"/>
  <c r="CH145" i="2"/>
  <c r="CH108" i="2"/>
  <c r="CL305" i="2"/>
  <c r="CL307" i="2"/>
  <c r="CL174" i="2"/>
  <c r="CL145" i="2"/>
  <c r="CL108" i="2"/>
  <c r="CP305" i="2"/>
  <c r="CP307" i="2"/>
  <c r="CP174" i="2"/>
  <c r="CP145" i="2"/>
  <c r="CP108" i="2"/>
  <c r="CT305" i="2"/>
  <c r="CT307" i="2"/>
  <c r="CT174" i="2"/>
  <c r="CT145" i="2"/>
  <c r="CT108" i="2"/>
  <c r="CX305" i="2"/>
  <c r="CX307" i="2"/>
  <c r="CX174" i="2"/>
  <c r="CX145" i="2"/>
  <c r="CX108" i="2"/>
  <c r="DB305" i="2"/>
  <c r="DB307" i="2"/>
  <c r="DB174" i="2"/>
  <c r="DB145" i="2"/>
  <c r="DB108" i="2"/>
  <c r="DF174" i="2"/>
  <c r="DF145" i="2"/>
  <c r="DF108" i="2"/>
  <c r="DJ305" i="2"/>
  <c r="DJ307" i="2"/>
  <c r="DJ174" i="2"/>
  <c r="DJ145" i="2"/>
  <c r="DJ108" i="2"/>
  <c r="DN305" i="2"/>
  <c r="DN307" i="2"/>
  <c r="DN174" i="2"/>
  <c r="DN145" i="2"/>
  <c r="DN108" i="2"/>
  <c r="DR305" i="2"/>
  <c r="DR307" i="2"/>
  <c r="DR174" i="2"/>
  <c r="DR145" i="2"/>
  <c r="DR108" i="2"/>
  <c r="F277" i="2"/>
  <c r="F275" i="2"/>
  <c r="F273" i="2"/>
  <c r="F271" i="2"/>
  <c r="F267" i="2"/>
  <c r="F265" i="2"/>
  <c r="F306" i="2" s="1"/>
  <c r="F307" i="2" s="1"/>
  <c r="F278" i="2"/>
  <c r="F276" i="2"/>
  <c r="F373" i="2" s="1"/>
  <c r="F274" i="2"/>
  <c r="F272" i="2"/>
  <c r="F270" i="2"/>
  <c r="F268" i="2"/>
  <c r="F266" i="2"/>
  <c r="F309" i="2" s="1"/>
  <c r="F261" i="2"/>
  <c r="F260" i="2"/>
  <c r="G94" i="2" s="1"/>
  <c r="F259" i="2"/>
  <c r="F257" i="2"/>
  <c r="F308" i="2" s="1"/>
  <c r="F256" i="2"/>
  <c r="F255" i="2"/>
  <c r="F254" i="2"/>
  <c r="F305" i="2" s="1"/>
  <c r="F253" i="2"/>
  <c r="F302" i="2" s="1"/>
  <c r="F252" i="2"/>
  <c r="F251" i="2"/>
  <c r="DZ281" i="2"/>
  <c r="DZ249" i="2"/>
  <c r="DZ214" i="2"/>
  <c r="EA9" i="2"/>
  <c r="BU123" i="2"/>
  <c r="BU82" i="2"/>
  <c r="DS123" i="2"/>
  <c r="DS82" i="2"/>
  <c r="DW123" i="2"/>
  <c r="DW82" i="2"/>
  <c r="EA123" i="2"/>
  <c r="EA82" i="2"/>
  <c r="BU84" i="2"/>
  <c r="BT84" i="2"/>
  <c r="H14" i="2"/>
  <c r="H85" i="2" s="1"/>
  <c r="L14" i="2"/>
  <c r="L85" i="2" s="1"/>
  <c r="H302" i="2"/>
  <c r="DZ192" i="2"/>
  <c r="DZ189" i="2"/>
  <c r="DZ196" i="2" s="1"/>
  <c r="BM14" i="2"/>
  <c r="BQ14" i="2"/>
  <c r="BU14" i="2"/>
  <c r="BV85" i="2" s="1"/>
  <c r="BY85" i="2"/>
  <c r="AK14" i="2"/>
  <c r="AL85" i="2" s="1"/>
  <c r="AO84" i="2"/>
  <c r="AO89" i="2"/>
  <c r="AW87" i="2"/>
  <c r="AW82" i="2"/>
  <c r="AW302" i="2"/>
  <c r="AW309" i="2"/>
  <c r="AW303" i="2"/>
  <c r="AW92" i="2"/>
  <c r="BA14" i="2"/>
  <c r="BB85" i="2" s="1"/>
  <c r="BE84" i="2"/>
  <c r="BE89" i="2"/>
  <c r="BZ354" i="2"/>
  <c r="BZ318" i="2"/>
  <c r="BZ310" i="2"/>
  <c r="BZ309" i="2"/>
  <c r="BZ308" i="2"/>
  <c r="BZ303" i="2"/>
  <c r="BZ302" i="2"/>
  <c r="BZ95" i="2"/>
  <c r="CD354" i="2"/>
  <c r="CD318" i="2"/>
  <c r="CD310" i="2"/>
  <c r="CD309" i="2"/>
  <c r="CD308" i="2"/>
  <c r="CD303" i="2"/>
  <c r="CD302" i="2"/>
  <c r="CD95" i="2"/>
  <c r="CH318" i="2"/>
  <c r="CH310" i="2"/>
  <c r="CH303" i="2"/>
  <c r="CH309" i="2"/>
  <c r="CH308" i="2"/>
  <c r="CH302" i="2"/>
  <c r="CH95" i="2"/>
  <c r="CL318" i="2"/>
  <c r="CL310" i="2"/>
  <c r="CL309" i="2"/>
  <c r="CL303" i="2"/>
  <c r="CL302" i="2"/>
  <c r="CL95" i="2"/>
  <c r="CP354" i="2"/>
  <c r="CP318" i="2"/>
  <c r="CP310" i="2"/>
  <c r="CP309" i="2"/>
  <c r="CP308" i="2"/>
  <c r="CP303" i="2"/>
  <c r="CP302" i="2"/>
  <c r="CP95" i="2"/>
  <c r="CT354" i="2"/>
  <c r="CT318" i="2"/>
  <c r="CT310" i="2"/>
  <c r="CT309" i="2"/>
  <c r="CT308" i="2"/>
  <c r="CT303" i="2"/>
  <c r="CT302" i="2"/>
  <c r="CT95" i="2"/>
  <c r="CX354" i="2"/>
  <c r="CX318" i="2"/>
  <c r="CX310" i="2"/>
  <c r="CX303" i="2"/>
  <c r="CX308" i="2"/>
  <c r="CX302" i="2"/>
  <c r="CX315" i="2"/>
  <c r="CX309" i="2"/>
  <c r="CX95" i="2"/>
  <c r="DB309" i="2"/>
  <c r="DB303" i="2"/>
  <c r="DB302" i="2"/>
  <c r="DB95" i="2"/>
  <c r="DF318" i="2"/>
  <c r="DF310" i="2"/>
  <c r="DF309" i="2"/>
  <c r="DF303" i="2"/>
  <c r="DF302" i="2"/>
  <c r="DF95" i="2"/>
  <c r="DJ318" i="2"/>
  <c r="DJ310" i="2"/>
  <c r="DJ309" i="2"/>
  <c r="DJ303" i="2"/>
  <c r="DJ302" i="2"/>
  <c r="DJ95" i="2"/>
  <c r="DN15" i="2"/>
  <c r="DR15" i="2"/>
  <c r="DV15" i="2"/>
  <c r="DW81" i="2" s="1"/>
  <c r="DZ15" i="2"/>
  <c r="DZ95" i="2" s="1"/>
  <c r="ED15" i="2"/>
  <c r="DW21" i="2"/>
  <c r="DW28" i="2" s="1"/>
  <c r="DW90" i="2" s="1"/>
  <c r="E306" i="2"/>
  <c r="E307" i="2" s="1"/>
  <c r="E304" i="2"/>
  <c r="Q22" i="2"/>
  <c r="U22" i="2"/>
  <c r="BA306" i="2"/>
  <c r="BA305" i="2"/>
  <c r="BA304" i="2"/>
  <c r="BA307" i="2"/>
  <c r="BZ305" i="2"/>
  <c r="BZ304" i="2"/>
  <c r="BZ307" i="2"/>
  <c r="BZ306" i="2"/>
  <c r="CY21" i="2"/>
  <c r="DF305" i="2"/>
  <c r="DF304" i="2"/>
  <c r="DF307" i="2"/>
  <c r="DF306" i="2"/>
  <c r="DY306" i="2"/>
  <c r="DY305" i="2"/>
  <c r="DY304" i="2"/>
  <c r="DY307" i="2"/>
  <c r="BU25" i="2"/>
  <c r="BU87" i="2" s="1"/>
  <c r="BY28" i="2"/>
  <c r="BY90" i="2" s="1"/>
  <c r="DN25" i="2"/>
  <c r="DR25" i="2"/>
  <c r="DF29" i="2"/>
  <c r="DJ29" i="2"/>
  <c r="DW25" i="2"/>
  <c r="DW87" i="2" s="1"/>
  <c r="DW26" i="2"/>
  <c r="DW88" i="2" s="1"/>
  <c r="DW27" i="2"/>
  <c r="DW89" i="2" s="1"/>
  <c r="DW29" i="2"/>
  <c r="DY26" i="2"/>
  <c r="DY88" i="2" s="1"/>
  <c r="DZ27" i="2"/>
  <c r="DZ89" i="2" s="1"/>
  <c r="EH204" i="2"/>
  <c r="H29" i="2"/>
  <c r="H32" i="2" s="1"/>
  <c r="L29" i="2"/>
  <c r="L32" i="2" s="1"/>
  <c r="H91" i="2"/>
  <c r="L91" i="2"/>
  <c r="H92" i="2"/>
  <c r="L92" i="2"/>
  <c r="H314" i="2"/>
  <c r="H218" i="2"/>
  <c r="H95" i="2"/>
  <c r="L314" i="2"/>
  <c r="L218" i="2"/>
  <c r="L95" i="2"/>
  <c r="CB29" i="2"/>
  <c r="CF29" i="2"/>
  <c r="CJ29" i="2"/>
  <c r="CN29" i="2"/>
  <c r="CR29" i="2"/>
  <c r="CV29" i="2"/>
  <c r="CZ29" i="2"/>
  <c r="AW29" i="2"/>
  <c r="BE29" i="2"/>
  <c r="DC29" i="2"/>
  <c r="DS27" i="2"/>
  <c r="DX25" i="2"/>
  <c r="DX87" i="2" s="1"/>
  <c r="EB27" i="2"/>
  <c r="EB89" i="2" s="1"/>
  <c r="ED25" i="2"/>
  <c r="ED87" i="2" s="1"/>
  <c r="EB92" i="2"/>
  <c r="AQ32" i="2"/>
  <c r="AV32" i="2"/>
  <c r="BG32" i="2"/>
  <c r="BL32" i="2"/>
  <c r="BP32" i="2"/>
  <c r="BT32" i="2"/>
  <c r="BX32" i="2"/>
  <c r="BX290" i="2" s="1"/>
  <c r="EA314" i="2"/>
  <c r="EA95" i="2"/>
  <c r="EA94" i="2"/>
  <c r="AK314" i="2"/>
  <c r="AK218" i="2"/>
  <c r="AK95" i="2"/>
  <c r="BA314" i="2"/>
  <c r="BA218" i="2"/>
  <c r="BA95" i="2"/>
  <c r="BI314" i="2"/>
  <c r="BI218" i="2"/>
  <c r="BI95" i="2"/>
  <c r="DO314" i="2"/>
  <c r="DO95" i="2"/>
  <c r="DO94" i="2"/>
  <c r="DS314" i="2"/>
  <c r="DS95" i="2"/>
  <c r="DS94" i="2"/>
  <c r="AO29" i="2"/>
  <c r="AO314" i="2"/>
  <c r="AO218" i="2"/>
  <c r="AO95" i="2"/>
  <c r="DZ60" i="2"/>
  <c r="EI140" i="2"/>
  <c r="EI138" i="2"/>
  <c r="EE71" i="2"/>
  <c r="G81" i="2"/>
  <c r="O81" i="2"/>
  <c r="AP82" i="2"/>
  <c r="BF82" i="2"/>
  <c r="BZ81" i="2"/>
  <c r="CH81" i="2"/>
  <c r="CP81" i="2"/>
  <c r="CX81" i="2"/>
  <c r="DF81" i="2"/>
  <c r="DV82" i="2"/>
  <c r="ED82" i="2"/>
  <c r="AL84" i="2"/>
  <c r="AT84" i="2"/>
  <c r="BB84" i="2"/>
  <c r="BJ84" i="2"/>
  <c r="BR84" i="2"/>
  <c r="DV84" i="2"/>
  <c r="DZ84" i="2"/>
  <c r="AX85" i="2"/>
  <c r="BN85" i="2"/>
  <c r="AN90" i="2"/>
  <c r="BD90" i="2"/>
  <c r="CG91" i="2"/>
  <c r="CO91" i="2"/>
  <c r="CW91" i="2"/>
  <c r="DE91" i="2"/>
  <c r="CA92" i="2"/>
  <c r="CI92" i="2"/>
  <c r="CQ92" i="2"/>
  <c r="CY92" i="2"/>
  <c r="DG92" i="2"/>
  <c r="CB95" i="2"/>
  <c r="CR95" i="2"/>
  <c r="DH95" i="2"/>
  <c r="AJ109" i="2"/>
  <c r="AN109" i="2"/>
  <c r="AR109" i="2"/>
  <c r="AV109" i="2"/>
  <c r="AZ109" i="2"/>
  <c r="BD109" i="2"/>
  <c r="BH109" i="2"/>
  <c r="BL109" i="2"/>
  <c r="BP109" i="2"/>
  <c r="CT119" i="2"/>
  <c r="CX119" i="2"/>
  <c r="DM119" i="2"/>
  <c r="DM120" i="2" s="1"/>
  <c r="BV120" i="2"/>
  <c r="BZ120" i="2"/>
  <c r="CD120" i="2"/>
  <c r="CH120" i="2"/>
  <c r="CL120" i="2"/>
  <c r="CP120" i="2"/>
  <c r="DB120" i="2"/>
  <c r="DF120" i="2"/>
  <c r="DJ120" i="2"/>
  <c r="BW132" i="2"/>
  <c r="BW133" i="2" s="1"/>
  <c r="BW131" i="2"/>
  <c r="CA132" i="2"/>
  <c r="CA133" i="2" s="1"/>
  <c r="CA131" i="2"/>
  <c r="CE132" i="2"/>
  <c r="CE133" i="2" s="1"/>
  <c r="CE131" i="2"/>
  <c r="CI132" i="2"/>
  <c r="CI133" i="2" s="1"/>
  <c r="CI131" i="2"/>
  <c r="CM132" i="2"/>
  <c r="CM133" i="2" s="1"/>
  <c r="CM131" i="2"/>
  <c r="CQ132" i="2"/>
  <c r="CQ133" i="2" s="1"/>
  <c r="CQ131" i="2"/>
  <c r="CU132" i="2"/>
  <c r="CU133" i="2" s="1"/>
  <c r="CU131" i="2"/>
  <c r="CY132" i="2"/>
  <c r="CY133" i="2" s="1"/>
  <c r="CY131" i="2"/>
  <c r="DC132" i="2"/>
  <c r="DC133" i="2" s="1"/>
  <c r="DC131" i="2"/>
  <c r="DG132" i="2"/>
  <c r="DG133" i="2" s="1"/>
  <c r="DG131" i="2"/>
  <c r="DK132" i="2"/>
  <c r="DK133" i="2" s="1"/>
  <c r="DK131" i="2"/>
  <c r="DQ131" i="2"/>
  <c r="DQ132" i="2"/>
  <c r="DQ133" i="2" s="1"/>
  <c r="DW345" i="2"/>
  <c r="DX143" i="2"/>
  <c r="E146" i="2"/>
  <c r="I146" i="2"/>
  <c r="M146" i="2"/>
  <c r="AV146" i="2"/>
  <c r="AM146" i="2"/>
  <c r="EF104" i="2"/>
  <c r="DT105" i="2"/>
  <c r="DT106" i="2"/>
  <c r="EF106" i="2"/>
  <c r="EF110" i="2" s="1"/>
  <c r="CV114" i="2"/>
  <c r="CV65" i="2" s="1"/>
  <c r="CZ114" i="2"/>
  <c r="CZ65" i="2" s="1"/>
  <c r="DM114" i="2"/>
  <c r="DM65" i="2" s="1"/>
  <c r="DU114" i="2"/>
  <c r="DU65" i="2" s="1"/>
  <c r="EC114" i="2"/>
  <c r="EC65" i="2" s="1"/>
  <c r="DN119" i="2"/>
  <c r="BQ345" i="2"/>
  <c r="BR144" i="2"/>
  <c r="BR145" i="2" s="1"/>
  <c r="G146" i="2"/>
  <c r="K146" i="2"/>
  <c r="AT146" i="2"/>
  <c r="DX161" i="2"/>
  <c r="DX168" i="2" s="1"/>
  <c r="AV175" i="2"/>
  <c r="BD175" i="2"/>
  <c r="AJ175" i="2"/>
  <c r="DU105" i="2"/>
  <c r="DU106" i="2"/>
  <c r="CW114" i="2"/>
  <c r="CW65" i="2" s="1"/>
  <c r="DA114" i="2"/>
  <c r="DA65" i="2" s="1"/>
  <c r="DV114" i="2"/>
  <c r="DV65" i="2" s="1"/>
  <c r="DZ114" i="2"/>
  <c r="DZ65" i="2" s="1"/>
  <c r="ED114" i="2"/>
  <c r="ED65" i="2" s="1"/>
  <c r="BY127" i="2"/>
  <c r="BY134" i="2" s="1"/>
  <c r="CC127" i="2"/>
  <c r="CC134" i="2" s="1"/>
  <c r="CG127" i="2"/>
  <c r="CG134" i="2" s="1"/>
  <c r="CK127" i="2"/>
  <c r="CK134" i="2" s="1"/>
  <c r="CO127" i="2"/>
  <c r="CO134" i="2" s="1"/>
  <c r="CS127" i="2"/>
  <c r="CS134" i="2" s="1"/>
  <c r="CW127" i="2"/>
  <c r="CW134" i="2" s="1"/>
  <c r="DA127" i="2"/>
  <c r="DA134" i="2" s="1"/>
  <c r="DE127" i="2"/>
  <c r="DE134" i="2" s="1"/>
  <c r="DI127" i="2"/>
  <c r="DI134" i="2" s="1"/>
  <c r="DQ127" i="2"/>
  <c r="DQ134" i="2" s="1"/>
  <c r="AL144" i="2"/>
  <c r="AL145" i="2" s="1"/>
  <c r="AL146" i="2" s="1"/>
  <c r="AK144" i="2"/>
  <c r="AK145" i="2" s="1"/>
  <c r="AK146" i="2" s="1"/>
  <c r="BM345" i="2"/>
  <c r="BN144" i="2"/>
  <c r="BN145" i="2" s="1"/>
  <c r="BN146" i="2" s="1"/>
  <c r="DC345" i="2"/>
  <c r="DD171" i="2"/>
  <c r="DD345" i="2" s="1"/>
  <c r="AR175" i="2"/>
  <c r="BL175" i="2"/>
  <c r="AZ175" i="2"/>
  <c r="CO310" i="2"/>
  <c r="DV345" i="2"/>
  <c r="DV105" i="2"/>
  <c r="DV106" i="2"/>
  <c r="EA114" i="2"/>
  <c r="EA65" i="2" s="1"/>
  <c r="BA345" i="2"/>
  <c r="BB144" i="2"/>
  <c r="BB145" i="2" s="1"/>
  <c r="BB146" i="2" s="1"/>
  <c r="BI345" i="2"/>
  <c r="BN345" i="2"/>
  <c r="BO143" i="2"/>
  <c r="DA345" i="2"/>
  <c r="V143" i="2"/>
  <c r="EG143" i="2"/>
  <c r="EG144" i="2" s="1"/>
  <c r="BV166" i="2"/>
  <c r="BV167" i="2" s="1"/>
  <c r="BV165" i="2"/>
  <c r="BZ166" i="2"/>
  <c r="BZ167" i="2" s="1"/>
  <c r="BZ165" i="2"/>
  <c r="CD166" i="2"/>
  <c r="CD167" i="2" s="1"/>
  <c r="CD165" i="2"/>
  <c r="CH166" i="2"/>
  <c r="CH167" i="2" s="1"/>
  <c r="CH165" i="2"/>
  <c r="CL166" i="2"/>
  <c r="CL167" i="2" s="1"/>
  <c r="CL165" i="2"/>
  <c r="CP166" i="2"/>
  <c r="CP167" i="2" s="1"/>
  <c r="CP165" i="2"/>
  <c r="CT166" i="2"/>
  <c r="CT167" i="2" s="1"/>
  <c r="CT165" i="2"/>
  <c r="CX166" i="2"/>
  <c r="CX167" i="2" s="1"/>
  <c r="CX165" i="2"/>
  <c r="DB166" i="2"/>
  <c r="DB167" i="2" s="1"/>
  <c r="DB165" i="2"/>
  <c r="DF166" i="2"/>
  <c r="DF167" i="2" s="1"/>
  <c r="DF165" i="2"/>
  <c r="DJ166" i="2"/>
  <c r="DJ167" i="2" s="1"/>
  <c r="DJ165" i="2"/>
  <c r="DN166" i="2"/>
  <c r="DN167" i="2" s="1"/>
  <c r="DN165" i="2"/>
  <c r="DR166" i="2"/>
  <c r="DR167" i="2" s="1"/>
  <c r="DR165" i="2"/>
  <c r="DV166" i="2"/>
  <c r="DV167" i="2" s="1"/>
  <c r="DV165" i="2"/>
  <c r="DZ166" i="2"/>
  <c r="DZ167" i="2" s="1"/>
  <c r="DZ165" i="2"/>
  <c r="ED166" i="2"/>
  <c r="ED167" i="2" s="1"/>
  <c r="ED165" i="2"/>
  <c r="AS175" i="2"/>
  <c r="BH175" i="2"/>
  <c r="BP175" i="2"/>
  <c r="DS105" i="2"/>
  <c r="DW105" i="2"/>
  <c r="EE316" i="2"/>
  <c r="EE260" i="2"/>
  <c r="DS106" i="2"/>
  <c r="DW106" i="2"/>
  <c r="DT114" i="2"/>
  <c r="DT65" i="2" s="1"/>
  <c r="EB114" i="2"/>
  <c r="EB65" i="2" s="1"/>
  <c r="AP345" i="2"/>
  <c r="AP144" i="2"/>
  <c r="AP145" i="2" s="1"/>
  <c r="AP146" i="2" s="1"/>
  <c r="AW345" i="2"/>
  <c r="AX144" i="2"/>
  <c r="AX145" i="2" s="1"/>
  <c r="AX146" i="2" s="1"/>
  <c r="AW144" i="2"/>
  <c r="AW145" i="2" s="1"/>
  <c r="AW146" i="2" s="1"/>
  <c r="BE345" i="2"/>
  <c r="BF144" i="2"/>
  <c r="BF145" i="2" s="1"/>
  <c r="BF146" i="2" s="1"/>
  <c r="BE144" i="2"/>
  <c r="BE145" i="2" s="1"/>
  <c r="BE146" i="2" s="1"/>
  <c r="BJ143" i="2"/>
  <c r="BJ144" i="2" s="1"/>
  <c r="BJ145" i="2" s="1"/>
  <c r="BV143" i="2"/>
  <c r="CE143" i="2"/>
  <c r="CM143" i="2"/>
  <c r="CQ143" i="2"/>
  <c r="DB143" i="2"/>
  <c r="DB345" i="2" s="1"/>
  <c r="EF144" i="2"/>
  <c r="BO144" i="2"/>
  <c r="BO145" i="2" s="1"/>
  <c r="BW166" i="2"/>
  <c r="BW167" i="2" s="1"/>
  <c r="BW165" i="2"/>
  <c r="CA166" i="2"/>
  <c r="CA167" i="2" s="1"/>
  <c r="CA165" i="2"/>
  <c r="CE166" i="2"/>
  <c r="CE167" i="2" s="1"/>
  <c r="CE165" i="2"/>
  <c r="CI166" i="2"/>
  <c r="CI167" i="2" s="1"/>
  <c r="CI165" i="2"/>
  <c r="CM166" i="2"/>
  <c r="CM167" i="2" s="1"/>
  <c r="CM165" i="2"/>
  <c r="CQ166" i="2"/>
  <c r="CQ167" i="2" s="1"/>
  <c r="CQ165" i="2"/>
  <c r="CU166" i="2"/>
  <c r="CU167" i="2" s="1"/>
  <c r="CU165" i="2"/>
  <c r="CY166" i="2"/>
  <c r="CY167" i="2" s="1"/>
  <c r="CY165" i="2"/>
  <c r="DC166" i="2"/>
  <c r="DC167" i="2" s="1"/>
  <c r="DC165" i="2"/>
  <c r="DG166" i="2"/>
  <c r="DG167" i="2" s="1"/>
  <c r="DG165" i="2"/>
  <c r="DK166" i="2"/>
  <c r="DK167" i="2" s="1"/>
  <c r="DK165" i="2"/>
  <c r="DO166" i="2"/>
  <c r="DO167" i="2" s="1"/>
  <c r="DO165" i="2"/>
  <c r="DS166" i="2"/>
  <c r="DS167" i="2" s="1"/>
  <c r="DS165" i="2"/>
  <c r="DW164" i="2"/>
  <c r="EA166" i="2"/>
  <c r="EA167" i="2" s="1"/>
  <c r="EA165" i="2"/>
  <c r="AN175" i="2"/>
  <c r="BI175" i="2"/>
  <c r="CK157" i="2"/>
  <c r="BX164" i="2"/>
  <c r="CB164" i="2"/>
  <c r="CF164" i="2"/>
  <c r="CJ164" i="2"/>
  <c r="CN164" i="2"/>
  <c r="CR164" i="2"/>
  <c r="CV164" i="2"/>
  <c r="CZ164" i="2"/>
  <c r="DD164" i="2"/>
  <c r="DH164" i="2"/>
  <c r="DL164" i="2"/>
  <c r="DP164" i="2"/>
  <c r="DT164" i="2"/>
  <c r="DX164" i="2"/>
  <c r="EB164" i="2"/>
  <c r="BB175" i="2"/>
  <c r="BR175" i="2"/>
  <c r="AM175" i="2"/>
  <c r="AW173" i="2"/>
  <c r="AW174" i="2" s="1"/>
  <c r="AW175" i="2" s="1"/>
  <c r="BC175" i="2"/>
  <c r="BM173" i="2"/>
  <c r="BM174" i="2" s="1"/>
  <c r="BM175" i="2" s="1"/>
  <c r="CQ192" i="2"/>
  <c r="CY192" i="2"/>
  <c r="BW193" i="2"/>
  <c r="CM193" i="2"/>
  <c r="DC193" i="2"/>
  <c r="CC194" i="2"/>
  <c r="CC195" i="2" s="1"/>
  <c r="CS194" i="2"/>
  <c r="CS195" i="2" s="1"/>
  <c r="DI194" i="2"/>
  <c r="DI195" i="2" s="1"/>
  <c r="DY194" i="2"/>
  <c r="DY195" i="2" s="1"/>
  <c r="DE203" i="2"/>
  <c r="DI203" i="2"/>
  <c r="DM203" i="2"/>
  <c r="DQ203" i="2"/>
  <c r="BU210" i="2"/>
  <c r="BY210" i="2"/>
  <c r="CC210" i="2"/>
  <c r="CG210" i="2"/>
  <c r="CK210" i="2"/>
  <c r="CO210" i="2"/>
  <c r="CS210" i="2"/>
  <c r="CW210" i="2"/>
  <c r="DA210" i="2"/>
  <c r="DE210" i="2"/>
  <c r="DM210" i="2"/>
  <c r="Y221" i="2"/>
  <c r="CZ310" i="2"/>
  <c r="DA219" i="2"/>
  <c r="DA310" i="2" s="1"/>
  <c r="V219" i="2"/>
  <c r="X221" i="2"/>
  <c r="DU221" i="2"/>
  <c r="AO221" i="2"/>
  <c r="F221" i="2" s="1"/>
  <c r="AN221" i="2"/>
  <c r="BE220" i="2"/>
  <c r="J220" i="2"/>
  <c r="BO310" i="2"/>
  <c r="BP219" i="2"/>
  <c r="CB310" i="2"/>
  <c r="CC219" i="2"/>
  <c r="CC310" i="2" s="1"/>
  <c r="P219" i="2"/>
  <c r="CJ220" i="2"/>
  <c r="CK220" i="2" s="1"/>
  <c r="DX310" i="2"/>
  <c r="BU166" i="2"/>
  <c r="BU167" i="2" s="1"/>
  <c r="BY166" i="2"/>
  <c r="BY167" i="2" s="1"/>
  <c r="CC166" i="2"/>
  <c r="CC167" i="2" s="1"/>
  <c r="CG166" i="2"/>
  <c r="CG167" i="2" s="1"/>
  <c r="CK166" i="2"/>
  <c r="CK167" i="2" s="1"/>
  <c r="CO166" i="2"/>
  <c r="CO167" i="2" s="1"/>
  <c r="CS166" i="2"/>
  <c r="CS167" i="2" s="1"/>
  <c r="CW166" i="2"/>
  <c r="CW167" i="2" s="1"/>
  <c r="DA166" i="2"/>
  <c r="DA167" i="2" s="1"/>
  <c r="DE166" i="2"/>
  <c r="DE167" i="2" s="1"/>
  <c r="DI166" i="2"/>
  <c r="DI167" i="2" s="1"/>
  <c r="DM166" i="2"/>
  <c r="DM167" i="2" s="1"/>
  <c r="DQ166" i="2"/>
  <c r="DQ167" i="2" s="1"/>
  <c r="DU166" i="2"/>
  <c r="DU167" i="2" s="1"/>
  <c r="EC166" i="2"/>
  <c r="EC167" i="2" s="1"/>
  <c r="AP175" i="2"/>
  <c r="BF175" i="2"/>
  <c r="AI175" i="2"/>
  <c r="AY175" i="2"/>
  <c r="BO175" i="2"/>
  <c r="DB180" i="2"/>
  <c r="DB77" i="2" s="1"/>
  <c r="DZ180" i="2"/>
  <c r="DZ77" i="2" s="1"/>
  <c r="BX193" i="2"/>
  <c r="BX194" i="2"/>
  <c r="BX195" i="2" s="1"/>
  <c r="CB193" i="2"/>
  <c r="CB194" i="2"/>
  <c r="CB195" i="2" s="1"/>
  <c r="CF193" i="2"/>
  <c r="CF194" i="2"/>
  <c r="CF195" i="2" s="1"/>
  <c r="CJ193" i="2"/>
  <c r="CJ194" i="2"/>
  <c r="CJ195" i="2" s="1"/>
  <c r="CN193" i="2"/>
  <c r="CN194" i="2"/>
  <c r="CN195" i="2" s="1"/>
  <c r="CR193" i="2"/>
  <c r="CR194" i="2"/>
  <c r="CR195" i="2" s="1"/>
  <c r="CV193" i="2"/>
  <c r="CV194" i="2"/>
  <c r="CV195" i="2" s="1"/>
  <c r="CZ193" i="2"/>
  <c r="CZ194" i="2"/>
  <c r="CZ195" i="2" s="1"/>
  <c r="DD193" i="2"/>
  <c r="DD194" i="2"/>
  <c r="DD195" i="2" s="1"/>
  <c r="DH193" i="2"/>
  <c r="DH194" i="2"/>
  <c r="DH195" i="2" s="1"/>
  <c r="DL193" i="2"/>
  <c r="DL194" i="2"/>
  <c r="DL195" i="2" s="1"/>
  <c r="DP193" i="2"/>
  <c r="DP194" i="2"/>
  <c r="DP195" i="2" s="1"/>
  <c r="DV192" i="2"/>
  <c r="EE200" i="2"/>
  <c r="EF256" i="2"/>
  <c r="DH310" i="2"/>
  <c r="DI219" i="2"/>
  <c r="DI310" i="2" s="1"/>
  <c r="X219" i="2"/>
  <c r="DQ221" i="2"/>
  <c r="DU310" i="2"/>
  <c r="AW220" i="2"/>
  <c r="H220" i="2"/>
  <c r="BI220" i="2"/>
  <c r="BH220" i="2"/>
  <c r="K220" i="2" s="1"/>
  <c r="BU221" i="2"/>
  <c r="N221" i="2"/>
  <c r="CE310" i="2"/>
  <c r="CF219" i="2"/>
  <c r="CF310" i="2" s="1"/>
  <c r="CR310" i="2"/>
  <c r="CS219" i="2"/>
  <c r="CS310" i="2" s="1"/>
  <c r="T219" i="2"/>
  <c r="DL220" i="2"/>
  <c r="DM220" i="2" s="1"/>
  <c r="DY310" i="2"/>
  <c r="AK229" i="2"/>
  <c r="E229" i="2"/>
  <c r="AW224" i="2"/>
  <c r="H224" i="2" s="1"/>
  <c r="BA225" i="2"/>
  <c r="I225" i="2"/>
  <c r="BI227" i="2"/>
  <c r="K227" i="2" s="1"/>
  <c r="BM228" i="2"/>
  <c r="L228" i="2"/>
  <c r="BQ229" i="2"/>
  <c r="M229" i="2" s="1"/>
  <c r="CC224" i="2"/>
  <c r="P224" i="2"/>
  <c r="CG225" i="2"/>
  <c r="Q225" i="2" s="1"/>
  <c r="CO227" i="2"/>
  <c r="S227" i="2"/>
  <c r="CS228" i="2"/>
  <c r="T228" i="2" s="1"/>
  <c r="DI225" i="2"/>
  <c r="X225" i="2"/>
  <c r="DU227" i="2"/>
  <c r="BP245" i="2"/>
  <c r="L245" i="2"/>
  <c r="E349" i="2"/>
  <c r="E344" i="2"/>
  <c r="E343" i="2"/>
  <c r="E342" i="2"/>
  <c r="EG284" i="2"/>
  <c r="EH36" i="2" s="1"/>
  <c r="EH268" i="2"/>
  <c r="EH272" i="2"/>
  <c r="EG230" i="2"/>
  <c r="AO144" i="2"/>
  <c r="AO145" i="2" s="1"/>
  <c r="AO146" i="2" s="1"/>
  <c r="BW154" i="2"/>
  <c r="CA154" i="2"/>
  <c r="CE154" i="2"/>
  <c r="CI154" i="2"/>
  <c r="CM154" i="2"/>
  <c r="CQ154" i="2"/>
  <c r="CU154" i="2"/>
  <c r="CY154" i="2"/>
  <c r="DC154" i="2"/>
  <c r="DG154" i="2"/>
  <c r="DK154" i="2"/>
  <c r="DO154" i="2"/>
  <c r="DS154" i="2"/>
  <c r="DW154" i="2"/>
  <c r="EA154" i="2"/>
  <c r="BW161" i="2"/>
  <c r="BW168" i="2" s="1"/>
  <c r="CA161" i="2"/>
  <c r="CA168" i="2" s="1"/>
  <c r="CE161" i="2"/>
  <c r="CE168" i="2" s="1"/>
  <c r="CI161" i="2"/>
  <c r="CI168" i="2" s="1"/>
  <c r="CM161" i="2"/>
  <c r="CM168" i="2" s="1"/>
  <c r="CQ161" i="2"/>
  <c r="CQ168" i="2" s="1"/>
  <c r="CU161" i="2"/>
  <c r="CU168" i="2" s="1"/>
  <c r="CY161" i="2"/>
  <c r="CY168" i="2" s="1"/>
  <c r="DC161" i="2"/>
  <c r="DC168" i="2" s="1"/>
  <c r="DG161" i="2"/>
  <c r="DG168" i="2" s="1"/>
  <c r="DK161" i="2"/>
  <c r="DK168" i="2" s="1"/>
  <c r="DO161" i="2"/>
  <c r="DO168" i="2" s="1"/>
  <c r="DS161" i="2"/>
  <c r="DS168" i="2" s="1"/>
  <c r="DW161" i="2"/>
  <c r="DW168" i="2" s="1"/>
  <c r="EA161" i="2"/>
  <c r="EA168" i="2" s="1"/>
  <c r="AT175" i="2"/>
  <c r="BJ175" i="2"/>
  <c r="EG171" i="2"/>
  <c r="EF173" i="2"/>
  <c r="EF176" i="2" s="1"/>
  <c r="EF78" i="2" s="1"/>
  <c r="AO173" i="2"/>
  <c r="AO174" i="2" s="1"/>
  <c r="AO175" i="2" s="1"/>
  <c r="AU175" i="2"/>
  <c r="BE173" i="2"/>
  <c r="BE174" i="2" s="1"/>
  <c r="BE175" i="2" s="1"/>
  <c r="BK175" i="2"/>
  <c r="DS180" i="2"/>
  <c r="DS77" i="2" s="1"/>
  <c r="DS182" i="2"/>
  <c r="DW192" i="2"/>
  <c r="BY192" i="2"/>
  <c r="CO192" i="2"/>
  <c r="DE192" i="2"/>
  <c r="CE193" i="2"/>
  <c r="CU193" i="2"/>
  <c r="DK193" i="2"/>
  <c r="EA193" i="2"/>
  <c r="BU194" i="2"/>
  <c r="BU195" i="2" s="1"/>
  <c r="CK194" i="2"/>
  <c r="CK195" i="2" s="1"/>
  <c r="DA194" i="2"/>
  <c r="DA195" i="2" s="1"/>
  <c r="DQ194" i="2"/>
  <c r="DQ195" i="2" s="1"/>
  <c r="DY203" i="2"/>
  <c r="EE274" i="2"/>
  <c r="EF274" i="2" s="1"/>
  <c r="EG274" i="2" s="1"/>
  <c r="EH274" i="2" s="1"/>
  <c r="EI274" i="2" s="1"/>
  <c r="EJ274" i="2" s="1"/>
  <c r="EK274" i="2" s="1"/>
  <c r="EL274" i="2" s="1"/>
  <c r="EM274" i="2" s="1"/>
  <c r="EN274" i="2" s="1"/>
  <c r="EO274" i="2" s="1"/>
  <c r="EP274" i="2" s="1"/>
  <c r="EF219" i="2"/>
  <c r="EG219" i="2" s="1"/>
  <c r="EH219" i="2" s="1"/>
  <c r="EI219" i="2" s="1"/>
  <c r="EJ219" i="2" s="1"/>
  <c r="EK219" i="2" s="1"/>
  <c r="EL219" i="2" s="1"/>
  <c r="EM219" i="2" s="1"/>
  <c r="EN219" i="2" s="1"/>
  <c r="EO219" i="2" s="1"/>
  <c r="EP219" i="2" s="1"/>
  <c r="DD218" i="2"/>
  <c r="DE218" i="2" s="1"/>
  <c r="DD221" i="2"/>
  <c r="DE221" i="2" s="1"/>
  <c r="DC221" i="2"/>
  <c r="DQ310" i="2"/>
  <c r="DT220" i="2"/>
  <c r="DU220" i="2" s="1"/>
  <c r="AR310" i="2"/>
  <c r="AS219" i="2"/>
  <c r="AS310" i="2" s="1"/>
  <c r="BC310" i="2"/>
  <c r="BD219" i="2"/>
  <c r="BD310" i="2" s="1"/>
  <c r="BE221" i="2"/>
  <c r="J221" i="2" s="1"/>
  <c r="BX221" i="2"/>
  <c r="CK310" i="2"/>
  <c r="R219" i="2"/>
  <c r="CK221" i="2"/>
  <c r="R221" i="2"/>
  <c r="CU310" i="2"/>
  <c r="CV219" i="2"/>
  <c r="CW219" i="2" s="1"/>
  <c r="CW310" i="2" s="1"/>
  <c r="CW221" i="2"/>
  <c r="U221" i="2" s="1"/>
  <c r="K221" i="2"/>
  <c r="BH221" i="2"/>
  <c r="BX154" i="2"/>
  <c r="CB154" i="2"/>
  <c r="CF154" i="2"/>
  <c r="CJ154" i="2"/>
  <c r="CN154" i="2"/>
  <c r="CR154" i="2"/>
  <c r="CV154" i="2"/>
  <c r="CZ154" i="2"/>
  <c r="DD154" i="2"/>
  <c r="DH154" i="2"/>
  <c r="DL154" i="2"/>
  <c r="DP154" i="2"/>
  <c r="DT154" i="2"/>
  <c r="DX154" i="2"/>
  <c r="EB154" i="2"/>
  <c r="AX175" i="2"/>
  <c r="BN175" i="2"/>
  <c r="AK173" i="2"/>
  <c r="AK174" i="2" s="1"/>
  <c r="AK175" i="2" s="1"/>
  <c r="AQ175" i="2"/>
  <c r="BA173" i="2"/>
  <c r="BA174" i="2" s="1"/>
  <c r="BA175" i="2" s="1"/>
  <c r="BG175" i="2"/>
  <c r="BQ173" i="2"/>
  <c r="BQ174" i="2" s="1"/>
  <c r="BV194" i="2"/>
  <c r="BV195" i="2" s="1"/>
  <c r="BV193" i="2"/>
  <c r="BZ194" i="2"/>
  <c r="BZ195" i="2" s="1"/>
  <c r="BZ193" i="2"/>
  <c r="CD194" i="2"/>
  <c r="CD195" i="2" s="1"/>
  <c r="CD193" i="2"/>
  <c r="CH194" i="2"/>
  <c r="CH195" i="2" s="1"/>
  <c r="CH193" i="2"/>
  <c r="CL194" i="2"/>
  <c r="CL195" i="2" s="1"/>
  <c r="CL193" i="2"/>
  <c r="CP194" i="2"/>
  <c r="CP195" i="2" s="1"/>
  <c r="CP193" i="2"/>
  <c r="CT194" i="2"/>
  <c r="CT195" i="2" s="1"/>
  <c r="CT193" i="2"/>
  <c r="CX194" i="2"/>
  <c r="CX195" i="2" s="1"/>
  <c r="CX193" i="2"/>
  <c r="DB194" i="2"/>
  <c r="DB195" i="2" s="1"/>
  <c r="DB193" i="2"/>
  <c r="DF194" i="2"/>
  <c r="DF195" i="2" s="1"/>
  <c r="DF193" i="2"/>
  <c r="DJ194" i="2"/>
  <c r="DJ195" i="2" s="1"/>
  <c r="DJ193" i="2"/>
  <c r="DN194" i="2"/>
  <c r="DN195" i="2" s="1"/>
  <c r="DN193" i="2"/>
  <c r="DR194" i="2"/>
  <c r="DR195" i="2" s="1"/>
  <c r="DR193" i="2"/>
  <c r="DX192" i="2"/>
  <c r="ED194" i="2"/>
  <c r="ED195" i="2" s="1"/>
  <c r="ED193" i="2"/>
  <c r="EE202" i="2"/>
  <c r="V216" i="2"/>
  <c r="DA218" i="2"/>
  <c r="V218" i="2"/>
  <c r="V220" i="2"/>
  <c r="DE220" i="2"/>
  <c r="W220" i="2" s="1"/>
  <c r="DP220" i="2"/>
  <c r="DQ220" i="2" s="1"/>
  <c r="G220" i="2"/>
  <c r="AU310" i="2"/>
  <c r="AV219" i="2"/>
  <c r="AV310" i="2" s="1"/>
  <c r="BL310" i="2"/>
  <c r="BM219" i="2"/>
  <c r="BM310" i="2" s="1"/>
  <c r="L219" i="2"/>
  <c r="L310" i="2" s="1"/>
  <c r="BT220" i="2"/>
  <c r="BU220" i="2" s="1"/>
  <c r="N220" i="2" s="1"/>
  <c r="CN310" i="2"/>
  <c r="S219" i="2"/>
  <c r="CN221" i="2"/>
  <c r="CO221" i="2" s="1"/>
  <c r="DM310" i="2"/>
  <c r="EB310" i="2"/>
  <c r="AK219" i="2"/>
  <c r="E219" i="2" s="1"/>
  <c r="E310" i="2" s="1"/>
  <c r="DT180" i="2"/>
  <c r="DT77" i="2" s="1"/>
  <c r="L220" i="2"/>
  <c r="P220" i="2"/>
  <c r="T220" i="2"/>
  <c r="X220" i="2"/>
  <c r="H221" i="2"/>
  <c r="L221" i="2"/>
  <c r="P221" i="2"/>
  <c r="T221" i="2"/>
  <c r="CY310" i="2"/>
  <c r="DC219" i="2"/>
  <c r="DG310" i="2"/>
  <c r="AN219" i="2"/>
  <c r="AZ219" i="2"/>
  <c r="BI219" i="2"/>
  <c r="BU219" i="2"/>
  <c r="BX219" i="2"/>
  <c r="CA310" i="2"/>
  <c r="CQ310" i="2"/>
  <c r="AS225" i="2"/>
  <c r="BI229" i="2"/>
  <c r="CC226" i="2"/>
  <c r="CS230" i="2"/>
  <c r="BI245" i="2"/>
  <c r="K245" i="2"/>
  <c r="CO245" i="2"/>
  <c r="S245" i="2" s="1"/>
  <c r="E301" i="2"/>
  <c r="E299" i="2"/>
  <c r="E262" i="2"/>
  <c r="DH262" i="2"/>
  <c r="AO301" i="2"/>
  <c r="AO299" i="2"/>
  <c r="AO262" i="2"/>
  <c r="AS301" i="2"/>
  <c r="AS299" i="2"/>
  <c r="AS262" i="2"/>
  <c r="AW301" i="2"/>
  <c r="AW299" i="2"/>
  <c r="AW262" i="2"/>
  <c r="BA301" i="2"/>
  <c r="BA299" i="2"/>
  <c r="BA262" i="2"/>
  <c r="BF301" i="2"/>
  <c r="BF299" i="2"/>
  <c r="BF262" i="2"/>
  <c r="CK301" i="2"/>
  <c r="CK299" i="2"/>
  <c r="CK262" i="2"/>
  <c r="CW262" i="2"/>
  <c r="DB262" i="2"/>
  <c r="DF301" i="2"/>
  <c r="DF299" i="2"/>
  <c r="DF262" i="2"/>
  <c r="DZ262" i="2"/>
  <c r="DK280" i="2"/>
  <c r="BY349" i="2"/>
  <c r="BY342" i="2"/>
  <c r="BY343" i="2"/>
  <c r="BY344" i="2"/>
  <c r="BY283" i="2"/>
  <c r="CG349" i="2"/>
  <c r="CG342" i="2"/>
  <c r="CG343" i="2"/>
  <c r="CG344" i="2"/>
  <c r="CG283" i="2"/>
  <c r="CG287" i="2" s="1"/>
  <c r="DO310" i="2"/>
  <c r="DS310" i="2"/>
  <c r="CI310" i="2"/>
  <c r="DK310" i="2"/>
  <c r="DZ310" i="2"/>
  <c r="AO228" i="2"/>
  <c r="AS229" i="2"/>
  <c r="BI225" i="2"/>
  <c r="BM226" i="2"/>
  <c r="BY229" i="2"/>
  <c r="CC230" i="2"/>
  <c r="CS226" i="2"/>
  <c r="CW227" i="2"/>
  <c r="BY245" i="2"/>
  <c r="O245" i="2"/>
  <c r="DV283" i="2"/>
  <c r="DV284" i="2"/>
  <c r="DB310" i="2"/>
  <c r="DP310" i="2"/>
  <c r="DT310" i="2"/>
  <c r="CJ310" i="2"/>
  <c r="CM310" i="2"/>
  <c r="DL310" i="2"/>
  <c r="DW310" i="2"/>
  <c r="EA310" i="2"/>
  <c r="BQ245" i="2"/>
  <c r="EF236" i="2"/>
  <c r="EG259" i="2"/>
  <c r="CY262" i="2"/>
  <c r="DJ348" i="2"/>
  <c r="DJ359" i="2" s="1"/>
  <c r="DJ300" i="2"/>
  <c r="DJ258" i="2"/>
  <c r="DE301" i="2"/>
  <c r="DE299" i="2"/>
  <c r="DE262" i="2"/>
  <c r="EH273" i="2"/>
  <c r="CW225" i="2"/>
  <c r="U225" i="2" s="1"/>
  <c r="CW229" i="2"/>
  <c r="U229" i="2" s="1"/>
  <c r="DA226" i="2"/>
  <c r="V226" i="2" s="1"/>
  <c r="DA230" i="2"/>
  <c r="V230" i="2" s="1"/>
  <c r="DE227" i="2"/>
  <c r="W227" i="2" s="1"/>
  <c r="DM227" i="2"/>
  <c r="Y227" i="2" s="1"/>
  <c r="AK232" i="2"/>
  <c r="AQ317" i="2"/>
  <c r="AQ296" i="2" s="1"/>
  <c r="AQ318" i="2"/>
  <c r="AV318" i="2"/>
  <c r="AV317" i="2"/>
  <c r="AV296" i="2" s="1"/>
  <c r="BG317" i="2"/>
  <c r="BG296" i="2" s="1"/>
  <c r="BG318" i="2"/>
  <c r="BL318" i="2"/>
  <c r="BL317" i="2"/>
  <c r="BL296" i="2" s="1"/>
  <c r="BQ232" i="2"/>
  <c r="BW317" i="2"/>
  <c r="BW296" i="2" s="1"/>
  <c r="BW318" i="2"/>
  <c r="CB318" i="2"/>
  <c r="CB317" i="2"/>
  <c r="CB296" i="2" s="1"/>
  <c r="CG232" i="2"/>
  <c r="CM317" i="2"/>
  <c r="CM296" i="2" s="1"/>
  <c r="CM318" i="2"/>
  <c r="CR318" i="2"/>
  <c r="CR317" i="2"/>
  <c r="CR296" i="2" s="1"/>
  <c r="CW232" i="2"/>
  <c r="DB318" i="2"/>
  <c r="DB317" i="2"/>
  <c r="DB296" i="2" s="1"/>
  <c r="DG317" i="2"/>
  <c r="DG296" i="2" s="1"/>
  <c r="DG318" i="2"/>
  <c r="DL318" i="2"/>
  <c r="DL317" i="2"/>
  <c r="DL296" i="2" s="1"/>
  <c r="DW317" i="2"/>
  <c r="DW296" i="2" s="1"/>
  <c r="DW318" i="2"/>
  <c r="AI233" i="2"/>
  <c r="AI244" i="2" s="1"/>
  <c r="AI246" i="2" s="1"/>
  <c r="AQ233" i="2"/>
  <c r="AQ244" i="2" s="1"/>
  <c r="AQ246" i="2" s="1"/>
  <c r="AQ247" i="2" s="1"/>
  <c r="AY233" i="2"/>
  <c r="AY244" i="2" s="1"/>
  <c r="AY246" i="2" s="1"/>
  <c r="AY247" i="2" s="1"/>
  <c r="BG233" i="2"/>
  <c r="BG244" i="2" s="1"/>
  <c r="BG246" i="2" s="1"/>
  <c r="BG247" i="2" s="1"/>
  <c r="BO233" i="2"/>
  <c r="BO244" i="2" s="1"/>
  <c r="BO246" i="2" s="1"/>
  <c r="BO247" i="2" s="1"/>
  <c r="BW233" i="2"/>
  <c r="BW244" i="2" s="1"/>
  <c r="BW246" i="2" s="1"/>
  <c r="BW247" i="2" s="1"/>
  <c r="CE233" i="2"/>
  <c r="CE244" i="2" s="1"/>
  <c r="CE246" i="2" s="1"/>
  <c r="CE247" i="2" s="1"/>
  <c r="CM233" i="2"/>
  <c r="CM244" i="2" s="1"/>
  <c r="CM246" i="2" s="1"/>
  <c r="CM247" i="2" s="1"/>
  <c r="CU233" i="2"/>
  <c r="CU244" i="2" s="1"/>
  <c r="CU246" i="2" s="1"/>
  <c r="CU247" i="2" s="1"/>
  <c r="DG233" i="2"/>
  <c r="DG244" i="2" s="1"/>
  <c r="DG246" i="2" s="1"/>
  <c r="DG247" i="2" s="1"/>
  <c r="DO233" i="2"/>
  <c r="DO244" i="2" s="1"/>
  <c r="DO246" i="2" s="1"/>
  <c r="DO247" i="2" s="1"/>
  <c r="DW233" i="2"/>
  <c r="DW244" i="2" s="1"/>
  <c r="DW246" i="2" s="1"/>
  <c r="DW247" i="2" s="1"/>
  <c r="EB233" i="2"/>
  <c r="AV245" i="2"/>
  <c r="H245" i="2" s="1"/>
  <c r="BA245" i="2"/>
  <c r="I245" i="2" s="1"/>
  <c r="CG245" i="2"/>
  <c r="Q245" i="2" s="1"/>
  <c r="DI252" i="2"/>
  <c r="DI258" i="2" s="1"/>
  <c r="DA348" i="2"/>
  <c r="DB354" i="2" s="1"/>
  <c r="DA303" i="2"/>
  <c r="AL348" i="2"/>
  <c r="AL308" i="2"/>
  <c r="AL300" i="2"/>
  <c r="AP348" i="2"/>
  <c r="AP308" i="2"/>
  <c r="AP300" i="2"/>
  <c r="AT348" i="2"/>
  <c r="AT308" i="2"/>
  <c r="AT300" i="2"/>
  <c r="AX348" i="2"/>
  <c r="AX308" i="2"/>
  <c r="AX300" i="2"/>
  <c r="BB348" i="2"/>
  <c r="BB308" i="2"/>
  <c r="BB300" i="2"/>
  <c r="BG348" i="2"/>
  <c r="BG308" i="2"/>
  <c r="BG300" i="2"/>
  <c r="CG348" i="2"/>
  <c r="CG359" i="2" s="1"/>
  <c r="CG308" i="2"/>
  <c r="CG300" i="2"/>
  <c r="CL348" i="2"/>
  <c r="CM354" i="2" s="1"/>
  <c r="CL308" i="2"/>
  <c r="CL300" i="2"/>
  <c r="CY308" i="2"/>
  <c r="DC348" i="2"/>
  <c r="DC359" i="2" s="1"/>
  <c r="DC300" i="2"/>
  <c r="DC308" i="2"/>
  <c r="DG348" i="2"/>
  <c r="DG308" i="2"/>
  <c r="DK348" i="2"/>
  <c r="DK359" i="2" s="1"/>
  <c r="DK300" i="2"/>
  <c r="DK308" i="2"/>
  <c r="EA348" i="2"/>
  <c r="EA308" i="2"/>
  <c r="BE301" i="2"/>
  <c r="BE299" i="2"/>
  <c r="BI301" i="2"/>
  <c r="BI299" i="2"/>
  <c r="BM301" i="2"/>
  <c r="BM299" i="2"/>
  <c r="BQ301" i="2"/>
  <c r="BQ299" i="2"/>
  <c r="BU301" i="2"/>
  <c r="BU299" i="2"/>
  <c r="BY301" i="2"/>
  <c r="BY299" i="2"/>
  <c r="CC301" i="2"/>
  <c r="CC299" i="2"/>
  <c r="CG258" i="2"/>
  <c r="CO301" i="2"/>
  <c r="CO299" i="2"/>
  <c r="CS301" i="2"/>
  <c r="CS299" i="2"/>
  <c r="DA258" i="2"/>
  <c r="DM301" i="2"/>
  <c r="DM299" i="2"/>
  <c r="DQ301" i="2"/>
  <c r="DQ299" i="2"/>
  <c r="BE262" i="2"/>
  <c r="BI262" i="2"/>
  <c r="BM262" i="2"/>
  <c r="BQ262" i="2"/>
  <c r="BU262" i="2"/>
  <c r="BY262" i="2"/>
  <c r="CC262" i="2"/>
  <c r="CO262" i="2"/>
  <c r="CS262" i="2"/>
  <c r="DM262" i="2"/>
  <c r="DM280" i="2" s="1"/>
  <c r="DQ262" i="2"/>
  <c r="DU262" i="2"/>
  <c r="E309" i="2"/>
  <c r="CY307" i="2"/>
  <c r="CZ306" i="2"/>
  <c r="DV265" i="2"/>
  <c r="DV306" i="2" s="1"/>
  <c r="DG267" i="2"/>
  <c r="DH267" i="2" s="1"/>
  <c r="DH269" i="2" s="1"/>
  <c r="DH279" i="2" s="1"/>
  <c r="CV284" i="2"/>
  <c r="CV283" i="2"/>
  <c r="DH284" i="2"/>
  <c r="DH283" i="2"/>
  <c r="DL269" i="2"/>
  <c r="DL279" i="2" s="1"/>
  <c r="DL284" i="2"/>
  <c r="DL283" i="2"/>
  <c r="DP269" i="2"/>
  <c r="DP279" i="2" s="1"/>
  <c r="DP280" i="2" s="1"/>
  <c r="DP284" i="2"/>
  <c r="DP283" i="2"/>
  <c r="DT269" i="2"/>
  <c r="DT279" i="2" s="1"/>
  <c r="DT284" i="2"/>
  <c r="DT283" i="2"/>
  <c r="DX284" i="2"/>
  <c r="DX283" i="2"/>
  <c r="BC344" i="2"/>
  <c r="BC349" i="2"/>
  <c r="BC343" i="2"/>
  <c r="BC342" i="2"/>
  <c r="BC283" i="2"/>
  <c r="BH349" i="2"/>
  <c r="BH343" i="2"/>
  <c r="BH342" i="2"/>
  <c r="BH283" i="2"/>
  <c r="BM278" i="2"/>
  <c r="BM288" i="2" s="1"/>
  <c r="BS349" i="2"/>
  <c r="BS343" i="2"/>
  <c r="BS342" i="2"/>
  <c r="BS283" i="2"/>
  <c r="BX349" i="2"/>
  <c r="BX343" i="2"/>
  <c r="BX342" i="2"/>
  <c r="BX344" i="2"/>
  <c r="BX283" i="2"/>
  <c r="BX286" i="2" s="1"/>
  <c r="CB349" i="2"/>
  <c r="CB343" i="2"/>
  <c r="CB342" i="2"/>
  <c r="CB283" i="2"/>
  <c r="CK349" i="2"/>
  <c r="CK342" i="2"/>
  <c r="CK343" i="2"/>
  <c r="CK344" i="2"/>
  <c r="CK283" i="2"/>
  <c r="DM342" i="2"/>
  <c r="DM349" i="2"/>
  <c r="DM343" i="2"/>
  <c r="DM344" i="2"/>
  <c r="DQ342" i="2"/>
  <c r="DQ343" i="2"/>
  <c r="DQ349" i="2"/>
  <c r="DQ344" i="2"/>
  <c r="DU349" i="2"/>
  <c r="DU342" i="2"/>
  <c r="DU343" i="2"/>
  <c r="DU344" i="2"/>
  <c r="DY342" i="2"/>
  <c r="DY343" i="2"/>
  <c r="EC342" i="2"/>
  <c r="EC343" i="2"/>
  <c r="EC344" i="2"/>
  <c r="EC283" i="2"/>
  <c r="EC286" i="2" s="1"/>
  <c r="AK286" i="2"/>
  <c r="AX287" i="2"/>
  <c r="AX288" i="2"/>
  <c r="BN290" i="2"/>
  <c r="BV290" i="2"/>
  <c r="BZ287" i="2"/>
  <c r="BZ288" i="2"/>
  <c r="CH287" i="2"/>
  <c r="CH288" i="2"/>
  <c r="CL287" i="2"/>
  <c r="CL288" i="2"/>
  <c r="CP287" i="2"/>
  <c r="CP288" i="2"/>
  <c r="CT287" i="2"/>
  <c r="CT288" i="2"/>
  <c r="DD286" i="2"/>
  <c r="AJ227" i="2"/>
  <c r="AN224" i="2"/>
  <c r="AN228" i="2"/>
  <c r="AR225" i="2"/>
  <c r="AR229" i="2"/>
  <c r="AV226" i="2"/>
  <c r="AW226" i="2" s="1"/>
  <c r="AV230" i="2"/>
  <c r="AZ227" i="2"/>
  <c r="BD224" i="2"/>
  <c r="BD228" i="2"/>
  <c r="BH225" i="2"/>
  <c r="BH229" i="2"/>
  <c r="BL226" i="2"/>
  <c r="BL230" i="2"/>
  <c r="BP227" i="2"/>
  <c r="BT224" i="2"/>
  <c r="BT228" i="2"/>
  <c r="BX225" i="2"/>
  <c r="BX229" i="2"/>
  <c r="CB226" i="2"/>
  <c r="CB230" i="2"/>
  <c r="CF227" i="2"/>
  <c r="CG227" i="2" s="1"/>
  <c r="CJ224" i="2"/>
  <c r="CJ228" i="2"/>
  <c r="CN225" i="2"/>
  <c r="CN229" i="2"/>
  <c r="CO229" i="2" s="1"/>
  <c r="CR226" i="2"/>
  <c r="CR230" i="2"/>
  <c r="CV227" i="2"/>
  <c r="CZ228" i="2"/>
  <c r="DA228" i="2" s="1"/>
  <c r="AM317" i="2"/>
  <c r="AM296" i="2" s="1"/>
  <c r="AM318" i="2"/>
  <c r="AR232" i="2"/>
  <c r="AW232" i="2"/>
  <c r="BC317" i="2"/>
  <c r="BC296" i="2" s="1"/>
  <c r="BC318" i="2"/>
  <c r="BH232" i="2"/>
  <c r="BM232" i="2"/>
  <c r="BS317" i="2"/>
  <c r="BS296" i="2" s="1"/>
  <c r="BS318" i="2"/>
  <c r="BX232" i="2"/>
  <c r="CC232" i="2"/>
  <c r="CI317" i="2"/>
  <c r="CI296" i="2" s="1"/>
  <c r="CI318" i="2"/>
  <c r="CN232" i="2"/>
  <c r="CS232" i="2"/>
  <c r="CY317" i="2"/>
  <c r="CY296" i="2" s="1"/>
  <c r="CY318" i="2"/>
  <c r="DC232" i="2"/>
  <c r="DH232" i="2"/>
  <c r="DM232" i="2"/>
  <c r="DS318" i="2"/>
  <c r="DX232" i="2"/>
  <c r="AN233" i="2"/>
  <c r="AN244" i="2" s="1"/>
  <c r="AN246" i="2" s="1"/>
  <c r="AN247" i="2" s="1"/>
  <c r="AV233" i="2"/>
  <c r="AV244" i="2" s="1"/>
  <c r="AV246" i="2" s="1"/>
  <c r="AV247" i="2" s="1"/>
  <c r="BD233" i="2"/>
  <c r="BD244" i="2" s="1"/>
  <c r="BD246" i="2" s="1"/>
  <c r="BD247" i="2" s="1"/>
  <c r="BL233" i="2"/>
  <c r="BL244" i="2" s="1"/>
  <c r="BL246" i="2" s="1"/>
  <c r="BL247" i="2" s="1"/>
  <c r="BT233" i="2"/>
  <c r="BT244" i="2" s="1"/>
  <c r="BT246" i="2" s="1"/>
  <c r="BT247" i="2" s="1"/>
  <c r="CB233" i="2"/>
  <c r="CB244" i="2" s="1"/>
  <c r="CB246" i="2" s="1"/>
  <c r="CB247" i="2" s="1"/>
  <c r="CJ233" i="2"/>
  <c r="CJ244" i="2" s="1"/>
  <c r="CJ246" i="2" s="1"/>
  <c r="CJ247" i="2" s="1"/>
  <c r="CR233" i="2"/>
  <c r="CR244" i="2" s="1"/>
  <c r="CR246" i="2" s="1"/>
  <c r="CR247" i="2" s="1"/>
  <c r="CZ233" i="2"/>
  <c r="CZ244" i="2" s="1"/>
  <c r="CZ246" i="2" s="1"/>
  <c r="CZ247" i="2" s="1"/>
  <c r="DL233" i="2"/>
  <c r="DL244" i="2" s="1"/>
  <c r="DL246" i="2" s="1"/>
  <c r="DL247" i="2" s="1"/>
  <c r="DT233" i="2"/>
  <c r="DT244" i="2" s="1"/>
  <c r="DT246" i="2" s="1"/>
  <c r="DT247" i="2" s="1"/>
  <c r="AW245" i="2"/>
  <c r="EB255" i="2"/>
  <c r="AM348" i="2"/>
  <c r="AM308" i="2"/>
  <c r="AM300" i="2"/>
  <c r="AQ348" i="2"/>
  <c r="AQ308" i="2"/>
  <c r="AQ300" i="2"/>
  <c r="AU348" i="2"/>
  <c r="AU308" i="2"/>
  <c r="AU300" i="2"/>
  <c r="AY348" i="2"/>
  <c r="AY308" i="2"/>
  <c r="AY300" i="2"/>
  <c r="BC348" i="2"/>
  <c r="BC308" i="2"/>
  <c r="BC300" i="2"/>
  <c r="BH348" i="2"/>
  <c r="BH308" i="2"/>
  <c r="BH300" i="2"/>
  <c r="CI348" i="2"/>
  <c r="CI359" i="2" s="1"/>
  <c r="CI300" i="2"/>
  <c r="CI308" i="2"/>
  <c r="CM348" i="2"/>
  <c r="CM359" i="2" s="1"/>
  <c r="CM300" i="2"/>
  <c r="CM308" i="2"/>
  <c r="CZ348" i="2"/>
  <c r="DA354" i="2" s="1"/>
  <c r="CZ308" i="2"/>
  <c r="DD348" i="2"/>
  <c r="DD308" i="2"/>
  <c r="DD300" i="2"/>
  <c r="DH348" i="2"/>
  <c r="DH359" i="2" s="1"/>
  <c r="DH308" i="2"/>
  <c r="DX308" i="2"/>
  <c r="EB308" i="2"/>
  <c r="AL258" i="2"/>
  <c r="AP258" i="2"/>
  <c r="AT258" i="2"/>
  <c r="AX258" i="2"/>
  <c r="BB258" i="2"/>
  <c r="BJ301" i="2"/>
  <c r="BJ299" i="2"/>
  <c r="BN301" i="2"/>
  <c r="BN299" i="2"/>
  <c r="BR301" i="2"/>
  <c r="BR299" i="2"/>
  <c r="BV301" i="2"/>
  <c r="BV299" i="2"/>
  <c r="BZ301" i="2"/>
  <c r="BZ299" i="2"/>
  <c r="CD301" i="2"/>
  <c r="CD299" i="2"/>
  <c r="CH301" i="2"/>
  <c r="CH299" i="2"/>
  <c r="CL258" i="2"/>
  <c r="CP301" i="2"/>
  <c r="CP299" i="2"/>
  <c r="CT301" i="2"/>
  <c r="CT299" i="2"/>
  <c r="BJ262" i="2"/>
  <c r="BN262" i="2"/>
  <c r="BR262" i="2"/>
  <c r="BV262" i="2"/>
  <c r="BZ262" i="2"/>
  <c r="CD262" i="2"/>
  <c r="CH262" i="2"/>
  <c r="CP262" i="2"/>
  <c r="CT262" i="2"/>
  <c r="CX262" i="2"/>
  <c r="DN262" i="2"/>
  <c r="DR262" i="2"/>
  <c r="DV262" i="2"/>
  <c r="DG307" i="2"/>
  <c r="DH306" i="2"/>
  <c r="DG306" i="2"/>
  <c r="EG276" i="2"/>
  <c r="DV266" i="2"/>
  <c r="DV309" i="2" s="1"/>
  <c r="DE286" i="2"/>
  <c r="DE285" i="2"/>
  <c r="DI285" i="2"/>
  <c r="DM285" i="2"/>
  <c r="DQ285" i="2"/>
  <c r="DU286" i="2"/>
  <c r="DU285" i="2"/>
  <c r="DY285" i="2"/>
  <c r="DR269" i="2"/>
  <c r="DR279" i="2" s="1"/>
  <c r="DR280" i="2" s="1"/>
  <c r="DU348" i="2"/>
  <c r="DU359" i="2" s="1"/>
  <c r="DU311" i="2"/>
  <c r="DO361" i="2"/>
  <c r="DT361" i="2"/>
  <c r="AM344" i="2"/>
  <c r="AM349" i="2"/>
  <c r="AM283" i="2"/>
  <c r="AQ344" i="2"/>
  <c r="AQ349" i="2"/>
  <c r="AQ343" i="2"/>
  <c r="AQ342" i="2"/>
  <c r="AQ283" i="2"/>
  <c r="AQ286" i="2" s="1"/>
  <c r="AU344" i="2"/>
  <c r="AU349" i="2"/>
  <c r="AU343" i="2"/>
  <c r="AU342" i="2"/>
  <c r="AU283" i="2"/>
  <c r="AY344" i="2"/>
  <c r="AY349" i="2"/>
  <c r="AY343" i="2"/>
  <c r="AY342" i="2"/>
  <c r="AY283" i="2"/>
  <c r="BD278" i="2"/>
  <c r="BI278" i="2"/>
  <c r="BO344" i="2"/>
  <c r="BO349" i="2"/>
  <c r="BO343" i="2"/>
  <c r="BO342" i="2"/>
  <c r="BO283" i="2"/>
  <c r="BT278" i="2"/>
  <c r="CC349" i="2"/>
  <c r="CC342" i="2"/>
  <c r="CC343" i="2"/>
  <c r="CC344" i="2"/>
  <c r="CC283" i="2"/>
  <c r="CC287" i="2" s="1"/>
  <c r="DN349" i="2"/>
  <c r="DN344" i="2"/>
  <c r="DN342" i="2"/>
  <c r="DN343" i="2"/>
  <c r="DR349" i="2"/>
  <c r="DR344" i="2"/>
  <c r="DR342" i="2"/>
  <c r="DR343" i="2"/>
  <c r="DV344" i="2"/>
  <c r="DV342" i="2"/>
  <c r="DV343" i="2"/>
  <c r="DZ342" i="2"/>
  <c r="DZ343" i="2"/>
  <c r="DZ283" i="2"/>
  <c r="DZ287" i="2" s="1"/>
  <c r="ED344" i="2"/>
  <c r="ED342" i="2"/>
  <c r="ED343" i="2"/>
  <c r="ED283" i="2"/>
  <c r="E284" i="2"/>
  <c r="E97" i="2" s="1"/>
  <c r="AL290" i="2"/>
  <c r="AL287" i="2"/>
  <c r="AL288" i="2"/>
  <c r="AP287" i="2"/>
  <c r="AP288" i="2"/>
  <c r="AT287" i="2"/>
  <c r="AT288" i="2"/>
  <c r="AY287" i="2"/>
  <c r="AY288" i="2"/>
  <c r="BC287" i="2"/>
  <c r="BC288" i="2"/>
  <c r="BG287" i="2"/>
  <c r="BG288" i="2"/>
  <c r="BK287" i="2"/>
  <c r="BK288" i="2"/>
  <c r="BO287" i="2"/>
  <c r="BO288" i="2"/>
  <c r="BS290" i="2"/>
  <c r="BS287" i="2"/>
  <c r="BS288" i="2"/>
  <c r="BW290" i="2"/>
  <c r="BW287" i="2"/>
  <c r="BW288" i="2"/>
  <c r="CA287" i="2"/>
  <c r="CA288" i="2"/>
  <c r="CE288" i="2"/>
  <c r="CI287" i="2"/>
  <c r="CI288" i="2"/>
  <c r="CM287" i="2"/>
  <c r="CM288" i="2"/>
  <c r="CQ287" i="2"/>
  <c r="CQ288" i="2"/>
  <c r="CW286" i="2"/>
  <c r="DA286" i="2"/>
  <c r="DZ288" i="2"/>
  <c r="ED287" i="2"/>
  <c r="ED288" i="2"/>
  <c r="EB318" i="2"/>
  <c r="EB317" i="2"/>
  <c r="EB296" i="2" s="1"/>
  <c r="AI317" i="2"/>
  <c r="AI296" i="2" s="1"/>
  <c r="AI318" i="2"/>
  <c r="AN318" i="2"/>
  <c r="AN317" i="2"/>
  <c r="AN296" i="2" s="1"/>
  <c r="AY317" i="2"/>
  <c r="AY296" i="2" s="1"/>
  <c r="AY318" i="2"/>
  <c r="BD318" i="2"/>
  <c r="BD317" i="2"/>
  <c r="BD296" i="2" s="1"/>
  <c r="BO317" i="2"/>
  <c r="BO296" i="2" s="1"/>
  <c r="BO318" i="2"/>
  <c r="BT318" i="2"/>
  <c r="BT317" i="2"/>
  <c r="BT296" i="2" s="1"/>
  <c r="CE317" i="2"/>
  <c r="CE296" i="2" s="1"/>
  <c r="CE318" i="2"/>
  <c r="CJ318" i="2"/>
  <c r="CJ317" i="2"/>
  <c r="CJ296" i="2" s="1"/>
  <c r="CU317" i="2"/>
  <c r="CU296" i="2" s="1"/>
  <c r="CU318" i="2"/>
  <c r="CZ318" i="2"/>
  <c r="CZ317" i="2"/>
  <c r="CZ296" i="2" s="1"/>
  <c r="DO317" i="2"/>
  <c r="DO296" i="2" s="1"/>
  <c r="DO318" i="2"/>
  <c r="DT318" i="2"/>
  <c r="DT317" i="2"/>
  <c r="DT296" i="2" s="1"/>
  <c r="AZ348" i="2"/>
  <c r="AZ359" i="2" s="1"/>
  <c r="AZ303" i="2"/>
  <c r="BD302" i="2"/>
  <c r="AZ302" i="2"/>
  <c r="BC302" i="2"/>
  <c r="AZ300" i="2"/>
  <c r="BB302" i="2"/>
  <c r="DW348" i="2"/>
  <c r="AN348" i="2"/>
  <c r="AN308" i="2"/>
  <c r="AN300" i="2"/>
  <c r="AR348" i="2"/>
  <c r="AR359" i="2" s="1"/>
  <c r="AR300" i="2"/>
  <c r="AR308" i="2"/>
  <c r="AV348" i="2"/>
  <c r="AW354" i="2" s="1"/>
  <c r="AV308" i="2"/>
  <c r="AV300" i="2"/>
  <c r="BD348" i="2"/>
  <c r="BD359" i="2" s="1"/>
  <c r="BD308" i="2"/>
  <c r="BD300" i="2"/>
  <c r="CA348" i="2"/>
  <c r="CA359" i="2" s="1"/>
  <c r="CA308" i="2"/>
  <c r="CA300" i="2"/>
  <c r="CJ348" i="2"/>
  <c r="CJ359" i="2" s="1"/>
  <c r="CJ308" i="2"/>
  <c r="CJ300" i="2"/>
  <c r="CN348" i="2"/>
  <c r="CN359" i="2" s="1"/>
  <c r="CN308" i="2"/>
  <c r="CN300" i="2"/>
  <c r="DA308" i="2"/>
  <c r="DE348" i="2"/>
  <c r="DE359" i="2" s="1"/>
  <c r="DE308" i="2"/>
  <c r="DE300" i="2"/>
  <c r="DI308" i="2"/>
  <c r="DY308" i="2"/>
  <c r="EC308" i="2"/>
  <c r="AM299" i="2"/>
  <c r="AM301" i="2"/>
  <c r="AQ299" i="2"/>
  <c r="AQ301" i="2"/>
  <c r="AU299" i="2"/>
  <c r="AU301" i="2"/>
  <c r="AY299" i="2"/>
  <c r="AY301" i="2"/>
  <c r="BC299" i="2"/>
  <c r="BC301" i="2"/>
  <c r="BG299" i="2"/>
  <c r="BG301" i="2"/>
  <c r="BK299" i="2"/>
  <c r="BK301" i="2"/>
  <c r="BO299" i="2"/>
  <c r="BO301" i="2"/>
  <c r="BS299" i="2"/>
  <c r="BS301" i="2"/>
  <c r="BW299" i="2"/>
  <c r="BW301" i="2"/>
  <c r="CA258" i="2"/>
  <c r="CE299" i="2"/>
  <c r="CE301" i="2"/>
  <c r="CI299" i="2"/>
  <c r="CI301" i="2"/>
  <c r="CM299" i="2"/>
  <c r="CM301" i="2"/>
  <c r="CQ299" i="2"/>
  <c r="CQ301" i="2"/>
  <c r="CU299" i="2"/>
  <c r="CU301" i="2"/>
  <c r="DC299" i="2"/>
  <c r="DC301" i="2"/>
  <c r="DK299" i="2"/>
  <c r="DK301" i="2"/>
  <c r="DS299" i="2"/>
  <c r="DW258" i="2"/>
  <c r="BQ359" i="2"/>
  <c r="BR354" i="2"/>
  <c r="BR359" i="2"/>
  <c r="AM262" i="2"/>
  <c r="AQ262" i="2"/>
  <c r="AU262" i="2"/>
  <c r="AY262" i="2"/>
  <c r="BC262" i="2"/>
  <c r="BG262" i="2"/>
  <c r="BK262" i="2"/>
  <c r="BO262" i="2"/>
  <c r="BS262" i="2"/>
  <c r="BW262" i="2"/>
  <c r="CE262" i="2"/>
  <c r="CI262" i="2"/>
  <c r="CM262" i="2"/>
  <c r="CQ262" i="2"/>
  <c r="CU262" i="2"/>
  <c r="DC262" i="2"/>
  <c r="DG262" i="2"/>
  <c r="DK262" i="2"/>
  <c r="DO262" i="2"/>
  <c r="DS262" i="2"/>
  <c r="EA262" i="2"/>
  <c r="E311" i="2"/>
  <c r="EE284" i="2"/>
  <c r="EE371" i="2"/>
  <c r="CV300" i="2"/>
  <c r="CV269" i="2"/>
  <c r="CV279" i="2" s="1"/>
  <c r="CW267" i="2"/>
  <c r="AV269" i="2"/>
  <c r="AV279" i="2" s="1"/>
  <c r="AV284" i="2"/>
  <c r="AW97" i="2" s="1"/>
  <c r="AV283" i="2"/>
  <c r="DF283" i="2"/>
  <c r="DF284" i="2"/>
  <c r="DJ283" i="2"/>
  <c r="DJ284" i="2"/>
  <c r="DN283" i="2"/>
  <c r="DN284" i="2"/>
  <c r="DR283" i="2"/>
  <c r="DR284" i="2"/>
  <c r="DN269" i="2"/>
  <c r="DN279" i="2" s="1"/>
  <c r="DN280" i="2" s="1"/>
  <c r="DS269" i="2"/>
  <c r="DS279" i="2" s="1"/>
  <c r="DQ361" i="2"/>
  <c r="BZ373" i="2"/>
  <c r="BY373" i="2"/>
  <c r="CH373" i="2"/>
  <c r="CG373" i="2"/>
  <c r="AN349" i="2"/>
  <c r="AN343" i="2"/>
  <c r="AN342" i="2"/>
  <c r="AN344" i="2"/>
  <c r="AN283" i="2"/>
  <c r="AR349" i="2"/>
  <c r="AR343" i="2"/>
  <c r="AR342" i="2"/>
  <c r="AR344" i="2"/>
  <c r="AR283" i="2"/>
  <c r="AR287" i="2" s="1"/>
  <c r="AV349" i="2"/>
  <c r="AV343" i="2"/>
  <c r="AV342" i="2"/>
  <c r="AV344" i="2"/>
  <c r="AZ349" i="2"/>
  <c r="AZ343" i="2"/>
  <c r="AZ342" i="2"/>
  <c r="AZ283" i="2"/>
  <c r="AZ287" i="2" s="1"/>
  <c r="BE278" i="2"/>
  <c r="BE288" i="2" s="1"/>
  <c r="BK349" i="2"/>
  <c r="BK343" i="2"/>
  <c r="BK342" i="2"/>
  <c r="BK283" i="2"/>
  <c r="BP349" i="2"/>
  <c r="BP343" i="2"/>
  <c r="BP342" i="2"/>
  <c r="BP283" i="2"/>
  <c r="BU278" i="2"/>
  <c r="CE349" i="2"/>
  <c r="CE343" i="2"/>
  <c r="CE342" i="2"/>
  <c r="CE283" i="2"/>
  <c r="CE287" i="2" s="1"/>
  <c r="CI349" i="2"/>
  <c r="CI343" i="2"/>
  <c r="CI342" i="2"/>
  <c r="CI283" i="2"/>
  <c r="CM349" i="2"/>
  <c r="CM343" i="2"/>
  <c r="CM342" i="2"/>
  <c r="CM283" i="2"/>
  <c r="CM286" i="2" s="1"/>
  <c r="CQ343" i="2"/>
  <c r="CQ349" i="2"/>
  <c r="CQ342" i="2"/>
  <c r="CQ283" i="2"/>
  <c r="CQ286" i="2" s="1"/>
  <c r="CU349" i="2"/>
  <c r="CU344" i="2"/>
  <c r="CU343" i="2"/>
  <c r="CU342" i="2"/>
  <c r="CY344" i="2"/>
  <c r="CY343" i="2"/>
  <c r="CY342" i="2"/>
  <c r="CY283" i="2"/>
  <c r="CY286" i="2" s="1"/>
  <c r="DC344" i="2"/>
  <c r="DC349" i="2"/>
  <c r="DC343" i="2"/>
  <c r="DC342" i="2"/>
  <c r="DC283" i="2"/>
  <c r="DG344" i="2"/>
  <c r="DG343" i="2"/>
  <c r="DG349" i="2"/>
  <c r="DG342" i="2"/>
  <c r="BI279" i="2"/>
  <c r="BQ279" i="2"/>
  <c r="BY279" i="2"/>
  <c r="CG279" i="2"/>
  <c r="DQ279" i="2"/>
  <c r="DQ280" i="2" s="1"/>
  <c r="AM290" i="2"/>
  <c r="AM287" i="2"/>
  <c r="AM288" i="2"/>
  <c r="AQ287" i="2"/>
  <c r="AQ288" i="2"/>
  <c r="AU287" i="2"/>
  <c r="AU288" i="2"/>
  <c r="AZ286" i="2"/>
  <c r="BH286" i="2"/>
  <c r="BP286" i="2"/>
  <c r="CB286" i="2"/>
  <c r="CJ286" i="2"/>
  <c r="CX287" i="2"/>
  <c r="CX288" i="2"/>
  <c r="DB287" i="2"/>
  <c r="DB288" i="2"/>
  <c r="EA287" i="2"/>
  <c r="EA288" i="2"/>
  <c r="EC232" i="2"/>
  <c r="EC316" i="2" s="1"/>
  <c r="AJ232" i="2"/>
  <c r="AO232" i="2"/>
  <c r="AU317" i="2"/>
  <c r="AU296" i="2" s="1"/>
  <c r="AU318" i="2"/>
  <c r="AZ232" i="2"/>
  <c r="BE232" i="2"/>
  <c r="BK317" i="2"/>
  <c r="BK296" i="2" s="1"/>
  <c r="BK318" i="2"/>
  <c r="BP232" i="2"/>
  <c r="BU232" i="2"/>
  <c r="CA317" i="2"/>
  <c r="CA296" i="2" s="1"/>
  <c r="CA318" i="2"/>
  <c r="CF232" i="2"/>
  <c r="CK232" i="2"/>
  <c r="CQ317" i="2"/>
  <c r="CQ296" i="2" s="1"/>
  <c r="CQ318" i="2"/>
  <c r="CV232" i="2"/>
  <c r="DA232" i="2"/>
  <c r="DK317" i="2"/>
  <c r="DK296" i="2" s="1"/>
  <c r="DK318" i="2"/>
  <c r="DP232" i="2"/>
  <c r="DU232" i="2"/>
  <c r="DB233" i="2"/>
  <c r="DB244" i="2" s="1"/>
  <c r="DB246" i="2" s="1"/>
  <c r="DB247" i="2" s="1"/>
  <c r="EA317" i="2"/>
  <c r="EA296" i="2" s="1"/>
  <c r="EA318" i="2"/>
  <c r="EB238" i="2"/>
  <c r="E348" i="2"/>
  <c r="E354" i="2" s="1"/>
  <c r="E303" i="2"/>
  <c r="E300" i="2"/>
  <c r="E305" i="2"/>
  <c r="E308" i="2"/>
  <c r="E345" i="2"/>
  <c r="E322" i="2"/>
  <c r="CY348" i="2"/>
  <c r="CY359" i="2" s="1"/>
  <c r="CY303" i="2"/>
  <c r="DX255" i="2"/>
  <c r="DI348" i="2"/>
  <c r="DJ354" i="2" s="1"/>
  <c r="DI300" i="2"/>
  <c r="AO348" i="2"/>
  <c r="AO308" i="2"/>
  <c r="AO300" i="2"/>
  <c r="AS348" i="2"/>
  <c r="AS308" i="2"/>
  <c r="AS300" i="2"/>
  <c r="AW348" i="2"/>
  <c r="AW308" i="2"/>
  <c r="AW300" i="2"/>
  <c r="BA348" i="2"/>
  <c r="BA308" i="2"/>
  <c r="BA300" i="2"/>
  <c r="BF348" i="2"/>
  <c r="BF308" i="2"/>
  <c r="BF300" i="2"/>
  <c r="CB348" i="2"/>
  <c r="CB359" i="2" s="1"/>
  <c r="CB308" i="2"/>
  <c r="CB300" i="2"/>
  <c r="CK348" i="2"/>
  <c r="CL354" i="2" s="1"/>
  <c r="CK308" i="2"/>
  <c r="CK300" i="2"/>
  <c r="CW348" i="2"/>
  <c r="CW359" i="2" s="1"/>
  <c r="CW308" i="2"/>
  <c r="CW300" i="2"/>
  <c r="DB348" i="2"/>
  <c r="DB308" i="2"/>
  <c r="DF348" i="2"/>
  <c r="DF359" i="2" s="1"/>
  <c r="DF308" i="2"/>
  <c r="DF300" i="2"/>
  <c r="DJ308" i="2"/>
  <c r="DZ348" i="2"/>
  <c r="DZ308" i="2"/>
  <c r="AN258" i="2"/>
  <c r="AR258" i="2"/>
  <c r="AV258" i="2"/>
  <c r="AZ258" i="2"/>
  <c r="BD258" i="2"/>
  <c r="BH299" i="2"/>
  <c r="BH301" i="2"/>
  <c r="BL299" i="2"/>
  <c r="BL301" i="2"/>
  <c r="BP299" i="2"/>
  <c r="BP301" i="2"/>
  <c r="BT299" i="2"/>
  <c r="BT301" i="2"/>
  <c r="BX299" i="2"/>
  <c r="BX301" i="2"/>
  <c r="CB258" i="2"/>
  <c r="CF299" i="2"/>
  <c r="CF301" i="2"/>
  <c r="CJ258" i="2"/>
  <c r="CN258" i="2"/>
  <c r="CR299" i="2"/>
  <c r="CR301" i="2"/>
  <c r="CV301" i="2"/>
  <c r="DD299" i="2"/>
  <c r="DD301" i="2"/>
  <c r="DL299" i="2"/>
  <c r="DL301" i="2"/>
  <c r="DT299" i="2"/>
  <c r="BH262" i="2"/>
  <c r="BL262" i="2"/>
  <c r="BP262" i="2"/>
  <c r="BT262" i="2"/>
  <c r="BX262" i="2"/>
  <c r="CF262" i="2"/>
  <c r="CR262" i="2"/>
  <c r="CV262" i="2"/>
  <c r="CZ262" i="2"/>
  <c r="DD262" i="2"/>
  <c r="DL262" i="2"/>
  <c r="DP262" i="2"/>
  <c r="DT262" i="2"/>
  <c r="EF284" i="2"/>
  <c r="DU300" i="2"/>
  <c r="DV267" i="2"/>
  <c r="DW267" i="2" s="1"/>
  <c r="CU283" i="2"/>
  <c r="CU284" i="2"/>
  <c r="DG283" i="2"/>
  <c r="DG284" i="2"/>
  <c r="DK283" i="2"/>
  <c r="DK284" i="2"/>
  <c r="DO283" i="2"/>
  <c r="DO284" i="2"/>
  <c r="DS283" i="2"/>
  <c r="DS284" i="2"/>
  <c r="DW283" i="2"/>
  <c r="DW284" i="2"/>
  <c r="CU269" i="2"/>
  <c r="CU279" i="2" s="1"/>
  <c r="DJ269" i="2"/>
  <c r="DJ279" i="2" s="1"/>
  <c r="DO269" i="2"/>
  <c r="DO279" i="2" s="1"/>
  <c r="DO280" i="2" s="1"/>
  <c r="DU269" i="2"/>
  <c r="DU279" i="2" s="1"/>
  <c r="DU280" i="2" s="1"/>
  <c r="DM361" i="2"/>
  <c r="DR361" i="2"/>
  <c r="BB373" i="2"/>
  <c r="BB278" i="2"/>
  <c r="BF373" i="2"/>
  <c r="BF278" i="2"/>
  <c r="BJ373" i="2"/>
  <c r="BJ278" i="2"/>
  <c r="BN373" i="2"/>
  <c r="BN278" i="2"/>
  <c r="BR373" i="2"/>
  <c r="BR278" i="2"/>
  <c r="BV373" i="2"/>
  <c r="BV278" i="2"/>
  <c r="CD373" i="2"/>
  <c r="CD278" i="2"/>
  <c r="AO349" i="2"/>
  <c r="AO342" i="2"/>
  <c r="AO343" i="2"/>
  <c r="AO344" i="2"/>
  <c r="AO283" i="2"/>
  <c r="AO286" i="2" s="1"/>
  <c r="AS349" i="2"/>
  <c r="AS342" i="2"/>
  <c r="AS343" i="2"/>
  <c r="AS344" i="2"/>
  <c r="AS283" i="2"/>
  <c r="AS286" i="2" s="1"/>
  <c r="AW349" i="2"/>
  <c r="AW342" i="2"/>
  <c r="AW343" i="2"/>
  <c r="AW344" i="2"/>
  <c r="AW283" i="2"/>
  <c r="BA349" i="2"/>
  <c r="BA342" i="2"/>
  <c r="BA343" i="2"/>
  <c r="BA344" i="2"/>
  <c r="BA283" i="2"/>
  <c r="BA286" i="2" s="1"/>
  <c r="BG349" i="2"/>
  <c r="BG343" i="2"/>
  <c r="BG342" i="2"/>
  <c r="BG283" i="2"/>
  <c r="BG286" i="2" s="1"/>
  <c r="BL349" i="2"/>
  <c r="BL343" i="2"/>
  <c r="BL342" i="2"/>
  <c r="BL283" i="2"/>
  <c r="BL286" i="2" s="1"/>
  <c r="BQ278" i="2"/>
  <c r="BW349" i="2"/>
  <c r="BW343" i="2"/>
  <c r="BW342" i="2"/>
  <c r="BW283" i="2"/>
  <c r="BW286" i="2" s="1"/>
  <c r="CA349" i="2"/>
  <c r="CA343" i="2"/>
  <c r="CA342" i="2"/>
  <c r="CA283" i="2"/>
  <c r="CA286" i="2" s="1"/>
  <c r="CF349" i="2"/>
  <c r="CF343" i="2"/>
  <c r="CF342" i="2"/>
  <c r="CF283" i="2"/>
  <c r="CF287" i="2" s="1"/>
  <c r="CJ349" i="2"/>
  <c r="CJ343" i="2"/>
  <c r="CJ342" i="2"/>
  <c r="CJ283" i="2"/>
  <c r="CN349" i="2"/>
  <c r="CN343" i="2"/>
  <c r="CN342" i="2"/>
  <c r="CN283" i="2"/>
  <c r="CN286" i="2" s="1"/>
  <c r="CR343" i="2"/>
  <c r="CR349" i="2"/>
  <c r="CR342" i="2"/>
  <c r="CR283" i="2"/>
  <c r="CR286" i="2" s="1"/>
  <c r="CV343" i="2"/>
  <c r="CV342" i="2"/>
  <c r="CV344" i="2"/>
  <c r="CV349" i="2"/>
  <c r="CZ343" i="2"/>
  <c r="CZ342" i="2"/>
  <c r="CZ344" i="2"/>
  <c r="CZ283" i="2"/>
  <c r="CZ287" i="2" s="1"/>
  <c r="DD349" i="2"/>
  <c r="DD343" i="2"/>
  <c r="DD342" i="2"/>
  <c r="DD344" i="2"/>
  <c r="DD283" i="2"/>
  <c r="DH343" i="2"/>
  <c r="DH342" i="2"/>
  <c r="DH344" i="2"/>
  <c r="AN286" i="2"/>
  <c r="AR286" i="2"/>
  <c r="AW286" i="2"/>
  <c r="BY286" i="2"/>
  <c r="CC286" i="2"/>
  <c r="CK286" i="2"/>
  <c r="CY287" i="2"/>
  <c r="CY288" i="2"/>
  <c r="DC287" i="2"/>
  <c r="DC288" i="2"/>
  <c r="AL286" i="2"/>
  <c r="AP286" i="2"/>
  <c r="AT286" i="2"/>
  <c r="AX286" i="2"/>
  <c r="BZ286" i="2"/>
  <c r="CH286" i="2"/>
  <c r="CL286" i="2"/>
  <c r="CP286" i="2"/>
  <c r="CT286" i="2"/>
  <c r="CX286" i="2"/>
  <c r="DB286" i="2"/>
  <c r="ED286" i="2"/>
  <c r="AN287" i="2"/>
  <c r="BH287" i="2"/>
  <c r="BP287" i="2"/>
  <c r="BX287" i="2"/>
  <c r="CB287" i="2"/>
  <c r="CJ287" i="2"/>
  <c r="CN287" i="2"/>
  <c r="DD287" i="2"/>
  <c r="EB287" i="2"/>
  <c r="AN290" i="2"/>
  <c r="BP290" i="2"/>
  <c r="BT290" i="2"/>
  <c r="DE283" i="2"/>
  <c r="DI283" i="2"/>
  <c r="DI286" i="2" s="1"/>
  <c r="DM283" i="2"/>
  <c r="DM286" i="2" s="1"/>
  <c r="DQ283" i="2"/>
  <c r="DQ286" i="2" s="1"/>
  <c r="DU283" i="2"/>
  <c r="DY283" i="2"/>
  <c r="DY286" i="2" s="1"/>
  <c r="AM286" i="2"/>
  <c r="AU286" i="2"/>
  <c r="AY286" i="2"/>
  <c r="BC286" i="2"/>
  <c r="BK286" i="2"/>
  <c r="BO286" i="2"/>
  <c r="BS286" i="2"/>
  <c r="CI286" i="2"/>
  <c r="DC286" i="2"/>
  <c r="AK287" i="2"/>
  <c r="AO287" i="2"/>
  <c r="AS287" i="2"/>
  <c r="AW287" i="2"/>
  <c r="BA287" i="2"/>
  <c r="BY287" i="2"/>
  <c r="CK287" i="2"/>
  <c r="CO287" i="2"/>
  <c r="CS287" i="2"/>
  <c r="CW287" i="2"/>
  <c r="DA287" i="2"/>
  <c r="EC287" i="2"/>
  <c r="AK290" i="2"/>
  <c r="BM290" i="2"/>
  <c r="BU290" i="2"/>
  <c r="CO349" i="2"/>
  <c r="CO342" i="2"/>
  <c r="CO343" i="2"/>
  <c r="CO344" i="2"/>
  <c r="CS349" i="2"/>
  <c r="CS342" i="2"/>
  <c r="CS343" i="2"/>
  <c r="CS344" i="2"/>
  <c r="CX357" i="2"/>
  <c r="CW342" i="2"/>
  <c r="CW343" i="2"/>
  <c r="CW344" i="2"/>
  <c r="DA342" i="2"/>
  <c r="DA343" i="2"/>
  <c r="DA344" i="2"/>
  <c r="DE349" i="2"/>
  <c r="DE342" i="2"/>
  <c r="DE343" i="2"/>
  <c r="DE344" i="2"/>
  <c r="DI349" i="2"/>
  <c r="DI342" i="2"/>
  <c r="DI343" i="2"/>
  <c r="DI344" i="2"/>
  <c r="DK349" i="2"/>
  <c r="DK344" i="2"/>
  <c r="DK343" i="2"/>
  <c r="DK342" i="2"/>
  <c r="DO349" i="2"/>
  <c r="DO344" i="2"/>
  <c r="DO343" i="2"/>
  <c r="DO342" i="2"/>
  <c r="DS344" i="2"/>
  <c r="DS349" i="2"/>
  <c r="DS343" i="2"/>
  <c r="DS342" i="2"/>
  <c r="DW344" i="2"/>
  <c r="DW343" i="2"/>
  <c r="DW342" i="2"/>
  <c r="DW349" i="2"/>
  <c r="EA344" i="2"/>
  <c r="EA343" i="2"/>
  <c r="EA342" i="2"/>
  <c r="AN288" i="2"/>
  <c r="AR288" i="2"/>
  <c r="AZ288" i="2"/>
  <c r="BD288" i="2"/>
  <c r="BH288" i="2"/>
  <c r="BL288" i="2"/>
  <c r="BP288" i="2"/>
  <c r="BT288" i="2"/>
  <c r="BX288" i="2"/>
  <c r="CB288" i="2"/>
  <c r="CF288" i="2"/>
  <c r="CJ288" i="2"/>
  <c r="CN288" i="2"/>
  <c r="CR288" i="2"/>
  <c r="CZ288" i="2"/>
  <c r="DD288" i="2"/>
  <c r="EB288" i="2"/>
  <c r="CZ309" i="2"/>
  <c r="DN359" i="2"/>
  <c r="DS359" i="2"/>
  <c r="BC373" i="2"/>
  <c r="BG373" i="2"/>
  <c r="BK373" i="2"/>
  <c r="BO373" i="2"/>
  <c r="BS373" i="2"/>
  <c r="BW373" i="2"/>
  <c r="CE373" i="2"/>
  <c r="AL344" i="2"/>
  <c r="AL349" i="2"/>
  <c r="AP344" i="2"/>
  <c r="AP349" i="2"/>
  <c r="AP342" i="2"/>
  <c r="AP343" i="2"/>
  <c r="AT344" i="2"/>
  <c r="AT342" i="2"/>
  <c r="AT349" i="2"/>
  <c r="AT343" i="2"/>
  <c r="AX344" i="2"/>
  <c r="AX349" i="2"/>
  <c r="AX342" i="2"/>
  <c r="AX343" i="2"/>
  <c r="BZ342" i="2"/>
  <c r="BZ349" i="2"/>
  <c r="BZ343" i="2"/>
  <c r="CH342" i="2"/>
  <c r="CH343" i="2"/>
  <c r="CH349" i="2"/>
  <c r="CL349" i="2"/>
  <c r="CL342" i="2"/>
  <c r="CL343" i="2"/>
  <c r="CP349" i="2"/>
  <c r="CP342" i="2"/>
  <c r="CP343" i="2"/>
  <c r="CT349" i="2"/>
  <c r="CT344" i="2"/>
  <c r="CT342" i="2"/>
  <c r="CT343" i="2"/>
  <c r="CX344" i="2"/>
  <c r="CX342" i="2"/>
  <c r="CX343" i="2"/>
  <c r="DB344" i="2"/>
  <c r="DB342" i="2"/>
  <c r="DB343" i="2"/>
  <c r="DF349" i="2"/>
  <c r="DF344" i="2"/>
  <c r="DF342" i="2"/>
  <c r="DF343" i="2"/>
  <c r="DJ349" i="2"/>
  <c r="DJ344" i="2"/>
  <c r="DJ342" i="2"/>
  <c r="DJ343" i="2"/>
  <c r="DL343" i="2"/>
  <c r="DL342" i="2"/>
  <c r="DL344" i="2"/>
  <c r="DL349" i="2"/>
  <c r="DP349" i="2"/>
  <c r="DP343" i="2"/>
  <c r="DP342" i="2"/>
  <c r="DP344" i="2"/>
  <c r="DT349" i="2"/>
  <c r="DT343" i="2"/>
  <c r="DT342" i="2"/>
  <c r="DT344" i="2"/>
  <c r="DX343" i="2"/>
  <c r="DX342" i="2"/>
  <c r="DX344" i="2"/>
  <c r="EB343" i="2"/>
  <c r="EB342" i="2"/>
  <c r="EB344" i="2"/>
  <c r="EA283" i="2"/>
  <c r="EA286" i="2" s="1"/>
  <c r="AK288" i="2"/>
  <c r="AO288" i="2"/>
  <c r="AS288" i="2"/>
  <c r="AW288" i="2"/>
  <c r="BA288" i="2"/>
  <c r="BI288" i="2"/>
  <c r="BQ288" i="2"/>
  <c r="BU288" i="2"/>
  <c r="BY288" i="2"/>
  <c r="CC288" i="2"/>
  <c r="CG288" i="2"/>
  <c r="CK288" i="2"/>
  <c r="CO288" i="2"/>
  <c r="CS288" i="2"/>
  <c r="CW288" i="2"/>
  <c r="DA288" i="2"/>
  <c r="EC288" i="2"/>
  <c r="AT317" i="2"/>
  <c r="AT296" i="2" s="1"/>
  <c r="AT322" i="2"/>
  <c r="AT315" i="2"/>
  <c r="AY322" i="2"/>
  <c r="AY315" i="2"/>
  <c r="BJ317" i="2"/>
  <c r="BJ296" i="2" s="1"/>
  <c r="BJ322" i="2"/>
  <c r="BJ315" i="2"/>
  <c r="BN317" i="2"/>
  <c r="BN296" i="2" s="1"/>
  <c r="BN322" i="2"/>
  <c r="BN315" i="2"/>
  <c r="BR317" i="2"/>
  <c r="BR296" i="2" s="1"/>
  <c r="BR322" i="2"/>
  <c r="BV317" i="2"/>
  <c r="BV296" i="2" s="1"/>
  <c r="BV322" i="2"/>
  <c r="BV315" i="2"/>
  <c r="BZ317" i="2"/>
  <c r="BZ296" i="2" s="1"/>
  <c r="BZ322" i="2"/>
  <c r="BZ315" i="2"/>
  <c r="CD317" i="2"/>
  <c r="CD296" i="2" s="1"/>
  <c r="CD322" i="2"/>
  <c r="CD315" i="2"/>
  <c r="CH317" i="2"/>
  <c r="CH296" i="2" s="1"/>
  <c r="CH322" i="2"/>
  <c r="CL317" i="2"/>
  <c r="CL296" i="2" s="1"/>
  <c r="CL322" i="2"/>
  <c r="CL315" i="2"/>
  <c r="CP317" i="2"/>
  <c r="CP296" i="2" s="1"/>
  <c r="CP322" i="2"/>
  <c r="CP315" i="2"/>
  <c r="CT317" i="2"/>
  <c r="CT296" i="2" s="1"/>
  <c r="CT322" i="2"/>
  <c r="CT315" i="2"/>
  <c r="CX317" i="2"/>
  <c r="CX296" i="2" s="1"/>
  <c r="CX322" i="2"/>
  <c r="DB322" i="2"/>
  <c r="DB315" i="2"/>
  <c r="DF317" i="2"/>
  <c r="DF296" i="2" s="1"/>
  <c r="DF322" i="2"/>
  <c r="DF315" i="2"/>
  <c r="DK322" i="2"/>
  <c r="DK315" i="2"/>
  <c r="CH315" i="2"/>
  <c r="CS321" i="2"/>
  <c r="CT330" i="2"/>
  <c r="DR315" i="2"/>
  <c r="AP317" i="2"/>
  <c r="AP296" i="2" s="1"/>
  <c r="AP322" i="2"/>
  <c r="AU322" i="2"/>
  <c r="AU315" i="2"/>
  <c r="BF317" i="2"/>
  <c r="BF296" i="2" s="1"/>
  <c r="BF322" i="2"/>
  <c r="BK322" i="2"/>
  <c r="BK315" i="2"/>
  <c r="BO322" i="2"/>
  <c r="BO315" i="2"/>
  <c r="BS322" i="2"/>
  <c r="BS315" i="2"/>
  <c r="BW322" i="2"/>
  <c r="BW315" i="2"/>
  <c r="CA322" i="2"/>
  <c r="CA315" i="2"/>
  <c r="CE322" i="2"/>
  <c r="CE315" i="2"/>
  <c r="CI322" i="2"/>
  <c r="CI315" i="2"/>
  <c r="CM322" i="2"/>
  <c r="CM315" i="2"/>
  <c r="CQ322" i="2"/>
  <c r="CQ315" i="2"/>
  <c r="CU322" i="2"/>
  <c r="CU315" i="2"/>
  <c r="CY322" i="2"/>
  <c r="CY315" i="2"/>
  <c r="DC322" i="2"/>
  <c r="DC315" i="2"/>
  <c r="DG322" i="2"/>
  <c r="DG315" i="2"/>
  <c r="DV317" i="2"/>
  <c r="DV296" i="2" s="1"/>
  <c r="DV322" i="2"/>
  <c r="AL317" i="2"/>
  <c r="AL296" i="2" s="1"/>
  <c r="AL322" i="2"/>
  <c r="AQ322" i="2"/>
  <c r="AQ315" i="2"/>
  <c r="BB317" i="2"/>
  <c r="BB296" i="2" s="1"/>
  <c r="BB322" i="2"/>
  <c r="BG322" i="2"/>
  <c r="BG315" i="2"/>
  <c r="DR317" i="2"/>
  <c r="DR296" i="2" s="1"/>
  <c r="DR322" i="2"/>
  <c r="DW322" i="2"/>
  <c r="DW315" i="2"/>
  <c r="AL315" i="2"/>
  <c r="BB315" i="2"/>
  <c r="DV315" i="2"/>
  <c r="E332" i="2"/>
  <c r="AM322" i="2"/>
  <c r="AM315" i="2"/>
  <c r="AX317" i="2"/>
  <c r="AX296" i="2" s="1"/>
  <c r="AX322" i="2"/>
  <c r="BC322" i="2"/>
  <c r="BC315" i="2"/>
  <c r="DJ317" i="2"/>
  <c r="DJ296" i="2" s="1"/>
  <c r="DJ322" i="2"/>
  <c r="DN317" i="2"/>
  <c r="DN296" i="2" s="1"/>
  <c r="DN322" i="2"/>
  <c r="DJ315" i="2"/>
  <c r="G320" i="2"/>
  <c r="G331" i="2"/>
  <c r="K331" i="2"/>
  <c r="K320" i="2"/>
  <c r="O331" i="2"/>
  <c r="S331" i="2"/>
  <c r="CS331" i="2"/>
  <c r="CS332" i="2" s="1"/>
  <c r="F320" i="2"/>
  <c r="J320" i="2"/>
  <c r="N320" i="2"/>
  <c r="H332" i="2"/>
  <c r="AH336" i="2"/>
  <c r="AM336" i="2"/>
  <c r="AM342" i="2" s="1"/>
  <c r="EF336" i="2"/>
  <c r="EF334" i="2"/>
  <c r="F332" i="2"/>
  <c r="AW334" i="2"/>
  <c r="AI336" i="2"/>
  <c r="BK359" i="2"/>
  <c r="BL354" i="2"/>
  <c r="BO359" i="2"/>
  <c r="BP354" i="2"/>
  <c r="CH359" i="2"/>
  <c r="CE361" i="2"/>
  <c r="BS359" i="2"/>
  <c r="BT354" i="2"/>
  <c r="BW361" i="2"/>
  <c r="BX354" i="2"/>
  <c r="CQ361" i="2"/>
  <c r="CU361" i="2"/>
  <c r="BL359" i="2"/>
  <c r="BM354" i="2"/>
  <c r="BP359" i="2"/>
  <c r="BQ354" i="2"/>
  <c r="BT359" i="2"/>
  <c r="BU354" i="2"/>
  <c r="BX359" i="2"/>
  <c r="BY354" i="2"/>
  <c r="CF359" i="2"/>
  <c r="CR359" i="2"/>
  <c r="CV359" i="2"/>
  <c r="DP359" i="2"/>
  <c r="BE359" i="2"/>
  <c r="BF354" i="2"/>
  <c r="BI359" i="2"/>
  <c r="BJ354" i="2"/>
  <c r="BM359" i="2"/>
  <c r="BN354" i="2"/>
  <c r="BU359" i="2"/>
  <c r="BV354" i="2"/>
  <c r="BY359" i="2"/>
  <c r="CO359" i="2"/>
  <c r="CS359" i="2"/>
  <c r="BJ359" i="2"/>
  <c r="BK354" i="2"/>
  <c r="BN361" i="2"/>
  <c r="BS354" i="2"/>
  <c r="BW354" i="2"/>
  <c r="BV359" i="2"/>
  <c r="BZ361" i="2"/>
  <c r="CD361" i="2"/>
  <c r="CP361" i="2"/>
  <c r="CT361" i="2"/>
  <c r="CX359" i="2"/>
  <c r="BO354" i="2"/>
  <c r="AX366" i="2"/>
  <c r="AX364" i="2" s="1"/>
  <c r="AY364" i="2"/>
  <c r="BK366" i="2"/>
  <c r="BL364" i="2"/>
  <c r="BR367" i="2"/>
  <c r="BS364" i="2"/>
  <c r="CI365" i="2"/>
  <c r="CJ364" i="2"/>
  <c r="CP367" i="2"/>
  <c r="CP364" i="2" s="1"/>
  <c r="CQ364" i="2"/>
  <c r="BN365" i="2"/>
  <c r="BO364" i="2"/>
  <c r="BR364" i="2"/>
  <c r="AT364" i="2"/>
  <c r="BG365" i="2"/>
  <c r="BH364" i="2"/>
  <c r="CM367" i="2"/>
  <c r="CN364" i="2"/>
  <c r="CE367" i="2"/>
  <c r="CF364" i="2"/>
  <c r="AY367" i="2"/>
  <c r="AX367" i="2" s="1"/>
  <c r="AZ364" i="2"/>
  <c r="BW365" i="2"/>
  <c r="BX364" i="2"/>
  <c r="BB364" i="2"/>
  <c r="BO367" i="2"/>
  <c r="BN367" i="2" s="1"/>
  <c r="BP364" i="2"/>
  <c r="CA366" i="2"/>
  <c r="CB364" i="2"/>
  <c r="EH151" i="2" l="1"/>
  <c r="EI150" i="2"/>
  <c r="EJ108" i="2"/>
  <c r="EG138" i="2"/>
  <c r="G304" i="2"/>
  <c r="EH71" i="2"/>
  <c r="O221" i="2"/>
  <c r="W221" i="2"/>
  <c r="EF66" i="2"/>
  <c r="CP45" i="2"/>
  <c r="CP49" i="2"/>
  <c r="BJ146" i="2"/>
  <c r="BG146" i="2"/>
  <c r="CB39" i="2"/>
  <c r="CB45" i="2"/>
  <c r="CD367" i="2"/>
  <c r="CD364" i="2" s="1"/>
  <c r="CE364" i="2"/>
  <c r="CO361" i="2"/>
  <c r="BX361" i="2"/>
  <c r="BO361" i="2"/>
  <c r="DW269" i="2"/>
  <c r="DW279" i="2" s="1"/>
  <c r="DX267" i="2"/>
  <c r="AN299" i="2"/>
  <c r="AN301" i="2"/>
  <c r="AN262" i="2"/>
  <c r="CB361" i="2"/>
  <c r="DE288" i="2"/>
  <c r="DE287" i="2"/>
  <c r="CL301" i="2"/>
  <c r="CL299" i="2"/>
  <c r="CL262" i="2"/>
  <c r="CI361" i="2"/>
  <c r="DH316" i="2"/>
  <c r="DI232" i="2"/>
  <c r="DH233" i="2"/>
  <c r="DH244" i="2" s="1"/>
  <c r="DH246" i="2" s="1"/>
  <c r="DH247" i="2" s="1"/>
  <c r="X232" i="2"/>
  <c r="DK361" i="2"/>
  <c r="DJ361" i="2"/>
  <c r="BX310" i="2"/>
  <c r="O219" i="2"/>
  <c r="O310" i="2" s="1"/>
  <c r="BY219" i="2"/>
  <c r="BY310" i="2" s="1"/>
  <c r="DN120" i="2"/>
  <c r="ED318" i="2"/>
  <c r="ED310" i="2"/>
  <c r="EE310" i="2" s="1"/>
  <c r="EF310" i="2" s="1"/>
  <c r="EG310" i="2" s="1"/>
  <c r="EH310" i="2" s="1"/>
  <c r="EI310" i="2" s="1"/>
  <c r="EJ310" i="2" s="1"/>
  <c r="EK310" i="2" s="1"/>
  <c r="EL310" i="2" s="1"/>
  <c r="EM310" i="2" s="1"/>
  <c r="EN310" i="2" s="1"/>
  <c r="EO310" i="2" s="1"/>
  <c r="EP310" i="2" s="1"/>
  <c r="ED309" i="2"/>
  <c r="EE309" i="2" s="1"/>
  <c r="EF309" i="2" s="1"/>
  <c r="EG309" i="2" s="1"/>
  <c r="EH309" i="2" s="1"/>
  <c r="EI309" i="2" s="1"/>
  <c r="EJ309" i="2" s="1"/>
  <c r="EK309" i="2" s="1"/>
  <c r="EL309" i="2" s="1"/>
  <c r="EM309" i="2" s="1"/>
  <c r="EN309" i="2" s="1"/>
  <c r="EO309" i="2" s="1"/>
  <c r="EP309" i="2" s="1"/>
  <c r="ED302" i="2"/>
  <c r="ED81" i="2"/>
  <c r="ED29" i="2"/>
  <c r="ED92" i="2"/>
  <c r="DF106" i="2"/>
  <c r="DF140" i="2"/>
  <c r="DF138" i="2"/>
  <c r="DF62" i="2"/>
  <c r="CL144" i="2"/>
  <c r="CL68" i="2"/>
  <c r="CZ173" i="2"/>
  <c r="CZ74" i="2"/>
  <c r="BV365" i="2"/>
  <c r="BV364" i="2" s="1"/>
  <c r="BW364" i="2"/>
  <c r="CF45" i="2"/>
  <c r="CF39" i="2"/>
  <c r="CH365" i="2"/>
  <c r="CH364" i="2" s="1"/>
  <c r="CI364" i="2"/>
  <c r="BJ366" i="2"/>
  <c r="BJ364" i="2" s="1"/>
  <c r="BK364" i="2"/>
  <c r="CX361" i="2"/>
  <c r="CS361" i="2"/>
  <c r="DP361" i="2"/>
  <c r="BS361" i="2"/>
  <c r="DS361" i="2"/>
  <c r="CR287" i="2"/>
  <c r="BL287" i="2"/>
  <c r="CG286" i="2"/>
  <c r="BQ349" i="2"/>
  <c r="BQ342" i="2"/>
  <c r="BQ343" i="2"/>
  <c r="BQ344" i="2"/>
  <c r="BQ283" i="2"/>
  <c r="EF371" i="2"/>
  <c r="DT301" i="2"/>
  <c r="AR299" i="2"/>
  <c r="AR301" i="2"/>
  <c r="AR262" i="2"/>
  <c r="DB359" i="2"/>
  <c r="BF359" i="2"/>
  <c r="BG354" i="2"/>
  <c r="AO359" i="2"/>
  <c r="AP354" i="2"/>
  <c r="CV316" i="2"/>
  <c r="CV233" i="2"/>
  <c r="CV244" i="2" s="1"/>
  <c r="CV246" i="2" s="1"/>
  <c r="CV247" i="2" s="1"/>
  <c r="U232" i="2"/>
  <c r="U316" i="2" s="1"/>
  <c r="CF316" i="2"/>
  <c r="CF233" i="2"/>
  <c r="CF244" i="2" s="1"/>
  <c r="CF246" i="2" s="1"/>
  <c r="CF247" i="2" s="1"/>
  <c r="Q232" i="2"/>
  <c r="Q316" i="2" s="1"/>
  <c r="BP316" i="2"/>
  <c r="BP233" i="2"/>
  <c r="BP244" i="2" s="1"/>
  <c r="BP246" i="2" s="1"/>
  <c r="BP247" i="2" s="1"/>
  <c r="M232" i="2"/>
  <c r="M316" i="2" s="1"/>
  <c r="AZ316" i="2"/>
  <c r="AZ233" i="2"/>
  <c r="AZ244" i="2" s="1"/>
  <c r="AZ246" i="2" s="1"/>
  <c r="AZ247" i="2" s="1"/>
  <c r="AJ316" i="2"/>
  <c r="AJ233" i="2"/>
  <c r="AJ244" i="2" s="1"/>
  <c r="AJ246" i="2" s="1"/>
  <c r="E232" i="2"/>
  <c r="E316" i="2" s="1"/>
  <c r="DS280" i="2"/>
  <c r="DN285" i="2"/>
  <c r="DN286" i="2"/>
  <c r="DO97" i="2"/>
  <c r="DN97" i="2"/>
  <c r="DF285" i="2"/>
  <c r="DF286" i="2"/>
  <c r="DG97" i="2"/>
  <c r="BQ361" i="2"/>
  <c r="DS301" i="2"/>
  <c r="CA299" i="2"/>
  <c r="CA301" i="2"/>
  <c r="CA262" i="2"/>
  <c r="CA361" i="2"/>
  <c r="AN359" i="2"/>
  <c r="AM343" i="2"/>
  <c r="DU361" i="2"/>
  <c r="EG373" i="2"/>
  <c r="EH276" i="2"/>
  <c r="DR301" i="2"/>
  <c r="BB301" i="2"/>
  <c r="BB299" i="2"/>
  <c r="BB262" i="2"/>
  <c r="AL301" i="2"/>
  <c r="AL299" i="2"/>
  <c r="AL262" i="2"/>
  <c r="DD359" i="2"/>
  <c r="BH359" i="2"/>
  <c r="AQ359" i="2"/>
  <c r="AR354" i="2"/>
  <c r="EB348" i="2"/>
  <c r="EB359" i="2" s="1"/>
  <c r="EB258" i="2"/>
  <c r="EC256" i="2"/>
  <c r="EC255" i="2"/>
  <c r="DM316" i="2"/>
  <c r="DM233" i="2"/>
  <c r="DM244" i="2" s="1"/>
  <c r="DM246" i="2" s="1"/>
  <c r="DM247" i="2" s="1"/>
  <c r="Y232" i="2"/>
  <c r="Y316" i="2" s="1"/>
  <c r="T226" i="2"/>
  <c r="O229" i="2"/>
  <c r="M227" i="2"/>
  <c r="K225" i="2"/>
  <c r="F228" i="2"/>
  <c r="DP286" i="2"/>
  <c r="DP285" i="2"/>
  <c r="DQ97" i="2"/>
  <c r="DL280" i="2"/>
  <c r="CV286" i="2"/>
  <c r="CV285" i="2"/>
  <c r="CW97" i="2"/>
  <c r="DA262" i="2"/>
  <c r="DG359" i="2"/>
  <c r="BC354" i="2"/>
  <c r="BB359" i="2"/>
  <c r="AM354" i="2"/>
  <c r="AL354" i="2"/>
  <c r="DI301" i="2"/>
  <c r="DI299" i="2"/>
  <c r="DI262" i="2"/>
  <c r="EB244" i="2"/>
  <c r="EB246" i="2" s="1"/>
  <c r="EB247" i="2" s="1"/>
  <c r="BA232" i="2"/>
  <c r="DV285" i="2"/>
  <c r="DV286" i="2"/>
  <c r="DW97" i="2"/>
  <c r="DV97" i="2"/>
  <c r="CK224" i="2"/>
  <c r="R224" i="2" s="1"/>
  <c r="BQ227" i="2"/>
  <c r="AW230" i="2"/>
  <c r="H230" i="2" s="1"/>
  <c r="DH299" i="2"/>
  <c r="BM230" i="2"/>
  <c r="L230" i="2" s="1"/>
  <c r="AZ310" i="2"/>
  <c r="BA219" i="2"/>
  <c r="BA310" i="2" s="1"/>
  <c r="DX193" i="2"/>
  <c r="DX194" i="2"/>
  <c r="DX195" i="2" s="1"/>
  <c r="BY221" i="2"/>
  <c r="BE219" i="2"/>
  <c r="CO193" i="2"/>
  <c r="CO194" i="2"/>
  <c r="CO195" i="2" s="1"/>
  <c r="EI272" i="2"/>
  <c r="EH230" i="2"/>
  <c r="EC233" i="2"/>
  <c r="DV194" i="2"/>
  <c r="DV195" i="2" s="1"/>
  <c r="DV193" i="2"/>
  <c r="R220" i="2"/>
  <c r="CQ194" i="2"/>
  <c r="CQ195" i="2" s="1"/>
  <c r="CQ193" i="2"/>
  <c r="DX165" i="2"/>
  <c r="DX166" i="2"/>
  <c r="DX167" i="2" s="1"/>
  <c r="DH165" i="2"/>
  <c r="DH166" i="2"/>
  <c r="DH167" i="2" s="1"/>
  <c r="CR165" i="2"/>
  <c r="CR166" i="2"/>
  <c r="CR167" i="2" s="1"/>
  <c r="CB165" i="2"/>
  <c r="CB166" i="2"/>
  <c r="CB167" i="2" s="1"/>
  <c r="BW143" i="2"/>
  <c r="EG106" i="2"/>
  <c r="EG110" i="2" s="1"/>
  <c r="EG104" i="2"/>
  <c r="DO322" i="2"/>
  <c r="DO315" i="2"/>
  <c r="DO211" i="2"/>
  <c r="DO210" i="2" s="1"/>
  <c r="EA322" i="2"/>
  <c r="EA315" i="2"/>
  <c r="EA211" i="2"/>
  <c r="EA210" i="2" s="1"/>
  <c r="BL294" i="2"/>
  <c r="BL293" i="2"/>
  <c r="BL93" i="2"/>
  <c r="BL34" i="2"/>
  <c r="DS89" i="2"/>
  <c r="CZ86" i="2"/>
  <c r="CZ32" i="2"/>
  <c r="CJ86" i="2"/>
  <c r="CJ32" i="2"/>
  <c r="DF32" i="2"/>
  <c r="DF86" i="2"/>
  <c r="CY28" i="2"/>
  <c r="V21" i="2"/>
  <c r="V22" i="2" s="1"/>
  <c r="DR354" i="2"/>
  <c r="DR318" i="2"/>
  <c r="DR310" i="2"/>
  <c r="DR309" i="2"/>
  <c r="DR308" i="2"/>
  <c r="DR303" i="2"/>
  <c r="DR302" i="2"/>
  <c r="DR95" i="2"/>
  <c r="DR29" i="2"/>
  <c r="DR92" i="2"/>
  <c r="DR91" i="2"/>
  <c r="DR81" i="2"/>
  <c r="CH354" i="2"/>
  <c r="BQ85" i="2"/>
  <c r="BQ90" i="2"/>
  <c r="F269" i="2"/>
  <c r="F279" i="2" s="1"/>
  <c r="DR173" i="2"/>
  <c r="DR74" i="2"/>
  <c r="DN144" i="2"/>
  <c r="DN68" i="2"/>
  <c r="DJ140" i="2"/>
  <c r="DJ138" i="2"/>
  <c r="DJ62" i="2"/>
  <c r="DB140" i="2"/>
  <c r="DB138" i="2"/>
  <c r="DB106" i="2"/>
  <c r="DB62" i="2"/>
  <c r="CT173" i="2"/>
  <c r="CT74" i="2"/>
  <c r="CP144" i="2"/>
  <c r="CP68" i="2"/>
  <c r="CL140" i="2"/>
  <c r="CL138" i="2"/>
  <c r="CL106" i="2"/>
  <c r="CL62" i="2"/>
  <c r="CD173" i="2"/>
  <c r="CD74" i="2"/>
  <c r="BZ144" i="2"/>
  <c r="BZ68" i="2"/>
  <c r="BV173" i="2"/>
  <c r="BV74" i="2"/>
  <c r="G305" i="2"/>
  <c r="G284" i="2"/>
  <c r="G283" i="2"/>
  <c r="EA307" i="2"/>
  <c r="EA305" i="2"/>
  <c r="EA174" i="2"/>
  <c r="EA108" i="2"/>
  <c r="EA145" i="2"/>
  <c r="DT140" i="2"/>
  <c r="DT138" i="2"/>
  <c r="DT62" i="2"/>
  <c r="DL173" i="2"/>
  <c r="DL74" i="2"/>
  <c r="DH144" i="2"/>
  <c r="DH68" i="2"/>
  <c r="DD140" i="2"/>
  <c r="DD138" i="2"/>
  <c r="DD106" i="2"/>
  <c r="DD62" i="2"/>
  <c r="CZ144" i="2"/>
  <c r="CZ68" i="2"/>
  <c r="CV140" i="2"/>
  <c r="CV138" i="2"/>
  <c r="CV106" i="2"/>
  <c r="CV62" i="2"/>
  <c r="CN173" i="2"/>
  <c r="CN74" i="2"/>
  <c r="CJ144" i="2"/>
  <c r="CJ68" i="2"/>
  <c r="CF140" i="2"/>
  <c r="CF138" i="2"/>
  <c r="CF106" i="2"/>
  <c r="CF62" i="2"/>
  <c r="BX173" i="2"/>
  <c r="BX74" i="2"/>
  <c r="BT138" i="2"/>
  <c r="BT106" i="2"/>
  <c r="BT62" i="2"/>
  <c r="DY140" i="2"/>
  <c r="DY138" i="2"/>
  <c r="DY62" i="2"/>
  <c r="DS144" i="2"/>
  <c r="DS68" i="2"/>
  <c r="CY173" i="2"/>
  <c r="CY74" i="2"/>
  <c r="CI173" i="2"/>
  <c r="CI74" i="2"/>
  <c r="CA144" i="2"/>
  <c r="CA68" i="2"/>
  <c r="M55" i="2"/>
  <c r="E55" i="2"/>
  <c r="BS294" i="2"/>
  <c r="BS293" i="2"/>
  <c r="BS93" i="2"/>
  <c r="BS34" i="2"/>
  <c r="AZ293" i="2"/>
  <c r="AZ294" i="2"/>
  <c r="AZ93" i="2"/>
  <c r="AZ34" i="2"/>
  <c r="CQ32" i="2"/>
  <c r="CQ86" i="2"/>
  <c r="CA32" i="2"/>
  <c r="CA86" i="2"/>
  <c r="G321" i="2"/>
  <c r="G315" i="2"/>
  <c r="K293" i="2"/>
  <c r="K93" i="2"/>
  <c r="K34" i="2"/>
  <c r="CW354" i="2"/>
  <c r="DQ173" i="2"/>
  <c r="DQ74" i="2"/>
  <c r="DM173" i="2"/>
  <c r="DM74" i="2"/>
  <c r="DI140" i="2"/>
  <c r="DI138" i="2"/>
  <c r="DI106" i="2"/>
  <c r="DI62" i="2"/>
  <c r="DA140" i="2"/>
  <c r="DA138" i="2"/>
  <c r="DA106" i="2"/>
  <c r="DA62" i="2"/>
  <c r="CS173" i="2"/>
  <c r="CS74" i="2"/>
  <c r="CO173" i="2"/>
  <c r="CO74" i="2"/>
  <c r="CK140" i="2"/>
  <c r="CK138" i="2"/>
  <c r="CK106" i="2"/>
  <c r="CK62" i="2"/>
  <c r="CC173" i="2"/>
  <c r="CD171" i="2" s="1"/>
  <c r="CC74" i="2"/>
  <c r="BU144" i="2"/>
  <c r="BU68" i="2"/>
  <c r="DZ140" i="2"/>
  <c r="DZ138" i="2"/>
  <c r="DZ62" i="2"/>
  <c r="DV144" i="2"/>
  <c r="DV68" i="2"/>
  <c r="M85" i="2"/>
  <c r="DX130" i="2"/>
  <c r="DX127" i="2"/>
  <c r="DX134" i="2" s="1"/>
  <c r="DG144" i="2"/>
  <c r="DG68" i="2"/>
  <c r="CM140" i="2"/>
  <c r="CM138" i="2"/>
  <c r="CM106" i="2"/>
  <c r="CM62" i="2"/>
  <c r="BW144" i="2"/>
  <c r="BW68" i="2"/>
  <c r="DX173" i="2"/>
  <c r="DX74" i="2"/>
  <c r="EH179" i="2"/>
  <c r="EI76" i="2"/>
  <c r="EC315" i="2"/>
  <c r="EC322" i="2"/>
  <c r="EC211" i="2"/>
  <c r="EC210" i="2" s="1"/>
  <c r="BN293" i="2"/>
  <c r="BN294" i="2"/>
  <c r="BN93" i="2"/>
  <c r="BN34" i="2"/>
  <c r="AI294" i="2"/>
  <c r="AI293" i="2"/>
  <c r="AI34" i="2"/>
  <c r="AI93" i="2"/>
  <c r="BI86" i="2"/>
  <c r="BI32" i="2"/>
  <c r="CT86" i="2"/>
  <c r="CT32" i="2"/>
  <c r="CD86" i="2"/>
  <c r="CD32" i="2"/>
  <c r="N86" i="2"/>
  <c r="N32" i="2"/>
  <c r="DH86" i="2"/>
  <c r="DH32" i="2"/>
  <c r="DW306" i="2"/>
  <c r="G306" i="2"/>
  <c r="G307" i="2" s="1"/>
  <c r="EB354" i="2"/>
  <c r="EB309" i="2"/>
  <c r="EB302" i="2"/>
  <c r="EB81" i="2"/>
  <c r="EB29" i="2"/>
  <c r="BI85" i="2"/>
  <c r="BI90" i="2"/>
  <c r="DT189" i="2"/>
  <c r="DT196" i="2" s="1"/>
  <c r="DT192" i="2"/>
  <c r="N185" i="2"/>
  <c r="N27" i="2"/>
  <c r="N89" i="2" s="1"/>
  <c r="N84" i="2"/>
  <c r="DM131" i="2"/>
  <c r="DM132" i="2"/>
  <c r="DM133" i="2" s="1"/>
  <c r="DO144" i="2"/>
  <c r="DO68" i="2"/>
  <c r="DC144" i="2"/>
  <c r="DC68" i="2"/>
  <c r="CE173" i="2"/>
  <c r="CE74" i="2"/>
  <c r="BS144" i="2"/>
  <c r="BS68" i="2"/>
  <c r="H258" i="2"/>
  <c r="H345" i="2"/>
  <c r="H322" i="2"/>
  <c r="H349" i="2"/>
  <c r="H344" i="2"/>
  <c r="H343" i="2"/>
  <c r="H342" i="2"/>
  <c r="AY345" i="2"/>
  <c r="AZ143" i="2"/>
  <c r="DS120" i="2"/>
  <c r="EB95" i="2"/>
  <c r="E39" i="2"/>
  <c r="EB322" i="2"/>
  <c r="EB315" i="2"/>
  <c r="EB211" i="2"/>
  <c r="EB210" i="2" s="1"/>
  <c r="BM294" i="2"/>
  <c r="BM293" i="2"/>
  <c r="BM93" i="2"/>
  <c r="BM34" i="2"/>
  <c r="AR293" i="2"/>
  <c r="AR294" i="2"/>
  <c r="AR93" i="2"/>
  <c r="AR34" i="2"/>
  <c r="EH203" i="2"/>
  <c r="EI203" i="2" s="1"/>
  <c r="CK86" i="2"/>
  <c r="CK32" i="2"/>
  <c r="M320" i="2"/>
  <c r="M315" i="2"/>
  <c r="M321" i="2"/>
  <c r="I321" i="2"/>
  <c r="I320" i="2"/>
  <c r="I315" i="2"/>
  <c r="E320" i="2"/>
  <c r="E315" i="2"/>
  <c r="E321" i="2"/>
  <c r="I293" i="2"/>
  <c r="I93" i="2"/>
  <c r="I34" i="2"/>
  <c r="DK86" i="2"/>
  <c r="DK32" i="2"/>
  <c r="F304" i="2"/>
  <c r="EA303" i="2"/>
  <c r="DC354" i="2"/>
  <c r="CA354" i="2"/>
  <c r="BA354" i="2"/>
  <c r="BR350" i="2"/>
  <c r="BR351" i="2" s="1"/>
  <c r="BR295" i="2"/>
  <c r="BR96" i="2"/>
  <c r="BR38" i="2"/>
  <c r="BJ350" i="2"/>
  <c r="BJ351" i="2" s="1"/>
  <c r="BJ295" i="2"/>
  <c r="BJ96" i="2"/>
  <c r="AT350" i="2"/>
  <c r="AT351" i="2" s="1"/>
  <c r="AT295" i="2"/>
  <c r="AT96" i="2"/>
  <c r="AT38" i="2"/>
  <c r="BH39" i="2"/>
  <c r="BH37" i="2"/>
  <c r="BI361" i="2"/>
  <c r="DN361" i="2"/>
  <c r="BV349" i="2"/>
  <c r="BV342" i="2"/>
  <c r="BV343" i="2"/>
  <c r="BV283" i="2"/>
  <c r="DO285" i="2"/>
  <c r="DO286" i="2"/>
  <c r="DP97" i="2"/>
  <c r="DF361" i="2"/>
  <c r="AZ361" i="2"/>
  <c r="DU288" i="2"/>
  <c r="DU287" i="2"/>
  <c r="DN299" i="2"/>
  <c r="CC316" i="2"/>
  <c r="CC233" i="2"/>
  <c r="CC244" i="2" s="1"/>
  <c r="CC246" i="2" s="1"/>
  <c r="CC247" i="2" s="1"/>
  <c r="P232" i="2"/>
  <c r="P316" i="2" s="1"/>
  <c r="AW316" i="2"/>
  <c r="AW233" i="2"/>
  <c r="AW244" i="2" s="1"/>
  <c r="AW246" i="2" s="1"/>
  <c r="AW247" i="2" s="1"/>
  <c r="H232" i="2"/>
  <c r="H316" i="2" s="1"/>
  <c r="DT286" i="2"/>
  <c r="DT285" i="2"/>
  <c r="DU97" i="2"/>
  <c r="CG301" i="2"/>
  <c r="CG299" i="2"/>
  <c r="CG262" i="2"/>
  <c r="BG359" i="2"/>
  <c r="BH354" i="2"/>
  <c r="AK316" i="2"/>
  <c r="AK233" i="2"/>
  <c r="AK244" i="2" s="1"/>
  <c r="AK246" i="2" s="1"/>
  <c r="EH371" i="2"/>
  <c r="EI273" i="2"/>
  <c r="EH259" i="2"/>
  <c r="EG236" i="2"/>
  <c r="AN310" i="2"/>
  <c r="F219" i="2"/>
  <c r="F310" i="2" s="1"/>
  <c r="AO219" i="2"/>
  <c r="AO310" i="2" s="1"/>
  <c r="EE187" i="2"/>
  <c r="EF202" i="2"/>
  <c r="BQ175" i="2"/>
  <c r="BQ74" i="2"/>
  <c r="CX120" i="2"/>
  <c r="DW127" i="2"/>
  <c r="DW134" i="2" s="1"/>
  <c r="DW130" i="2"/>
  <c r="BU130" i="2"/>
  <c r="BU127" i="2"/>
  <c r="BU134" i="2" s="1"/>
  <c r="G258" i="2"/>
  <c r="G345" i="2"/>
  <c r="G322" i="2"/>
  <c r="G349" i="2"/>
  <c r="G344" i="2"/>
  <c r="G343" i="2"/>
  <c r="G342" i="2"/>
  <c r="DW140" i="2"/>
  <c r="DW138" i="2"/>
  <c r="DW62" i="2"/>
  <c r="DT144" i="2"/>
  <c r="DT68" i="2"/>
  <c r="DP140" i="2"/>
  <c r="DP138" i="2"/>
  <c r="DP62" i="2"/>
  <c r="DH173" i="2"/>
  <c r="DH74" i="2"/>
  <c r="DD144" i="2"/>
  <c r="DD68" i="2"/>
  <c r="CV144" i="2"/>
  <c r="CV68" i="2"/>
  <c r="CR140" i="2"/>
  <c r="CR138" i="2"/>
  <c r="CR106" i="2"/>
  <c r="CR62" i="2"/>
  <c r="CJ173" i="2"/>
  <c r="CJ74" i="2"/>
  <c r="CF144" i="2"/>
  <c r="CF68" i="2"/>
  <c r="CB138" i="2"/>
  <c r="CB106" i="2"/>
  <c r="CB62" i="2"/>
  <c r="BT144" i="2"/>
  <c r="BT143" i="2" s="1"/>
  <c r="BT68" i="2"/>
  <c r="DY144" i="2"/>
  <c r="DY68" i="2"/>
  <c r="EB130" i="2"/>
  <c r="EB127" i="2"/>
  <c r="EB134" i="2" s="1"/>
  <c r="DS140" i="2"/>
  <c r="DS138" i="2"/>
  <c r="DS62" i="2"/>
  <c r="BG345" i="2"/>
  <c r="BH143" i="2"/>
  <c r="L55" i="2"/>
  <c r="EE238" i="2"/>
  <c r="EE372" i="2" s="1"/>
  <c r="EF55" i="2"/>
  <c r="ED95" i="2"/>
  <c r="BO294" i="2"/>
  <c r="BO293" i="2"/>
  <c r="BO93" i="2"/>
  <c r="BO34" i="2"/>
  <c r="AU294" i="2"/>
  <c r="AU293" i="2"/>
  <c r="AU93" i="2"/>
  <c r="AU34" i="2"/>
  <c r="CM86" i="2"/>
  <c r="CM32" i="2"/>
  <c r="G293" i="2"/>
  <c r="G93" i="2"/>
  <c r="G34" i="2"/>
  <c r="DQ86" i="2"/>
  <c r="DQ32" i="2"/>
  <c r="DM87" i="2"/>
  <c r="EC309" i="2"/>
  <c r="EC302" i="2"/>
  <c r="EC92" i="2"/>
  <c r="EC81" i="2"/>
  <c r="EC91" i="2"/>
  <c r="EC29" i="2"/>
  <c r="DI354" i="2"/>
  <c r="DE354" i="2"/>
  <c r="AS354" i="2"/>
  <c r="DU189" i="2"/>
  <c r="DU196" i="2" s="1"/>
  <c r="DU192" i="2"/>
  <c r="ED132" i="2"/>
  <c r="ED133" i="2" s="1"/>
  <c r="ED131" i="2"/>
  <c r="DV132" i="2"/>
  <c r="DV133" i="2" s="1"/>
  <c r="DV131" i="2"/>
  <c r="DU140" i="2"/>
  <c r="DU138" i="2"/>
  <c r="DU62" i="2"/>
  <c r="DM144" i="2"/>
  <c r="DM68" i="2"/>
  <c r="DI144" i="2"/>
  <c r="DI68" i="2"/>
  <c r="DE106" i="2"/>
  <c r="DE140" i="2"/>
  <c r="DE138" i="2"/>
  <c r="DE62" i="2"/>
  <c r="DA144" i="2"/>
  <c r="DA68" i="2"/>
  <c r="CW140" i="2"/>
  <c r="CW138" i="2"/>
  <c r="CW106" i="2"/>
  <c r="CW62" i="2"/>
  <c r="CO144" i="2"/>
  <c r="CO68" i="2"/>
  <c r="CK144" i="2"/>
  <c r="CK68" i="2"/>
  <c r="CG140" i="2"/>
  <c r="CG138" i="2"/>
  <c r="CG106" i="2"/>
  <c r="CG62" i="2"/>
  <c r="BY106" i="2"/>
  <c r="BY138" i="2"/>
  <c r="BY62" i="2"/>
  <c r="BU173" i="2"/>
  <c r="BV171" i="2" s="1"/>
  <c r="BU74" i="2"/>
  <c r="DZ144" i="2"/>
  <c r="DZ68" i="2"/>
  <c r="DV173" i="2"/>
  <c r="DV74" i="2"/>
  <c r="DG173" i="2"/>
  <c r="DG74" i="2"/>
  <c r="CM173" i="2"/>
  <c r="CN171" i="2" s="1"/>
  <c r="CM74" i="2"/>
  <c r="BW138" i="2"/>
  <c r="BW106" i="2"/>
  <c r="BW62" i="2"/>
  <c r="ED5" i="2"/>
  <c r="AW337" i="2"/>
  <c r="DQ315" i="2"/>
  <c r="DQ322" i="2"/>
  <c r="DQ211" i="2"/>
  <c r="DQ210" i="2" s="1"/>
  <c r="AW315" i="2"/>
  <c r="AW322" i="2"/>
  <c r="BD294" i="2"/>
  <c r="BD293" i="2"/>
  <c r="BD93" i="2"/>
  <c r="BD34" i="2"/>
  <c r="EG31" i="2"/>
  <c r="BA86" i="2"/>
  <c r="BA32" i="2"/>
  <c r="CP32" i="2"/>
  <c r="CP86" i="2"/>
  <c r="BZ32" i="2"/>
  <c r="CA290" i="2" s="1"/>
  <c r="BZ86" i="2"/>
  <c r="N321" i="2"/>
  <c r="N315" i="2"/>
  <c r="J321" i="2"/>
  <c r="J315" i="2"/>
  <c r="F321" i="2"/>
  <c r="F315" i="2"/>
  <c r="J293" i="2"/>
  <c r="J93" i="2"/>
  <c r="J34" i="2"/>
  <c r="DD86" i="2"/>
  <c r="DD32" i="2"/>
  <c r="CZ354" i="2"/>
  <c r="EC131" i="2"/>
  <c r="EC132" i="2"/>
  <c r="EC133" i="2" s="1"/>
  <c r="DU131" i="2"/>
  <c r="DU132" i="2"/>
  <c r="DU133" i="2" s="1"/>
  <c r="DO173" i="2"/>
  <c r="DO74" i="2"/>
  <c r="DC140" i="2"/>
  <c r="DC138" i="2"/>
  <c r="DC106" i="2"/>
  <c r="DC62" i="2"/>
  <c r="CU144" i="2"/>
  <c r="CU68" i="2"/>
  <c r="BS173" i="2"/>
  <c r="BS74" i="2"/>
  <c r="EG178" i="2"/>
  <c r="EG77" i="2"/>
  <c r="EH75" i="2"/>
  <c r="BY294" i="2"/>
  <c r="BY293" i="2"/>
  <c r="BY93" i="2"/>
  <c r="BY34" i="2"/>
  <c r="BH293" i="2"/>
  <c r="BH294" i="2"/>
  <c r="BH93" i="2"/>
  <c r="BH34" i="2"/>
  <c r="AM294" i="2"/>
  <c r="AM293" i="2"/>
  <c r="AM93" i="2"/>
  <c r="AM34" i="2"/>
  <c r="EE211" i="2"/>
  <c r="CC86" i="2"/>
  <c r="CC32" i="2"/>
  <c r="E294" i="2"/>
  <c r="E293" i="2"/>
  <c r="E93" i="2"/>
  <c r="E34" i="2"/>
  <c r="DG32" i="2"/>
  <c r="DG86" i="2"/>
  <c r="DK354" i="2"/>
  <c r="CY354" i="2"/>
  <c r="DS194" i="2"/>
  <c r="DS195" i="2" s="1"/>
  <c r="DS193" i="2"/>
  <c r="EJ97" i="2"/>
  <c r="EI36" i="2"/>
  <c r="DT86" i="2"/>
  <c r="DT32" i="2"/>
  <c r="DF97" i="2"/>
  <c r="CW294" i="2"/>
  <c r="CW293" i="2"/>
  <c r="CW93" i="2"/>
  <c r="CW34" i="2"/>
  <c r="CG294" i="2"/>
  <c r="CG293" i="2"/>
  <c r="CG93" i="2"/>
  <c r="CG34" i="2"/>
  <c r="BO39" i="2"/>
  <c r="BO37" i="2"/>
  <c r="CV361" i="2"/>
  <c r="BF344" i="2"/>
  <c r="BF349" i="2"/>
  <c r="BF342" i="2"/>
  <c r="BF343" i="2"/>
  <c r="BF283" i="2"/>
  <c r="DW285" i="2"/>
  <c r="DW286" i="2"/>
  <c r="DX97" i="2"/>
  <c r="AS359" i="2"/>
  <c r="AT354" i="2"/>
  <c r="EC318" i="2"/>
  <c r="EC317" i="2"/>
  <c r="EC296" i="2" s="1"/>
  <c r="CX267" i="2"/>
  <c r="CW269" i="2"/>
  <c r="CJ361" i="2"/>
  <c r="DW300" i="2"/>
  <c r="BI349" i="2"/>
  <c r="BI342" i="2"/>
  <c r="BI343" i="2"/>
  <c r="BI344" i="2"/>
  <c r="BI283" i="2"/>
  <c r="DH361" i="2"/>
  <c r="CS316" i="2"/>
  <c r="CS233" i="2"/>
  <c r="CS244" i="2" s="1"/>
  <c r="CS246" i="2" s="1"/>
  <c r="CS247" i="2" s="1"/>
  <c r="T232" i="2"/>
  <c r="T316" i="2" s="1"/>
  <c r="V228" i="2"/>
  <c r="Q227" i="2"/>
  <c r="J228" i="2"/>
  <c r="AQ354" i="2"/>
  <c r="AP359" i="2"/>
  <c r="CW316" i="2"/>
  <c r="CW233" i="2"/>
  <c r="CW244" i="2" s="1"/>
  <c r="CW246" i="2" s="1"/>
  <c r="CW247" i="2" s="1"/>
  <c r="CQ345" i="2"/>
  <c r="CR143" i="2"/>
  <c r="BJ345" i="2"/>
  <c r="BK143" i="2"/>
  <c r="BK144" i="2"/>
  <c r="BK145" i="2" s="1"/>
  <c r="DS322" i="2"/>
  <c r="DS315" i="2"/>
  <c r="DS211" i="2"/>
  <c r="DS210" i="2" s="1"/>
  <c r="AK315" i="2"/>
  <c r="AK322" i="2"/>
  <c r="BX293" i="2"/>
  <c r="BX294" i="2"/>
  <c r="BX93" i="2"/>
  <c r="BX34" i="2"/>
  <c r="BG294" i="2"/>
  <c r="BG293" i="2"/>
  <c r="BG34" i="2"/>
  <c r="BG93" i="2"/>
  <c r="DC86" i="2"/>
  <c r="DC32" i="2"/>
  <c r="CV86" i="2"/>
  <c r="CV32" i="2"/>
  <c r="CF86" i="2"/>
  <c r="CF32" i="2"/>
  <c r="L294" i="2"/>
  <c r="L293" i="2"/>
  <c r="L93" i="2"/>
  <c r="L34" i="2"/>
  <c r="DR87" i="2"/>
  <c r="DN354" i="2"/>
  <c r="DN318" i="2"/>
  <c r="DN310" i="2"/>
  <c r="DN303" i="2"/>
  <c r="DN315" i="2"/>
  <c r="DN309" i="2"/>
  <c r="DN302" i="2"/>
  <c r="DN308" i="2"/>
  <c r="DN95" i="2"/>
  <c r="DN81" i="2"/>
  <c r="DN29" i="2"/>
  <c r="DN92" i="2"/>
  <c r="DN91" i="2"/>
  <c r="AK85" i="2"/>
  <c r="AK90" i="2"/>
  <c r="BM85" i="2"/>
  <c r="BM90" i="2"/>
  <c r="F348" i="2"/>
  <c r="F354" i="2" s="1"/>
  <c r="F300" i="2"/>
  <c r="F303" i="2"/>
  <c r="DN173" i="2"/>
  <c r="DN74" i="2"/>
  <c r="DJ144" i="2"/>
  <c r="DJ68" i="2"/>
  <c r="DB144" i="2"/>
  <c r="DB68" i="2"/>
  <c r="CX140" i="2"/>
  <c r="CX138" i="2"/>
  <c r="CX106" i="2"/>
  <c r="CX62" i="2"/>
  <c r="CP173" i="2"/>
  <c r="CP171" i="2" s="1"/>
  <c r="CP74" i="2"/>
  <c r="CH140" i="2"/>
  <c r="CH138" i="2"/>
  <c r="CH106" i="2"/>
  <c r="CH62" i="2"/>
  <c r="BZ173" i="2"/>
  <c r="BZ74" i="2"/>
  <c r="DK144" i="2"/>
  <c r="DK68" i="2"/>
  <c r="CQ140" i="2"/>
  <c r="CQ138" i="2"/>
  <c r="CQ106" i="2"/>
  <c r="CQ62" i="2"/>
  <c r="CA173" i="2"/>
  <c r="CA74" i="2"/>
  <c r="BZ366" i="2"/>
  <c r="BZ364" i="2" s="1"/>
  <c r="CA364" i="2"/>
  <c r="CN45" i="2"/>
  <c r="CN39" i="2"/>
  <c r="CN49" i="2"/>
  <c r="BF365" i="2"/>
  <c r="BF364" i="2" s="1"/>
  <c r="BG364" i="2"/>
  <c r="BN364" i="2"/>
  <c r="CC359" i="2"/>
  <c r="CR361" i="2"/>
  <c r="AL336" i="2"/>
  <c r="BY290" i="2"/>
  <c r="BI290" i="2"/>
  <c r="CE286" i="2"/>
  <c r="DH349" i="2"/>
  <c r="BG344" i="2"/>
  <c r="EG36" i="2"/>
  <c r="DP301" i="2"/>
  <c r="CN299" i="2"/>
  <c r="CN301" i="2"/>
  <c r="CN262" i="2"/>
  <c r="CB299" i="2"/>
  <c r="CB301" i="2"/>
  <c r="CB262" i="2"/>
  <c r="AZ299" i="2"/>
  <c r="AZ301" i="2"/>
  <c r="AZ262" i="2"/>
  <c r="ED308" i="2"/>
  <c r="EE308" i="2" s="1"/>
  <c r="EF308" i="2" s="1"/>
  <c r="EG308" i="2" s="1"/>
  <c r="EH308" i="2" s="1"/>
  <c r="EI308" i="2" s="1"/>
  <c r="EJ308" i="2" s="1"/>
  <c r="EK308" i="2" s="1"/>
  <c r="EL308" i="2" s="1"/>
  <c r="EM308" i="2" s="1"/>
  <c r="EN308" i="2" s="1"/>
  <c r="EO308" i="2" s="1"/>
  <c r="EP308" i="2" s="1"/>
  <c r="CK359" i="2"/>
  <c r="AW359" i="2"/>
  <c r="AX354" i="2"/>
  <c r="DI359" i="2"/>
  <c r="CY361" i="2"/>
  <c r="EB372" i="2"/>
  <c r="EC238" i="2"/>
  <c r="EC372" i="2" s="1"/>
  <c r="DU316" i="2"/>
  <c r="DU233" i="2"/>
  <c r="DU244" i="2" s="1"/>
  <c r="DU246" i="2" s="1"/>
  <c r="DU247" i="2" s="1"/>
  <c r="CF286" i="2"/>
  <c r="BU349" i="2"/>
  <c r="BU342" i="2"/>
  <c r="BU343" i="2"/>
  <c r="BU344" i="2"/>
  <c r="BU283" i="2"/>
  <c r="DR285" i="2"/>
  <c r="DR286" i="2"/>
  <c r="DS97" i="2"/>
  <c r="DR97" i="2"/>
  <c r="DJ285" i="2"/>
  <c r="DJ286" i="2"/>
  <c r="DK97" i="2"/>
  <c r="DJ97" i="2"/>
  <c r="EF36" i="2"/>
  <c r="BR361" i="2"/>
  <c r="BR360" i="2"/>
  <c r="DO301" i="2"/>
  <c r="DE361" i="2"/>
  <c r="CN361" i="2"/>
  <c r="AV359" i="2"/>
  <c r="DW359" i="2"/>
  <c r="BO290" i="2"/>
  <c r="BD349" i="2"/>
  <c r="BD343" i="2"/>
  <c r="BD342" i="2"/>
  <c r="BD344" i="2"/>
  <c r="BD283" i="2"/>
  <c r="DG269" i="2"/>
  <c r="DN301" i="2"/>
  <c r="AT301" i="2"/>
  <c r="AT299" i="2"/>
  <c r="AT262" i="2"/>
  <c r="CM361" i="2"/>
  <c r="AY359" i="2"/>
  <c r="AZ354" i="2"/>
  <c r="DC316" i="2"/>
  <c r="DD232" i="2"/>
  <c r="DC233" i="2"/>
  <c r="DC244" i="2" s="1"/>
  <c r="DC246" i="2" s="1"/>
  <c r="DC247" i="2" s="1"/>
  <c r="CN316" i="2"/>
  <c r="CO232" i="2"/>
  <c r="CN233" i="2"/>
  <c r="CN244" i="2" s="1"/>
  <c r="CN246" i="2" s="1"/>
  <c r="CN247" i="2" s="1"/>
  <c r="S232" i="2"/>
  <c r="S316" i="2" s="1"/>
  <c r="BX316" i="2"/>
  <c r="BY232" i="2"/>
  <c r="BX233" i="2"/>
  <c r="BX244" i="2" s="1"/>
  <c r="BX246" i="2" s="1"/>
  <c r="BX247" i="2" s="1"/>
  <c r="O232" i="2"/>
  <c r="O316" i="2" s="1"/>
  <c r="BH316" i="2"/>
  <c r="BI232" i="2"/>
  <c r="BH233" i="2"/>
  <c r="BH244" i="2" s="1"/>
  <c r="BH246" i="2" s="1"/>
  <c r="BH247" i="2" s="1"/>
  <c r="K232" i="2"/>
  <c r="K316" i="2" s="1"/>
  <c r="AR316" i="2"/>
  <c r="AS232" i="2"/>
  <c r="AR233" i="2"/>
  <c r="AR244" i="2" s="1"/>
  <c r="AR246" i="2" s="1"/>
  <c r="AR247" i="2" s="1"/>
  <c r="G232" i="2"/>
  <c r="G316" i="2" s="1"/>
  <c r="U227" i="2"/>
  <c r="P230" i="2"/>
  <c r="N228" i="2"/>
  <c r="L226" i="2"/>
  <c r="G229" i="2"/>
  <c r="E227" i="2"/>
  <c r="CZ286" i="2"/>
  <c r="BR290" i="2"/>
  <c r="BJ290" i="2"/>
  <c r="DT280" i="2"/>
  <c r="DH286" i="2"/>
  <c r="DH285" i="2"/>
  <c r="DI97" i="2"/>
  <c r="DV348" i="2"/>
  <c r="DV300" i="2"/>
  <c r="DV307" i="2"/>
  <c r="DV269" i="2"/>
  <c r="DU299" i="2"/>
  <c r="EA359" i="2"/>
  <c r="DG300" i="2"/>
  <c r="CG361" i="2"/>
  <c r="AT359" i="2"/>
  <c r="AU354" i="2"/>
  <c r="CG316" i="2"/>
  <c r="CG233" i="2"/>
  <c r="CG244" i="2" s="1"/>
  <c r="CG246" i="2" s="1"/>
  <c r="CG247" i="2" s="1"/>
  <c r="BY225" i="2"/>
  <c r="O225" i="2" s="1"/>
  <c r="BE228" i="2"/>
  <c r="AO224" i="2"/>
  <c r="F224" i="2" s="1"/>
  <c r="BU310" i="2"/>
  <c r="N219" i="2"/>
  <c r="N310" i="2" s="1"/>
  <c r="S221" i="2"/>
  <c r="AW219" i="2"/>
  <c r="AW310" i="2" s="1"/>
  <c r="DW194" i="2"/>
  <c r="DW195" i="2" s="1"/>
  <c r="DW193" i="2"/>
  <c r="M245" i="2"/>
  <c r="BP310" i="2"/>
  <c r="DP165" i="2"/>
  <c r="DP166" i="2"/>
  <c r="DP167" i="2" s="1"/>
  <c r="CZ165" i="2"/>
  <c r="CZ166" i="2"/>
  <c r="CZ167" i="2" s="1"/>
  <c r="CJ165" i="2"/>
  <c r="CJ166" i="2"/>
  <c r="CJ167" i="2" s="1"/>
  <c r="BO146" i="2"/>
  <c r="BO68" i="2"/>
  <c r="CM345" i="2"/>
  <c r="CN143" i="2"/>
  <c r="EE345" i="2"/>
  <c r="EE322" i="2"/>
  <c r="EE271" i="2"/>
  <c r="EF33" i="2"/>
  <c r="BR146" i="2"/>
  <c r="BR68" i="2"/>
  <c r="DX345" i="2"/>
  <c r="DY143" i="2"/>
  <c r="AO315" i="2"/>
  <c r="AO322" i="2"/>
  <c r="BA315" i="2"/>
  <c r="BA322" i="2"/>
  <c r="BT294" i="2"/>
  <c r="BT293" i="2"/>
  <c r="BT93" i="2"/>
  <c r="BT34" i="2"/>
  <c r="AV294" i="2"/>
  <c r="AV293" i="2"/>
  <c r="AV93" i="2"/>
  <c r="AV34" i="2"/>
  <c r="BE86" i="2"/>
  <c r="BE32" i="2"/>
  <c r="CR86" i="2"/>
  <c r="CR32" i="2"/>
  <c r="CB86" i="2"/>
  <c r="CB32" i="2"/>
  <c r="L321" i="2"/>
  <c r="L320" i="2"/>
  <c r="L315" i="2"/>
  <c r="H321" i="2"/>
  <c r="H320" i="2"/>
  <c r="H315" i="2"/>
  <c r="H294" i="2"/>
  <c r="H293" i="2"/>
  <c r="H93" i="2"/>
  <c r="H34" i="2"/>
  <c r="DN87" i="2"/>
  <c r="DZ318" i="2"/>
  <c r="DZ309" i="2"/>
  <c r="DZ303" i="2"/>
  <c r="DZ302" i="2"/>
  <c r="DZ91" i="2"/>
  <c r="DZ81" i="2"/>
  <c r="DZ29" i="2"/>
  <c r="DZ92" i="2"/>
  <c r="F284" i="2"/>
  <c r="F97" i="2" s="1"/>
  <c r="F283" i="2"/>
  <c r="F311" i="2"/>
  <c r="DR140" i="2"/>
  <c r="DR138" i="2"/>
  <c r="DR62" i="2"/>
  <c r="DJ173" i="2"/>
  <c r="DJ74" i="2"/>
  <c r="DF144" i="2"/>
  <c r="X144" i="2" s="1"/>
  <c r="DF68" i="2"/>
  <c r="DB173" i="2"/>
  <c r="DB74" i="2"/>
  <c r="CX144" i="2"/>
  <c r="CX68" i="2"/>
  <c r="CT106" i="2"/>
  <c r="CT140" i="2"/>
  <c r="CT138" i="2"/>
  <c r="CT62" i="2"/>
  <c r="CL173" i="2"/>
  <c r="CM171" i="2" s="1"/>
  <c r="CL74" i="2"/>
  <c r="CH144" i="2"/>
  <c r="CH68" i="2"/>
  <c r="CD106" i="2"/>
  <c r="CD138" i="2"/>
  <c r="CD62" i="2"/>
  <c r="BV138" i="2"/>
  <c r="BV106" i="2"/>
  <c r="BV62" i="2"/>
  <c r="G371" i="2"/>
  <c r="DW144" i="2"/>
  <c r="DW68" i="2"/>
  <c r="DT173" i="2"/>
  <c r="DT74" i="2"/>
  <c r="DP144" i="2"/>
  <c r="DP68" i="2"/>
  <c r="DL140" i="2"/>
  <c r="DL138" i="2"/>
  <c r="DL62" i="2"/>
  <c r="DD173" i="2"/>
  <c r="DD74" i="2"/>
  <c r="CV173" i="2"/>
  <c r="CV74" i="2"/>
  <c r="CR144" i="2"/>
  <c r="CR68" i="2"/>
  <c r="CN140" i="2"/>
  <c r="CN138" i="2"/>
  <c r="CN106" i="2"/>
  <c r="CN62" i="2"/>
  <c r="CF173" i="2"/>
  <c r="CF74" i="2"/>
  <c r="CB144" i="2"/>
  <c r="CB68" i="2"/>
  <c r="BX138" i="2"/>
  <c r="BX106" i="2"/>
  <c r="BX62" i="2"/>
  <c r="BT173" i="2"/>
  <c r="BT74" i="2"/>
  <c r="I261" i="2"/>
  <c r="I260" i="2"/>
  <c r="I259" i="2"/>
  <c r="I257" i="2"/>
  <c r="I308" i="2" s="1"/>
  <c r="I256" i="2"/>
  <c r="I255" i="2"/>
  <c r="I254" i="2"/>
  <c r="I253" i="2"/>
  <c r="I252" i="2"/>
  <c r="I251" i="2"/>
  <c r="I277" i="2"/>
  <c r="I275" i="2"/>
  <c r="I273" i="2"/>
  <c r="I271" i="2"/>
  <c r="I311" i="2" s="1"/>
  <c r="I267" i="2"/>
  <c r="I265" i="2"/>
  <c r="I278" i="2"/>
  <c r="I276" i="2"/>
  <c r="I373" i="2" s="1"/>
  <c r="I274" i="2"/>
  <c r="I272" i="2"/>
  <c r="I270" i="2"/>
  <c r="I268" i="2"/>
  <c r="I266" i="2"/>
  <c r="I309" i="2" s="1"/>
  <c r="J4" i="2"/>
  <c r="DY173" i="2"/>
  <c r="DY74" i="2"/>
  <c r="DS173" i="2"/>
  <c r="DS74" i="2"/>
  <c r="DK140" i="2"/>
  <c r="DK138" i="2"/>
  <c r="DK62" i="2"/>
  <c r="CY140" i="2"/>
  <c r="CY138" i="2"/>
  <c r="CY106" i="2"/>
  <c r="CY62" i="2"/>
  <c r="CQ144" i="2"/>
  <c r="CQ68" i="2"/>
  <c r="CI140" i="2"/>
  <c r="CI138" i="2"/>
  <c r="CI106" i="2"/>
  <c r="CI62" i="2"/>
  <c r="EA81" i="2"/>
  <c r="I55" i="2"/>
  <c r="DZ317" i="2"/>
  <c r="DZ296" i="2" s="1"/>
  <c r="DZ322" i="2"/>
  <c r="DZ315" i="2"/>
  <c r="DZ211" i="2"/>
  <c r="DZ210" i="2" s="1"/>
  <c r="BK294" i="2"/>
  <c r="BK293" i="2"/>
  <c r="BK93" i="2"/>
  <c r="BK34" i="2"/>
  <c r="AP293" i="2"/>
  <c r="AP294" i="2"/>
  <c r="AP93" i="2"/>
  <c r="AP34" i="2"/>
  <c r="CY32" i="2"/>
  <c r="CY86" i="2"/>
  <c r="CI32" i="2"/>
  <c r="CI86" i="2"/>
  <c r="K321" i="2"/>
  <c r="K315" i="2"/>
  <c r="EA86" i="2"/>
  <c r="EA32" i="2"/>
  <c r="DI86" i="2"/>
  <c r="DI32" i="2"/>
  <c r="H304" i="2"/>
  <c r="DY302" i="2"/>
  <c r="DY309" i="2"/>
  <c r="DY303" i="2"/>
  <c r="DY92" i="2"/>
  <c r="DY81" i="2"/>
  <c r="DY91" i="2"/>
  <c r="DY29" i="2"/>
  <c r="CO354" i="2"/>
  <c r="CK354" i="2"/>
  <c r="CG354" i="2"/>
  <c r="DU173" i="2"/>
  <c r="DU74" i="2"/>
  <c r="DQ140" i="2"/>
  <c r="DQ138" i="2"/>
  <c r="DQ62" i="2"/>
  <c r="DI173" i="2"/>
  <c r="DI74" i="2"/>
  <c r="DE173" i="2"/>
  <c r="DE74" i="2"/>
  <c r="DA173" i="2"/>
  <c r="DA74" i="2"/>
  <c r="CW173" i="2"/>
  <c r="CW74" i="2"/>
  <c r="CS140" i="2"/>
  <c r="CS138" i="2"/>
  <c r="CS106" i="2"/>
  <c r="CS62" i="2"/>
  <c r="CK173" i="2"/>
  <c r="CL171" i="2" s="1"/>
  <c r="CK74" i="2"/>
  <c r="CG173" i="2"/>
  <c r="CG74" i="2"/>
  <c r="CC138" i="2"/>
  <c r="CC106" i="2"/>
  <c r="CC62" i="2"/>
  <c r="BY173" i="2"/>
  <c r="BZ171" i="2" s="1"/>
  <c r="BY74" i="2"/>
  <c r="DZ173" i="2"/>
  <c r="DZ74" i="2"/>
  <c r="BW173" i="2"/>
  <c r="BW74" i="2"/>
  <c r="DX140" i="2"/>
  <c r="DX138" i="2"/>
  <c r="DX62" i="2"/>
  <c r="BE315" i="2"/>
  <c r="BE322" i="2"/>
  <c r="DY315" i="2"/>
  <c r="DY322" i="2"/>
  <c r="DY211" i="2"/>
  <c r="DY210" i="2" s="1"/>
  <c r="AY294" i="2"/>
  <c r="AY293" i="2"/>
  <c r="AY93" i="2"/>
  <c r="AY34" i="2"/>
  <c r="DB86" i="2"/>
  <c r="DB32" i="2"/>
  <c r="CL86" i="2"/>
  <c r="CL32" i="2"/>
  <c r="F294" i="2"/>
  <c r="F293" i="2"/>
  <c r="F93" i="2"/>
  <c r="F34" i="2"/>
  <c r="DP86" i="2"/>
  <c r="DP32" i="2"/>
  <c r="DL354" i="2"/>
  <c r="DH354" i="2"/>
  <c r="DD354" i="2"/>
  <c r="CN354" i="2"/>
  <c r="CJ354" i="2"/>
  <c r="BE354" i="2"/>
  <c r="BS85" i="2"/>
  <c r="BS28" i="2"/>
  <c r="BS90" i="2" s="1"/>
  <c r="N14" i="2"/>
  <c r="DC173" i="2"/>
  <c r="DC74" i="2"/>
  <c r="CU140" i="2"/>
  <c r="CU138" i="2"/>
  <c r="CU106" i="2"/>
  <c r="CU62" i="2"/>
  <c r="CE144" i="2"/>
  <c r="CE68" i="2"/>
  <c r="H269" i="2"/>
  <c r="H279" i="2" s="1"/>
  <c r="H348" i="2"/>
  <c r="H303" i="2"/>
  <c r="H300" i="2"/>
  <c r="AS315" i="2"/>
  <c r="AS322" i="2"/>
  <c r="BU294" i="2"/>
  <c r="BU293" i="2"/>
  <c r="BU93" i="2"/>
  <c r="BU34" i="2"/>
  <c r="BC294" i="2"/>
  <c r="BC293" i="2"/>
  <c r="BC93" i="2"/>
  <c r="BC34" i="2"/>
  <c r="AH293" i="2"/>
  <c r="AH294" i="2"/>
  <c r="AH93" i="2"/>
  <c r="AH34" i="2"/>
  <c r="DA86" i="2"/>
  <c r="DA32" i="2"/>
  <c r="BV90" i="2"/>
  <c r="DY165" i="2"/>
  <c r="DY166" i="2"/>
  <c r="DY167" i="2" s="1"/>
  <c r="EA354" i="2"/>
  <c r="EB182" i="2"/>
  <c r="EB179" i="2"/>
  <c r="EB76" i="2" s="1"/>
  <c r="EB75" i="2"/>
  <c r="EK94" i="2"/>
  <c r="BB39" i="2"/>
  <c r="BB37" i="2"/>
  <c r="BS37" i="2"/>
  <c r="BS39" i="2"/>
  <c r="BV361" i="2"/>
  <c r="BU361" i="2"/>
  <c r="BP361" i="2"/>
  <c r="BN344" i="2"/>
  <c r="BN349" i="2"/>
  <c r="BN342" i="2"/>
  <c r="BN343" i="2"/>
  <c r="BN283" i="2"/>
  <c r="DG285" i="2"/>
  <c r="DG286" i="2"/>
  <c r="DH97" i="2"/>
  <c r="BD299" i="2"/>
  <c r="BD301" i="2"/>
  <c r="BD262" i="2"/>
  <c r="BE349" i="2"/>
  <c r="BE342" i="2"/>
  <c r="BE343" i="2"/>
  <c r="BE344" i="2"/>
  <c r="BE283" i="2"/>
  <c r="AR361" i="2"/>
  <c r="DV349" i="2"/>
  <c r="DM288" i="2"/>
  <c r="DM287" i="2"/>
  <c r="AX301" i="2"/>
  <c r="AX299" i="2"/>
  <c r="AX262" i="2"/>
  <c r="AU359" i="2"/>
  <c r="AV354" i="2"/>
  <c r="DX316" i="2"/>
  <c r="DY232" i="2"/>
  <c r="DX233" i="2"/>
  <c r="DX244" i="2" s="1"/>
  <c r="DX246" i="2" s="1"/>
  <c r="DX247" i="2" s="1"/>
  <c r="BM316" i="2"/>
  <c r="BM233" i="2"/>
  <c r="BM244" i="2" s="1"/>
  <c r="BM246" i="2" s="1"/>
  <c r="BM247" i="2" s="1"/>
  <c r="L232" i="2"/>
  <c r="L316" i="2" s="1"/>
  <c r="S229" i="2"/>
  <c r="H226" i="2"/>
  <c r="BY193" i="2"/>
  <c r="BY194" i="2"/>
  <c r="BY195" i="2" s="1"/>
  <c r="EH171" i="2"/>
  <c r="EH284" i="2"/>
  <c r="EI268" i="2"/>
  <c r="Y220" i="2"/>
  <c r="DT165" i="2"/>
  <c r="DT166" i="2"/>
  <c r="DT167" i="2" s="1"/>
  <c r="DD165" i="2"/>
  <c r="DD166" i="2"/>
  <c r="DD167" i="2" s="1"/>
  <c r="CN165" i="2"/>
  <c r="CN166" i="2"/>
  <c r="CN167" i="2" s="1"/>
  <c r="BX165" i="2"/>
  <c r="BX166" i="2"/>
  <c r="BX167" i="2" s="1"/>
  <c r="EG173" i="2"/>
  <c r="EG176" i="2" s="1"/>
  <c r="BP39" i="2"/>
  <c r="BP37" i="2"/>
  <c r="CL367" i="2"/>
  <c r="CL364" i="2" s="1"/>
  <c r="CM364" i="2"/>
  <c r="CJ45" i="2"/>
  <c r="CJ39" i="2"/>
  <c r="CJ49" i="2"/>
  <c r="BJ361" i="2"/>
  <c r="BJ360" i="2"/>
  <c r="BY361" i="2"/>
  <c r="BM361" i="2"/>
  <c r="BE361" i="2"/>
  <c r="CF361" i="2"/>
  <c r="BT361" i="2"/>
  <c r="BL361" i="2"/>
  <c r="CH361" i="2"/>
  <c r="BK361" i="2"/>
  <c r="EG336" i="2"/>
  <c r="EG334" i="2"/>
  <c r="G332" i="2"/>
  <c r="CT329" i="2"/>
  <c r="CT320" i="2" s="1"/>
  <c r="CT321" i="2"/>
  <c r="CU330" i="2"/>
  <c r="CW349" i="2"/>
  <c r="DZ286" i="2"/>
  <c r="CD344" i="2"/>
  <c r="CD349" i="2"/>
  <c r="CD342" i="2"/>
  <c r="CD343" i="2"/>
  <c r="CD283" i="2"/>
  <c r="BR344" i="2"/>
  <c r="BR342" i="2"/>
  <c r="BR349" i="2"/>
  <c r="BR343" i="2"/>
  <c r="BR283" i="2"/>
  <c r="BJ344" i="2"/>
  <c r="BJ342" i="2"/>
  <c r="BJ349" i="2"/>
  <c r="BJ343" i="2"/>
  <c r="BJ283" i="2"/>
  <c r="BB344" i="2"/>
  <c r="BB342" i="2"/>
  <c r="BB343" i="2"/>
  <c r="BB349" i="2"/>
  <c r="BB283" i="2"/>
  <c r="DS285" i="2"/>
  <c r="DS286" i="2"/>
  <c r="DT97" i="2"/>
  <c r="DK285" i="2"/>
  <c r="DK286" i="2"/>
  <c r="DL97" i="2"/>
  <c r="CU285" i="2"/>
  <c r="CU286" i="2"/>
  <c r="CU97" i="2"/>
  <c r="CV97" i="2"/>
  <c r="DP299" i="2"/>
  <c r="CV299" i="2"/>
  <c r="CJ299" i="2"/>
  <c r="CJ301" i="2"/>
  <c r="CJ262" i="2"/>
  <c r="AV299" i="2"/>
  <c r="AV301" i="2"/>
  <c r="AV262" i="2"/>
  <c r="CW361" i="2"/>
  <c r="BA359" i="2"/>
  <c r="BB354" i="2"/>
  <c r="DX348" i="2"/>
  <c r="DX359" i="2" s="1"/>
  <c r="DX300" i="2"/>
  <c r="DX258" i="2"/>
  <c r="DY255" i="2"/>
  <c r="DP316" i="2"/>
  <c r="DP233" i="2"/>
  <c r="DP244" i="2" s="1"/>
  <c r="DP246" i="2" s="1"/>
  <c r="DP247" i="2" s="1"/>
  <c r="DQ232" i="2"/>
  <c r="DA316" i="2"/>
  <c r="DA233" i="2"/>
  <c r="DA244" i="2" s="1"/>
  <c r="DA246" i="2" s="1"/>
  <c r="DA247" i="2" s="1"/>
  <c r="V232" i="2"/>
  <c r="V316" i="2" s="1"/>
  <c r="CK316" i="2"/>
  <c r="CK233" i="2"/>
  <c r="CK244" i="2" s="1"/>
  <c r="CK246" i="2" s="1"/>
  <c r="CK247" i="2" s="1"/>
  <c r="R232" i="2"/>
  <c r="R316" i="2" s="1"/>
  <c r="BU316" i="2"/>
  <c r="BU233" i="2"/>
  <c r="BU244" i="2" s="1"/>
  <c r="BU246" i="2" s="1"/>
  <c r="BU247" i="2" s="1"/>
  <c r="N232" i="2"/>
  <c r="N316" i="2" s="1"/>
  <c r="BE316" i="2"/>
  <c r="BE233" i="2"/>
  <c r="BE244" i="2" s="1"/>
  <c r="BE246" i="2" s="1"/>
  <c r="BE247" i="2" s="1"/>
  <c r="J232" i="2"/>
  <c r="J316" i="2" s="1"/>
  <c r="AO316" i="2"/>
  <c r="AO233" i="2"/>
  <c r="AO244" i="2" s="1"/>
  <c r="AO246" i="2" s="1"/>
  <c r="AO247" i="2" s="1"/>
  <c r="F232" i="2"/>
  <c r="F316" i="2" s="1"/>
  <c r="DL359" i="2"/>
  <c r="AV286" i="2"/>
  <c r="AV285" i="2"/>
  <c r="AV97" i="2"/>
  <c r="DW299" i="2"/>
  <c r="DW301" i="2"/>
  <c r="DW262" i="2"/>
  <c r="DO299" i="2"/>
  <c r="BD361" i="2"/>
  <c r="E286" i="2"/>
  <c r="E285" i="2"/>
  <c r="BT349" i="2"/>
  <c r="BT343" i="2"/>
  <c r="BT342" i="2"/>
  <c r="BT283" i="2"/>
  <c r="DY288" i="2"/>
  <c r="DY287" i="2"/>
  <c r="DQ288" i="2"/>
  <c r="DQ287" i="2"/>
  <c r="DI288" i="2"/>
  <c r="DI290" i="2"/>
  <c r="DI287" i="2"/>
  <c r="DR299" i="2"/>
  <c r="AP301" i="2"/>
  <c r="AP299" i="2"/>
  <c r="AP262" i="2"/>
  <c r="DH300" i="2"/>
  <c r="CZ359" i="2"/>
  <c r="BC359" i="2"/>
  <c r="BD354" i="2"/>
  <c r="AM359" i="2"/>
  <c r="AN354" i="2"/>
  <c r="DS317" i="2"/>
  <c r="DS296" i="2" s="1"/>
  <c r="T230" i="2"/>
  <c r="R228" i="2"/>
  <c r="P226" i="2"/>
  <c r="K229" i="2"/>
  <c r="G225" i="2"/>
  <c r="CD288" i="2"/>
  <c r="BV288" i="2"/>
  <c r="BR288" i="2"/>
  <c r="BN288" i="2"/>
  <c r="BJ288" i="2"/>
  <c r="BF288" i="2"/>
  <c r="BB288" i="2"/>
  <c r="BM349" i="2"/>
  <c r="BM342" i="2"/>
  <c r="BM343" i="2"/>
  <c r="BM344" i="2"/>
  <c r="BM283" i="2"/>
  <c r="DX286" i="2"/>
  <c r="DX285" i="2"/>
  <c r="DY97" i="2"/>
  <c r="DL286" i="2"/>
  <c r="DL285" i="2"/>
  <c r="DM97" i="2"/>
  <c r="DU301" i="2"/>
  <c r="DC361" i="2"/>
  <c r="CL359" i="2"/>
  <c r="AX359" i="2"/>
  <c r="AY354" i="2"/>
  <c r="DA359" i="2"/>
  <c r="BQ316" i="2"/>
  <c r="BQ233" i="2"/>
  <c r="BQ244" i="2" s="1"/>
  <c r="BQ246" i="2" s="1"/>
  <c r="BQ247" i="2" s="1"/>
  <c r="EG371" i="2"/>
  <c r="DJ301" i="2"/>
  <c r="DJ299" i="2"/>
  <c r="DJ262" i="2"/>
  <c r="CO225" i="2"/>
  <c r="S225" i="2" s="1"/>
  <c r="BU228" i="2"/>
  <c r="BE224" i="2"/>
  <c r="J224" i="2" s="1"/>
  <c r="AK227" i="2"/>
  <c r="DH301" i="2"/>
  <c r="CK228" i="2"/>
  <c r="BU224" i="2"/>
  <c r="N224" i="2" s="1"/>
  <c r="BA227" i="2"/>
  <c r="I227" i="2" s="1"/>
  <c r="BI310" i="2"/>
  <c r="K219" i="2"/>
  <c r="K310" i="2" s="1"/>
  <c r="DC310" i="2"/>
  <c r="DD219" i="2"/>
  <c r="CV310" i="2"/>
  <c r="U219" i="2"/>
  <c r="G219" i="2"/>
  <c r="G310" i="2" s="1"/>
  <c r="DE193" i="2"/>
  <c r="DE194" i="2"/>
  <c r="DE195" i="2" s="1"/>
  <c r="CG219" i="2"/>
  <c r="EG256" i="2"/>
  <c r="EF200" i="2"/>
  <c r="EE125" i="2"/>
  <c r="BQ219" i="2"/>
  <c r="BQ310" i="2" s="1"/>
  <c r="CY194" i="2"/>
  <c r="CY195" i="2" s="1"/>
  <c r="CY193" i="2"/>
  <c r="EB165" i="2"/>
  <c r="EB166" i="2"/>
  <c r="EB167" i="2" s="1"/>
  <c r="DL165" i="2"/>
  <c r="DL166" i="2"/>
  <c r="DL167" i="2" s="1"/>
  <c r="CV165" i="2"/>
  <c r="CV166" i="2"/>
  <c r="CV167" i="2" s="1"/>
  <c r="CF165" i="2"/>
  <c r="CF166" i="2"/>
  <c r="CF167" i="2" s="1"/>
  <c r="EC310" i="2"/>
  <c r="DW166" i="2"/>
  <c r="DW167" i="2" s="1"/>
  <c r="DW165" i="2"/>
  <c r="CF143" i="2"/>
  <c r="EE317" i="2"/>
  <c r="EE296" i="2" s="1"/>
  <c r="EH143" i="2"/>
  <c r="BO345" i="2"/>
  <c r="BP143" i="2"/>
  <c r="BP144" i="2"/>
  <c r="BP145" i="2" s="1"/>
  <c r="CT120" i="2"/>
  <c r="AO32" i="2"/>
  <c r="AO86" i="2"/>
  <c r="BI315" i="2"/>
  <c r="BI322" i="2"/>
  <c r="BP293" i="2"/>
  <c r="BP294" i="2"/>
  <c r="BP93" i="2"/>
  <c r="BP34" i="2"/>
  <c r="AQ294" i="2"/>
  <c r="AQ293" i="2"/>
  <c r="AQ34" i="2"/>
  <c r="AQ93" i="2"/>
  <c r="AW86" i="2"/>
  <c r="AW32" i="2"/>
  <c r="CN86" i="2"/>
  <c r="CN32" i="2"/>
  <c r="H94" i="2"/>
  <c r="DW86" i="2"/>
  <c r="DW32" i="2"/>
  <c r="DJ86" i="2"/>
  <c r="DJ32" i="2"/>
  <c r="DV354" i="2"/>
  <c r="DV318" i="2"/>
  <c r="DV310" i="2"/>
  <c r="DV308" i="2"/>
  <c r="DV303" i="2"/>
  <c r="DV302" i="2"/>
  <c r="DV95" i="2"/>
  <c r="DV92" i="2"/>
  <c r="DV81" i="2"/>
  <c r="DV29" i="2"/>
  <c r="DV91" i="2"/>
  <c r="DF354" i="2"/>
  <c r="BA85" i="2"/>
  <c r="BA90" i="2"/>
  <c r="BU85" i="2"/>
  <c r="BU28" i="2"/>
  <c r="BU90" i="2" s="1"/>
  <c r="DZ194" i="2"/>
  <c r="DZ195" i="2" s="1"/>
  <c r="DZ193" i="2"/>
  <c r="EA127" i="2"/>
  <c r="EA134" i="2" s="1"/>
  <c r="EA130" i="2"/>
  <c r="DS127" i="2"/>
  <c r="DS134" i="2" s="1"/>
  <c r="DS130" i="2"/>
  <c r="F258" i="2"/>
  <c r="F345" i="2"/>
  <c r="F322" i="2"/>
  <c r="F342" i="2"/>
  <c r="F349" i="2"/>
  <c r="F344" i="2"/>
  <c r="F343" i="2"/>
  <c r="F371" i="2"/>
  <c r="DR144" i="2"/>
  <c r="DR68" i="2"/>
  <c r="DN140" i="2"/>
  <c r="DN138" i="2"/>
  <c r="DN62" i="2"/>
  <c r="DF173" i="2"/>
  <c r="DF74" i="2"/>
  <c r="CX173" i="2"/>
  <c r="CX74" i="2"/>
  <c r="CT144" i="2"/>
  <c r="CT68" i="2"/>
  <c r="CP106" i="2"/>
  <c r="CP140" i="2"/>
  <c r="CP138" i="2"/>
  <c r="CP62" i="2"/>
  <c r="CH173" i="2"/>
  <c r="CI171" i="2" s="1"/>
  <c r="CH74" i="2"/>
  <c r="CD144" i="2"/>
  <c r="CD68" i="2"/>
  <c r="BZ106" i="2"/>
  <c r="BZ138" i="2"/>
  <c r="BZ62" i="2"/>
  <c r="BV144" i="2"/>
  <c r="BV68" i="2"/>
  <c r="G279" i="2"/>
  <c r="G348" i="2"/>
  <c r="G303" i="2"/>
  <c r="G300" i="2"/>
  <c r="DW173" i="2"/>
  <c r="DW74" i="2"/>
  <c r="EB281" i="2"/>
  <c r="EB249" i="2"/>
  <c r="EB214" i="2"/>
  <c r="EB60" i="2"/>
  <c r="EB4" i="2"/>
  <c r="EB3" i="2"/>
  <c r="EC7" i="2"/>
  <c r="EB9" i="2"/>
  <c r="DP173" i="2"/>
  <c r="DP74" i="2"/>
  <c r="DL144" i="2"/>
  <c r="DL68" i="2"/>
  <c r="DH140" i="2"/>
  <c r="DH138" i="2"/>
  <c r="DH106" i="2"/>
  <c r="DH62" i="2"/>
  <c r="CZ140" i="2"/>
  <c r="CZ138" i="2"/>
  <c r="CZ106" i="2"/>
  <c r="CZ62" i="2"/>
  <c r="CR173" i="2"/>
  <c r="CR171" i="2" s="1"/>
  <c r="CR74" i="2"/>
  <c r="CN144" i="2"/>
  <c r="CN68" i="2"/>
  <c r="CJ140" i="2"/>
  <c r="CJ138" i="2"/>
  <c r="CJ106" i="2"/>
  <c r="CJ62" i="2"/>
  <c r="CB173" i="2"/>
  <c r="CB74" i="2"/>
  <c r="BX144" i="2"/>
  <c r="BX68" i="2"/>
  <c r="DT130" i="2"/>
  <c r="DT127" i="2"/>
  <c r="DT134" i="2" s="1"/>
  <c r="N131" i="2"/>
  <c r="DK173" i="2"/>
  <c r="DK74" i="2"/>
  <c r="CY144" i="2"/>
  <c r="CY68" i="2"/>
  <c r="CQ173" i="2"/>
  <c r="CQ171" i="2" s="1"/>
  <c r="CQ74" i="2"/>
  <c r="CI144" i="2"/>
  <c r="CI143" i="2" s="1"/>
  <c r="CI68" i="2"/>
  <c r="CA138" i="2"/>
  <c r="CA106" i="2"/>
  <c r="CA62" i="2"/>
  <c r="AR345" i="2"/>
  <c r="AS144" i="2"/>
  <c r="AS145" i="2" s="1"/>
  <c r="P55" i="2"/>
  <c r="H55" i="2"/>
  <c r="ED317" i="2"/>
  <c r="ED296" i="2" s="1"/>
  <c r="ED322" i="2"/>
  <c r="ED315" i="2"/>
  <c r="ED211" i="2"/>
  <c r="ED210" i="2" s="1"/>
  <c r="BW294" i="2"/>
  <c r="BW293" i="2"/>
  <c r="BW34" i="2"/>
  <c r="BW93" i="2"/>
  <c r="BF293" i="2"/>
  <c r="BF294" i="2"/>
  <c r="BF93" i="2"/>
  <c r="BF34" i="2"/>
  <c r="AJ293" i="2"/>
  <c r="AJ294" i="2"/>
  <c r="AJ93" i="2"/>
  <c r="AJ34" i="2"/>
  <c r="CU86" i="2"/>
  <c r="CU32" i="2"/>
  <c r="CE86" i="2"/>
  <c r="CE32" i="2"/>
  <c r="O29" i="2"/>
  <c r="DE86" i="2"/>
  <c r="DE32" i="2"/>
  <c r="H306" i="2"/>
  <c r="H307" i="2" s="1"/>
  <c r="DU354" i="2"/>
  <c r="DU302" i="2"/>
  <c r="DU309" i="2"/>
  <c r="DU308" i="2"/>
  <c r="DU303" i="2"/>
  <c r="DU92" i="2"/>
  <c r="DU81" i="2"/>
  <c r="DU91" i="2"/>
  <c r="DU29" i="2"/>
  <c r="DM354" i="2"/>
  <c r="DM315" i="2"/>
  <c r="DM309" i="2"/>
  <c r="DM308" i="2"/>
  <c r="DM302" i="2"/>
  <c r="DM303" i="2"/>
  <c r="DM95" i="2"/>
  <c r="DM92" i="2"/>
  <c r="DM81" i="2"/>
  <c r="DM91" i="2"/>
  <c r="DM29" i="2"/>
  <c r="CC354" i="2"/>
  <c r="BT85" i="2"/>
  <c r="BT28" i="2"/>
  <c r="BT90" i="2" s="1"/>
  <c r="DZ132" i="2"/>
  <c r="DZ133" i="2" s="1"/>
  <c r="DZ131" i="2"/>
  <c r="DR132" i="2"/>
  <c r="DR133" i="2" s="1"/>
  <c r="DR131" i="2"/>
  <c r="DU144" i="2"/>
  <c r="DU68" i="2"/>
  <c r="DQ144" i="2"/>
  <c r="DQ68" i="2"/>
  <c r="DM140" i="2"/>
  <c r="DM138" i="2"/>
  <c r="DM62" i="2"/>
  <c r="DE144" i="2"/>
  <c r="DE68" i="2"/>
  <c r="CW144" i="2"/>
  <c r="CW68" i="2"/>
  <c r="CS144" i="2"/>
  <c r="CS68" i="2"/>
  <c r="CO106" i="2"/>
  <c r="CO140" i="2"/>
  <c r="CO138" i="2"/>
  <c r="CO62" i="2"/>
  <c r="CG144" i="2"/>
  <c r="CG68" i="2"/>
  <c r="CC144" i="2"/>
  <c r="CC68" i="2"/>
  <c r="BY144" i="2"/>
  <c r="BY68" i="2"/>
  <c r="BU138" i="2"/>
  <c r="BU106" i="2"/>
  <c r="BU62" i="2"/>
  <c r="DV140" i="2"/>
  <c r="DV138" i="2"/>
  <c r="DV62" i="2"/>
  <c r="DG140" i="2"/>
  <c r="DG138" i="2"/>
  <c r="DG106" i="2"/>
  <c r="DG62" i="2"/>
  <c r="CM144" i="2"/>
  <c r="CM68" i="2"/>
  <c r="DX144" i="2"/>
  <c r="DX68" i="2"/>
  <c r="BR85" i="2"/>
  <c r="DU315" i="2"/>
  <c r="DU322" i="2"/>
  <c r="DU211" i="2"/>
  <c r="DU210" i="2" s="1"/>
  <c r="DI315" i="2"/>
  <c r="DI322" i="2"/>
  <c r="DI211" i="2"/>
  <c r="DI210" i="2" s="1"/>
  <c r="EC95" i="2"/>
  <c r="BV293" i="2"/>
  <c r="BV294" i="2"/>
  <c r="BV93" i="2"/>
  <c r="BV34" i="2"/>
  <c r="AN294" i="2"/>
  <c r="AN293" i="2"/>
  <c r="AN93" i="2"/>
  <c r="AN34" i="2"/>
  <c r="CX32" i="2"/>
  <c r="CX86" i="2"/>
  <c r="CH32" i="2"/>
  <c r="CH86" i="2"/>
  <c r="EJ204" i="2"/>
  <c r="EK30" i="2"/>
  <c r="DL86" i="2"/>
  <c r="DL32" i="2"/>
  <c r="CB354" i="2"/>
  <c r="AS85" i="2"/>
  <c r="AS90" i="2"/>
  <c r="AO354" i="2"/>
  <c r="J85" i="2"/>
  <c r="EG28" i="2"/>
  <c r="EG90" i="2" s="1"/>
  <c r="EH14" i="2"/>
  <c r="DY131" i="2"/>
  <c r="DY132" i="2"/>
  <c r="DY133" i="2" s="1"/>
  <c r="DN130" i="2"/>
  <c r="DN127" i="2"/>
  <c r="DN134" i="2" s="1"/>
  <c r="DO140" i="2"/>
  <c r="DO138" i="2"/>
  <c r="DO62" i="2"/>
  <c r="CU173" i="2"/>
  <c r="CU74" i="2"/>
  <c r="CE140" i="2"/>
  <c r="CE138" i="2"/>
  <c r="CE106" i="2"/>
  <c r="CE62" i="2"/>
  <c r="BS138" i="2"/>
  <c r="BS106" i="2"/>
  <c r="BS62" i="2"/>
  <c r="H284" i="2"/>
  <c r="H283" i="2"/>
  <c r="H373" i="2"/>
  <c r="DD131" i="2"/>
  <c r="DD132" i="2"/>
  <c r="DD133" i="2" s="1"/>
  <c r="ED91" i="2"/>
  <c r="DO81" i="2"/>
  <c r="AS86" i="2"/>
  <c r="AS32" i="2"/>
  <c r="BQ294" i="2"/>
  <c r="BQ293" i="2"/>
  <c r="BQ93" i="2"/>
  <c r="BQ34" i="2"/>
  <c r="AX293" i="2"/>
  <c r="AX294" i="2"/>
  <c r="AX93" i="2"/>
  <c r="AX34" i="2"/>
  <c r="EF201" i="2"/>
  <c r="EE159" i="2"/>
  <c r="CS86" i="2"/>
  <c r="CS32" i="2"/>
  <c r="M294" i="2"/>
  <c r="M293" i="2"/>
  <c r="M93" i="2"/>
  <c r="M34" i="2"/>
  <c r="DO32" i="2"/>
  <c r="DO86" i="2"/>
  <c r="DS354" i="2"/>
  <c r="DS309" i="2"/>
  <c r="DS303" i="2"/>
  <c r="DS302" i="2"/>
  <c r="DS308" i="2"/>
  <c r="DS92" i="2"/>
  <c r="DS81" i="2"/>
  <c r="DS29" i="2"/>
  <c r="DG354" i="2"/>
  <c r="CI354" i="2"/>
  <c r="EB189" i="2"/>
  <c r="EB196" i="2" s="1"/>
  <c r="EB192" i="2"/>
  <c r="DX86" i="2"/>
  <c r="DX32" i="2"/>
  <c r="DX354" i="2"/>
  <c r="BB350" i="2"/>
  <c r="BB351" i="2" s="1"/>
  <c r="BB295" i="2"/>
  <c r="BB96" i="2"/>
  <c r="BB38" i="2"/>
  <c r="BB40" i="2" s="1"/>
  <c r="BB42" i="2" s="1"/>
  <c r="AL350" i="2"/>
  <c r="AL351" i="2" s="1"/>
  <c r="AL295" i="2"/>
  <c r="AL96" i="2"/>
  <c r="AL38" i="2"/>
  <c r="AK294" i="2"/>
  <c r="AK293" i="2"/>
  <c r="AK93" i="2"/>
  <c r="AK34" i="2"/>
  <c r="DT81" i="2"/>
  <c r="CO294" i="2"/>
  <c r="CO293" i="2"/>
  <c r="CO93" i="2"/>
  <c r="CO34" i="2"/>
  <c r="EH112" i="2" l="1"/>
  <c r="EH113" i="2"/>
  <c r="EJ150" i="2"/>
  <c r="EK108" i="2"/>
  <c r="EI145" i="2"/>
  <c r="EJ140" i="2"/>
  <c r="EJ138" i="2"/>
  <c r="EG65" i="2"/>
  <c r="EG112" i="2"/>
  <c r="BJ286" i="2"/>
  <c r="BJ287" i="2"/>
  <c r="H359" i="2"/>
  <c r="I305" i="2"/>
  <c r="I304" i="2"/>
  <c r="G318" i="2"/>
  <c r="G317" i="2"/>
  <c r="G296" i="2" s="1"/>
  <c r="O318" i="2"/>
  <c r="DG279" i="2"/>
  <c r="DG299" i="2"/>
  <c r="DG301" i="2"/>
  <c r="DW361" i="2"/>
  <c r="BU286" i="2"/>
  <c r="BU287" i="2"/>
  <c r="DU193" i="2"/>
  <c r="DU194" i="2"/>
  <c r="DU195" i="2" s="1"/>
  <c r="G294" i="2"/>
  <c r="BT345" i="2"/>
  <c r="G301" i="2"/>
  <c r="G299" i="2"/>
  <c r="G262" i="2"/>
  <c r="DW132" i="2"/>
  <c r="DW133" i="2" s="1"/>
  <c r="DW131" i="2"/>
  <c r="EB193" i="2"/>
  <c r="EB194" i="2"/>
  <c r="EB195" i="2" s="1"/>
  <c r="DS86" i="2"/>
  <c r="DS32" i="2"/>
  <c r="BW350" i="2"/>
  <c r="BW351" i="2" s="1"/>
  <c r="BW295" i="2"/>
  <c r="BW38" i="2"/>
  <c r="BW96" i="2"/>
  <c r="AS146" i="2"/>
  <c r="EB307" i="2"/>
  <c r="EB305" i="2"/>
  <c r="EB174" i="2"/>
  <c r="EB145" i="2"/>
  <c r="EB108" i="2"/>
  <c r="F301" i="2"/>
  <c r="F299" i="2"/>
  <c r="F262" i="2"/>
  <c r="DS132" i="2"/>
  <c r="DS133" i="2" s="1"/>
  <c r="DS131" i="2"/>
  <c r="AW294" i="2"/>
  <c r="AW293" i="2"/>
  <c r="AW93" i="2"/>
  <c r="AW34" i="2"/>
  <c r="AY290" i="2"/>
  <c r="AZ290" i="2"/>
  <c r="AW290" i="2"/>
  <c r="BP146" i="2"/>
  <c r="BP68" i="2"/>
  <c r="EI144" i="2"/>
  <c r="EI143" i="2"/>
  <c r="DD310" i="2"/>
  <c r="DE219" i="2"/>
  <c r="DE310" i="2" s="1"/>
  <c r="BM286" i="2"/>
  <c r="BM287" i="2"/>
  <c r="CZ361" i="2"/>
  <c r="AV288" i="2"/>
  <c r="AV290" i="2"/>
  <c r="AV287" i="2"/>
  <c r="BE318" i="2"/>
  <c r="BE317" i="2"/>
  <c r="BE296" i="2" s="1"/>
  <c r="DS287" i="2"/>
  <c r="DS288" i="2"/>
  <c r="CD286" i="2"/>
  <c r="CD287" i="2"/>
  <c r="CL45" i="2"/>
  <c r="CL39" i="2"/>
  <c r="CL49" i="2"/>
  <c r="EG78" i="2"/>
  <c r="EI171" i="2"/>
  <c r="EI173" i="2" s="1"/>
  <c r="EI176" i="2" s="1"/>
  <c r="AU361" i="2"/>
  <c r="BB98" i="2"/>
  <c r="BE39" i="2"/>
  <c r="N85" i="2"/>
  <c r="N28" i="2"/>
  <c r="N90" i="2" s="1"/>
  <c r="DB293" i="2"/>
  <c r="DB294" i="2"/>
  <c r="DB93" i="2"/>
  <c r="DB34" i="2"/>
  <c r="CH171" i="2"/>
  <c r="DY86" i="2"/>
  <c r="DY32" i="2"/>
  <c r="CI294" i="2"/>
  <c r="CI293" i="2"/>
  <c r="CI93" i="2"/>
  <c r="CI34" i="2"/>
  <c r="CL290" i="2"/>
  <c r="I343" i="2"/>
  <c r="I349" i="2"/>
  <c r="I344" i="2"/>
  <c r="I342" i="2"/>
  <c r="I371" i="2"/>
  <c r="CB294" i="2"/>
  <c r="CB293" i="2"/>
  <c r="CB93" i="2"/>
  <c r="CB34" i="2"/>
  <c r="CE290" i="2"/>
  <c r="BE294" i="2"/>
  <c r="BE293" i="2"/>
  <c r="BE93" i="2"/>
  <c r="BE34" i="2"/>
  <c r="BE290" i="2"/>
  <c r="BF290" i="2"/>
  <c r="BG290" i="2"/>
  <c r="BH290" i="2"/>
  <c r="EF314" i="2"/>
  <c r="EF218" i="2"/>
  <c r="M219" i="2"/>
  <c r="M310" i="2" s="1"/>
  <c r="DV359" i="2"/>
  <c r="DW354" i="2"/>
  <c r="BZ290" i="2"/>
  <c r="AS316" i="2"/>
  <c r="AS233" i="2"/>
  <c r="AS244" i="2" s="1"/>
  <c r="AS246" i="2" s="1"/>
  <c r="AS247" i="2" s="1"/>
  <c r="BI316" i="2"/>
  <c r="BI233" i="2"/>
  <c r="BI244" i="2" s="1"/>
  <c r="BI246" i="2" s="1"/>
  <c r="BI247" i="2" s="1"/>
  <c r="BY316" i="2"/>
  <c r="BY233" i="2"/>
  <c r="BY244" i="2" s="1"/>
  <c r="BY246" i="2" s="1"/>
  <c r="BY247" i="2" s="1"/>
  <c r="CO316" i="2"/>
  <c r="CO233" i="2"/>
  <c r="CO244" i="2" s="1"/>
  <c r="CO246" i="2" s="1"/>
  <c r="CO247" i="2" s="1"/>
  <c r="DD316" i="2"/>
  <c r="DD233" i="2"/>
  <c r="DD244" i="2" s="1"/>
  <c r="DD246" i="2" s="1"/>
  <c r="DD247" i="2" s="1"/>
  <c r="DE232" i="2"/>
  <c r="DI361" i="2"/>
  <c r="CC361" i="2"/>
  <c r="BZ45" i="2"/>
  <c r="BZ49" i="2"/>
  <c r="BZ39" i="2"/>
  <c r="CB171" i="2"/>
  <c r="CA171" i="2"/>
  <c r="V106" i="2"/>
  <c r="W144" i="2"/>
  <c r="Z173" i="2"/>
  <c r="BI286" i="2"/>
  <c r="BI287" i="2"/>
  <c r="CW279" i="2"/>
  <c r="CW301" i="2"/>
  <c r="CW299" i="2"/>
  <c r="E350" i="2"/>
  <c r="E351" i="2" s="1"/>
  <c r="E295" i="2"/>
  <c r="E96" i="2"/>
  <c r="E38" i="2"/>
  <c r="E40" i="2" s="1"/>
  <c r="E42" i="2" s="1"/>
  <c r="EG180" i="2"/>
  <c r="CP293" i="2"/>
  <c r="CP294" i="2"/>
  <c r="CP93" i="2"/>
  <c r="CP34" i="2"/>
  <c r="CR290" i="2"/>
  <c r="CS290" i="2"/>
  <c r="EH5" i="2"/>
  <c r="BH345" i="2"/>
  <c r="BI144" i="2"/>
  <c r="BI145" i="2" s="1"/>
  <c r="BH344" i="2"/>
  <c r="EI371" i="2"/>
  <c r="EJ273" i="2"/>
  <c r="AK318" i="2"/>
  <c r="AK317" i="2"/>
  <c r="AK296" i="2" s="1"/>
  <c r="CC318" i="2"/>
  <c r="CC317" i="2"/>
  <c r="CC296" i="2" s="1"/>
  <c r="DO287" i="2"/>
  <c r="DO288" i="2"/>
  <c r="AT98" i="2"/>
  <c r="AT40" i="2"/>
  <c r="AT42" i="2" s="1"/>
  <c r="BR98" i="2"/>
  <c r="BR40" i="2"/>
  <c r="BR42" i="2" s="1"/>
  <c r="I350" i="2"/>
  <c r="I351" i="2" s="1"/>
  <c r="I295" i="2"/>
  <c r="I96" i="2"/>
  <c r="I38" i="2"/>
  <c r="AR350" i="2"/>
  <c r="AR351" i="2" s="1"/>
  <c r="AR295" i="2"/>
  <c r="AR96" i="2"/>
  <c r="AR38" i="2"/>
  <c r="BM350" i="2"/>
  <c r="BM351" i="2" s="1"/>
  <c r="BM295" i="2"/>
  <c r="BM96" i="2"/>
  <c r="BM38" i="2"/>
  <c r="BP291" i="2"/>
  <c r="AZ345" i="2"/>
  <c r="BA144" i="2"/>
  <c r="BA145" i="2" s="1"/>
  <c r="AZ344" i="2"/>
  <c r="N192" i="2"/>
  <c r="DH293" i="2"/>
  <c r="DH294" i="2"/>
  <c r="DH93" i="2"/>
  <c r="DH34" i="2"/>
  <c r="AI295" i="2"/>
  <c r="AI38" i="2"/>
  <c r="AI96" i="2"/>
  <c r="AL291" i="2"/>
  <c r="EI179" i="2"/>
  <c r="EJ76" i="2"/>
  <c r="CD345" i="2"/>
  <c r="K294" i="2"/>
  <c r="AZ350" i="2"/>
  <c r="AZ351" i="2" s="1"/>
  <c r="AZ295" i="2"/>
  <c r="AZ96" i="2"/>
  <c r="AZ38" i="2"/>
  <c r="BS350" i="2"/>
  <c r="BS351" i="2" s="1"/>
  <c r="BS295" i="2"/>
  <c r="BS38" i="2"/>
  <c r="BS40" i="2" s="1"/>
  <c r="BS42" i="2" s="1"/>
  <c r="BS96" i="2"/>
  <c r="BU291" i="2"/>
  <c r="BV291" i="2"/>
  <c r="EA144" i="2"/>
  <c r="EA68" i="2"/>
  <c r="Z144" i="2"/>
  <c r="CJ294" i="2"/>
  <c r="CJ293" i="2"/>
  <c r="CJ93" i="2"/>
  <c r="CJ34" i="2"/>
  <c r="CM290" i="2"/>
  <c r="EG66" i="2"/>
  <c r="BV345" i="2"/>
  <c r="EC244" i="2"/>
  <c r="EC246" i="2" s="1"/>
  <c r="EC247" i="2" s="1"/>
  <c r="DG361" i="2"/>
  <c r="DM318" i="2"/>
  <c r="DM317" i="2"/>
  <c r="DM296" i="2" s="1"/>
  <c r="BH361" i="2"/>
  <c r="E317" i="2"/>
  <c r="E296" i="2" s="1"/>
  <c r="E318" i="2"/>
  <c r="BP318" i="2"/>
  <c r="BP317" i="2"/>
  <c r="BP296" i="2" s="1"/>
  <c r="AO361" i="2"/>
  <c r="BJ37" i="2"/>
  <c r="BJ39" i="2"/>
  <c r="ED86" i="2"/>
  <c r="ED32" i="2"/>
  <c r="DH318" i="2"/>
  <c r="DH317" i="2"/>
  <c r="DH296" i="2" s="1"/>
  <c r="DW280" i="2"/>
  <c r="EI14" i="2"/>
  <c r="EH28" i="2"/>
  <c r="EH90" i="2" s="1"/>
  <c r="AN350" i="2"/>
  <c r="AN351" i="2" s="1"/>
  <c r="AN295" i="2"/>
  <c r="AN96" i="2"/>
  <c r="AN38" i="2"/>
  <c r="BV350" i="2"/>
  <c r="BV351" i="2" s="1"/>
  <c r="BV295" i="2"/>
  <c r="BV96" i="2"/>
  <c r="BV38" i="2"/>
  <c r="BY291" i="2"/>
  <c r="DU86" i="2"/>
  <c r="DU32" i="2"/>
  <c r="G359" i="2"/>
  <c r="H354" i="2"/>
  <c r="EA132" i="2"/>
  <c r="EA133" i="2" s="1"/>
  <c r="EA131" i="2"/>
  <c r="CN294" i="2"/>
  <c r="CN293" i="2"/>
  <c r="CN93" i="2"/>
  <c r="CN34" i="2"/>
  <c r="CQ290" i="2"/>
  <c r="BP350" i="2"/>
  <c r="BP351" i="2" s="1"/>
  <c r="BP295" i="2"/>
  <c r="BP96" i="2"/>
  <c r="BP38" i="2"/>
  <c r="BP40" i="2" s="1"/>
  <c r="BP42" i="2" s="1"/>
  <c r="BS291" i="2"/>
  <c r="DX318" i="2"/>
  <c r="DX317" i="2"/>
  <c r="DX296" i="2" s="1"/>
  <c r="BN286" i="2"/>
  <c r="BN287" i="2"/>
  <c r="CL345" i="2"/>
  <c r="CL344" i="2"/>
  <c r="CY294" i="2"/>
  <c r="CY293" i="2"/>
  <c r="CY93" i="2"/>
  <c r="CY34" i="2"/>
  <c r="DB290" i="2"/>
  <c r="Y144" i="2"/>
  <c r="BK146" i="2"/>
  <c r="AP361" i="2"/>
  <c r="BF287" i="2"/>
  <c r="BF286" i="2"/>
  <c r="M39" i="2"/>
  <c r="EB131" i="2"/>
  <c r="EB132" i="2"/>
  <c r="EB133" i="2" s="1"/>
  <c r="DK294" i="2"/>
  <c r="DK293" i="2"/>
  <c r="DK93" i="2"/>
  <c r="DK34" i="2"/>
  <c r="N93" i="2"/>
  <c r="N34" i="2"/>
  <c r="AK295" i="2"/>
  <c r="AK96" i="2"/>
  <c r="AK38" i="2"/>
  <c r="AN291" i="2"/>
  <c r="DO294" i="2"/>
  <c r="DO293" i="2"/>
  <c r="DO93" i="2"/>
  <c r="DO34" i="2"/>
  <c r="EG201" i="2"/>
  <c r="EF159" i="2"/>
  <c r="EK204" i="2"/>
  <c r="EL30" i="2"/>
  <c r="AL355" i="2"/>
  <c r="AL352" i="2"/>
  <c r="BB355" i="2"/>
  <c r="BB352" i="2"/>
  <c r="M350" i="2"/>
  <c r="M351" i="2" s="1"/>
  <c r="M295" i="2"/>
  <c r="M96" i="2"/>
  <c r="CS294" i="2"/>
  <c r="CS293" i="2"/>
  <c r="CS93" i="2"/>
  <c r="CS34" i="2"/>
  <c r="AX350" i="2"/>
  <c r="AX351" i="2" s="1"/>
  <c r="AX295" i="2"/>
  <c r="AX96" i="2"/>
  <c r="AX38" i="2"/>
  <c r="BA291" i="2"/>
  <c r="BQ350" i="2"/>
  <c r="BQ351" i="2" s="1"/>
  <c r="BQ295" i="2"/>
  <c r="BQ96" i="2"/>
  <c r="BQ38" i="2"/>
  <c r="BT291" i="2"/>
  <c r="AS294" i="2"/>
  <c r="AS293" i="2"/>
  <c r="AS93" i="2"/>
  <c r="AS34" i="2"/>
  <c r="AV291" i="2" s="1"/>
  <c r="AT290" i="2"/>
  <c r="AU290" i="2"/>
  <c r="AS290" i="2"/>
  <c r="DL293" i="2"/>
  <c r="DL294" i="2"/>
  <c r="DL93" i="2"/>
  <c r="DL34" i="2"/>
  <c r="CX293" i="2"/>
  <c r="CX294" i="2"/>
  <c r="CX93" i="2"/>
  <c r="CX34" i="2"/>
  <c r="DA290" i="2"/>
  <c r="CZ290" i="2"/>
  <c r="O86" i="2"/>
  <c r="CU294" i="2"/>
  <c r="CU293" i="2"/>
  <c r="CU93" i="2"/>
  <c r="CU34" i="2"/>
  <c r="CX290" i="2"/>
  <c r="DT131" i="2"/>
  <c r="DT132" i="2"/>
  <c r="DT133" i="2" s="1"/>
  <c r="V173" i="2"/>
  <c r="DW294" i="2"/>
  <c r="DW293" i="2"/>
  <c r="DW93" i="2"/>
  <c r="DW34" i="2"/>
  <c r="AO294" i="2"/>
  <c r="AO293" i="2"/>
  <c r="AO93" i="2"/>
  <c r="AO34" i="2"/>
  <c r="AQ291" i="2" s="1"/>
  <c r="AR290" i="2"/>
  <c r="AO290" i="2"/>
  <c r="AP290" i="2"/>
  <c r="AQ290" i="2"/>
  <c r="BP345" i="2"/>
  <c r="BQ144" i="2"/>
  <c r="BQ145" i="2" s="1"/>
  <c r="BP344" i="2"/>
  <c r="EH256" i="2"/>
  <c r="W219" i="2"/>
  <c r="AX361" i="2"/>
  <c r="AX360" i="2"/>
  <c r="AM361" i="2"/>
  <c r="AO318" i="2"/>
  <c r="AO317" i="2"/>
  <c r="AO296" i="2" s="1"/>
  <c r="N318" i="2"/>
  <c r="N317" i="2"/>
  <c r="N296" i="2" s="1"/>
  <c r="DA318" i="2"/>
  <c r="DA317" i="2"/>
  <c r="DA296" i="2" s="1"/>
  <c r="DP318" i="2"/>
  <c r="DP317" i="2"/>
  <c r="DP296" i="2" s="1"/>
  <c r="DX361" i="2"/>
  <c r="DK290" i="2"/>
  <c r="DK287" i="2"/>
  <c r="DK288" i="2"/>
  <c r="BB287" i="2"/>
  <c r="BB286" i="2"/>
  <c r="EH336" i="2"/>
  <c r="EH334" i="2"/>
  <c r="L318" i="2"/>
  <c r="L317" i="2"/>
  <c r="L296" i="2" s="1"/>
  <c r="DY316" i="2"/>
  <c r="DY233" i="2"/>
  <c r="DY244" i="2" s="1"/>
  <c r="DY246" i="2" s="1"/>
  <c r="DY247" i="2" s="1"/>
  <c r="DG290" i="2"/>
  <c r="DG287" i="2"/>
  <c r="DG288" i="2"/>
  <c r="BS98" i="2"/>
  <c r="EL94" i="2"/>
  <c r="DA294" i="2"/>
  <c r="DA293" i="2"/>
  <c r="DA93" i="2"/>
  <c r="DA34" i="2"/>
  <c r="DD290" i="2"/>
  <c r="F350" i="2"/>
  <c r="F351" i="2" s="1"/>
  <c r="F295" i="2"/>
  <c r="F96" i="2"/>
  <c r="F38" i="2"/>
  <c r="EA294" i="2"/>
  <c r="EA293" i="2"/>
  <c r="EA93" i="2"/>
  <c r="EA34" i="2"/>
  <c r="J277" i="2"/>
  <c r="J275" i="2"/>
  <c r="J273" i="2"/>
  <c r="J271" i="2"/>
  <c r="J267" i="2"/>
  <c r="J265" i="2"/>
  <c r="J278" i="2"/>
  <c r="J276" i="2"/>
  <c r="J373" i="2" s="1"/>
  <c r="J274" i="2"/>
  <c r="J272" i="2"/>
  <c r="J270" i="2"/>
  <c r="J268" i="2"/>
  <c r="J266" i="2"/>
  <c r="J309" i="2" s="1"/>
  <c r="J261" i="2"/>
  <c r="J260" i="2"/>
  <c r="J259" i="2"/>
  <c r="J257" i="2"/>
  <c r="J308" i="2" s="1"/>
  <c r="J256" i="2"/>
  <c r="J255" i="2"/>
  <c r="J254" i="2"/>
  <c r="J253" i="2"/>
  <c r="J252" i="2"/>
  <c r="J251" i="2"/>
  <c r="K4" i="2"/>
  <c r="I269" i="2"/>
  <c r="I279" i="2" s="1"/>
  <c r="J306" i="2"/>
  <c r="J307" i="2" s="1"/>
  <c r="I306" i="2"/>
  <c r="I307" i="2" s="1"/>
  <c r="I348" i="2"/>
  <c r="I303" i="2"/>
  <c r="I300" i="2"/>
  <c r="I302" i="2"/>
  <c r="CM344" i="2"/>
  <c r="U106" i="2"/>
  <c r="W173" i="2"/>
  <c r="Y173" i="2"/>
  <c r="CN345" i="2"/>
  <c r="CN344" i="2"/>
  <c r="CG318" i="2"/>
  <c r="CG317" i="2"/>
  <c r="CG296" i="2" s="1"/>
  <c r="DV279" i="2"/>
  <c r="DV280" i="2" s="1"/>
  <c r="DV299" i="2"/>
  <c r="DV301" i="2"/>
  <c r="AX290" i="2"/>
  <c r="AR318" i="2"/>
  <c r="AR317" i="2"/>
  <c r="AR296" i="2" s="1"/>
  <c r="BH318" i="2"/>
  <c r="BH317" i="2"/>
  <c r="BH296" i="2" s="1"/>
  <c r="BX318" i="2"/>
  <c r="BX317" i="2"/>
  <c r="BX296" i="2" s="1"/>
  <c r="CN318" i="2"/>
  <c r="CN317" i="2"/>
  <c r="CN296" i="2" s="1"/>
  <c r="DC317" i="2"/>
  <c r="DC296" i="2" s="1"/>
  <c r="DC318" i="2"/>
  <c r="DJ290" i="2"/>
  <c r="DJ287" i="2"/>
  <c r="DJ288" i="2"/>
  <c r="DR287" i="2"/>
  <c r="DR288" i="2"/>
  <c r="AL342" i="2"/>
  <c r="AL343" i="2"/>
  <c r="CV293" i="2"/>
  <c r="CV294" i="2"/>
  <c r="CV93" i="2"/>
  <c r="CV34" i="2"/>
  <c r="CY290" i="2"/>
  <c r="BX350" i="2"/>
  <c r="BX351" i="2" s="1"/>
  <c r="BX295" i="2"/>
  <c r="BX96" i="2"/>
  <c r="BX38" i="2"/>
  <c r="CR345" i="2"/>
  <c r="CR344" i="2"/>
  <c r="CW318" i="2"/>
  <c r="CW317" i="2"/>
  <c r="CW296" i="2" s="1"/>
  <c r="CS318" i="2"/>
  <c r="CS317" i="2"/>
  <c r="CS296" i="2" s="1"/>
  <c r="CX300" i="2"/>
  <c r="CX269" i="2"/>
  <c r="CY267" i="2"/>
  <c r="CX349" i="2"/>
  <c r="AS361" i="2"/>
  <c r="DW287" i="2"/>
  <c r="DW288" i="2"/>
  <c r="M37" i="2"/>
  <c r="M38" i="2" s="1"/>
  <c r="M40" i="2" s="1"/>
  <c r="M42" i="2" s="1"/>
  <c r="EE209" i="2"/>
  <c r="EE188" i="2" s="1"/>
  <c r="EE207" i="2"/>
  <c r="EE126" i="2" s="1"/>
  <c r="EE208" i="2"/>
  <c r="EE160" i="2" s="1"/>
  <c r="EE210" i="2"/>
  <c r="DD293" i="2"/>
  <c r="DD294" i="2"/>
  <c r="DD93" i="2"/>
  <c r="DD34" i="2"/>
  <c r="BA294" i="2"/>
  <c r="BA293" i="2"/>
  <c r="BA93" i="2"/>
  <c r="BA34" i="2"/>
  <c r="BB290" i="2"/>
  <c r="BC290" i="2"/>
  <c r="BD290" i="2"/>
  <c r="BA290" i="2"/>
  <c r="BD350" i="2"/>
  <c r="BD351" i="2" s="1"/>
  <c r="BD295" i="2"/>
  <c r="BD96" i="2"/>
  <c r="BD38" i="2"/>
  <c r="BG291" i="2"/>
  <c r="DQ294" i="2"/>
  <c r="DQ293" i="2"/>
  <c r="DQ93" i="2"/>
  <c r="DQ34" i="2"/>
  <c r="AU350" i="2"/>
  <c r="AU351" i="2" s="1"/>
  <c r="AU360" i="2" s="1"/>
  <c r="AU295" i="2"/>
  <c r="AU96" i="2"/>
  <c r="AU38" i="2"/>
  <c r="AW291" i="2"/>
  <c r="AX291" i="2"/>
  <c r="BO350" i="2"/>
  <c r="BO351" i="2" s="1"/>
  <c r="BO295" i="2"/>
  <c r="BO38" i="2"/>
  <c r="BO40" i="2" s="1"/>
  <c r="BO42" i="2" s="1"/>
  <c r="BO96" i="2"/>
  <c r="BR291" i="2"/>
  <c r="BU131" i="2"/>
  <c r="BU132" i="2"/>
  <c r="BU133" i="2" s="1"/>
  <c r="EF187" i="2"/>
  <c r="EG202" i="2"/>
  <c r="AW318" i="2"/>
  <c r="AW317" i="2"/>
  <c r="AW296" i="2" s="1"/>
  <c r="BV286" i="2"/>
  <c r="BV287" i="2"/>
  <c r="BV344" i="2"/>
  <c r="CK294" i="2"/>
  <c r="CK293" i="2"/>
  <c r="CK93" i="2"/>
  <c r="CK34" i="2"/>
  <c r="CN290" i="2"/>
  <c r="H301" i="2"/>
  <c r="H299" i="2"/>
  <c r="H262" i="2"/>
  <c r="CF171" i="2"/>
  <c r="CD293" i="2"/>
  <c r="CD294" i="2"/>
  <c r="CD93" i="2"/>
  <c r="CD34" i="2"/>
  <c r="CG290" i="2"/>
  <c r="BI294" i="2"/>
  <c r="BI293" i="2"/>
  <c r="BI93" i="2"/>
  <c r="BI34" i="2"/>
  <c r="BL290" i="2"/>
  <c r="BK290" i="2"/>
  <c r="K350" i="2"/>
  <c r="K351" i="2" s="1"/>
  <c r="K295" i="2"/>
  <c r="K96" i="2"/>
  <c r="CA294" i="2"/>
  <c r="CA293" i="2"/>
  <c r="CA93" i="2"/>
  <c r="CA34" i="2"/>
  <c r="CD290" i="2"/>
  <c r="CJ171" i="2"/>
  <c r="CJ143" i="2"/>
  <c r="EA140" i="2"/>
  <c r="EA138" i="2"/>
  <c r="EA62" i="2"/>
  <c r="W106" i="2"/>
  <c r="H219" i="2"/>
  <c r="H310" i="2" s="1"/>
  <c r="CV288" i="2"/>
  <c r="CV290" i="2"/>
  <c r="CV287" i="2"/>
  <c r="DP288" i="2"/>
  <c r="DP287" i="2"/>
  <c r="EC348" i="2"/>
  <c r="ED255" i="2"/>
  <c r="EC258" i="2"/>
  <c r="EB361" i="2"/>
  <c r="DD361" i="2"/>
  <c r="EH373" i="2"/>
  <c r="EI276" i="2"/>
  <c r="AZ318" i="2"/>
  <c r="AZ317" i="2"/>
  <c r="AZ296" i="2" s="1"/>
  <c r="BQ287" i="2"/>
  <c r="BQ286" i="2"/>
  <c r="CI45" i="2"/>
  <c r="CI39" i="2"/>
  <c r="X316" i="2"/>
  <c r="X233" i="2"/>
  <c r="X244" i="2" s="1"/>
  <c r="X246" i="2" s="1"/>
  <c r="CO350" i="2"/>
  <c r="CO351" i="2" s="1"/>
  <c r="CO295" i="2"/>
  <c r="CO96" i="2"/>
  <c r="CO38" i="2"/>
  <c r="AL98" i="2"/>
  <c r="AL40" i="2"/>
  <c r="AL42" i="2" s="1"/>
  <c r="BB356" i="2"/>
  <c r="BB340" i="2"/>
  <c r="BB99" i="2"/>
  <c r="BB54" i="2"/>
  <c r="BB56" i="2" s="1"/>
  <c r="BB52" i="2"/>
  <c r="BB1" i="2" s="1"/>
  <c r="BB50" i="2"/>
  <c r="BQ318" i="2"/>
  <c r="BQ317" i="2"/>
  <c r="BQ296" i="2" s="1"/>
  <c r="DX288" i="2"/>
  <c r="DX290" i="2"/>
  <c r="DX287" i="2"/>
  <c r="BT287" i="2"/>
  <c r="BT286" i="2"/>
  <c r="CL293" i="2"/>
  <c r="CL294" i="2"/>
  <c r="CL93" i="2"/>
  <c r="CL34" i="2"/>
  <c r="CO290" i="2"/>
  <c r="AY350" i="2"/>
  <c r="AY351" i="2" s="1"/>
  <c r="AY295" i="2"/>
  <c r="AY38" i="2"/>
  <c r="AY96" i="2"/>
  <c r="BB291" i="2"/>
  <c r="DZ86" i="2"/>
  <c r="DZ32" i="2"/>
  <c r="AV350" i="2"/>
  <c r="AV351" i="2" s="1"/>
  <c r="AV295" i="2"/>
  <c r="AV96" i="2"/>
  <c r="AV38" i="2"/>
  <c r="AY291" i="2"/>
  <c r="EH178" i="2"/>
  <c r="EH77" i="2"/>
  <c r="EI75" i="2"/>
  <c r="BZ294" i="2"/>
  <c r="BZ293" i="2"/>
  <c r="BZ93" i="2"/>
  <c r="BZ34" i="2"/>
  <c r="CB290" i="2"/>
  <c r="CC290" i="2"/>
  <c r="BG361" i="2"/>
  <c r="CZ293" i="2"/>
  <c r="CZ294" i="2"/>
  <c r="CZ93" i="2"/>
  <c r="CZ34" i="2"/>
  <c r="DC290" i="2"/>
  <c r="BL350" i="2"/>
  <c r="BL351" i="2" s="1"/>
  <c r="BL295" i="2"/>
  <c r="BL96" i="2"/>
  <c r="BL38" i="2"/>
  <c r="BO291" i="2"/>
  <c r="DV290" i="2"/>
  <c r="DV287" i="2"/>
  <c r="DV288" i="2"/>
  <c r="BB361" i="2"/>
  <c r="BB360" i="2"/>
  <c r="AN361" i="2"/>
  <c r="AN360" i="2"/>
  <c r="DF290" i="2"/>
  <c r="DF287" i="2"/>
  <c r="DF288" i="2"/>
  <c r="DN287" i="2"/>
  <c r="DN288" i="2"/>
  <c r="AJ318" i="2"/>
  <c r="AJ317" i="2"/>
  <c r="AJ296" i="2" s="1"/>
  <c r="M317" i="2"/>
  <c r="M296" i="2" s="1"/>
  <c r="M318" i="2"/>
  <c r="CV318" i="2"/>
  <c r="CV317" i="2"/>
  <c r="CV296" i="2" s="1"/>
  <c r="BF361" i="2"/>
  <c r="BF360" i="2"/>
  <c r="CH45" i="2"/>
  <c r="CH39" i="2"/>
  <c r="X106" i="2"/>
  <c r="CG310" i="2"/>
  <c r="Q219" i="2"/>
  <c r="CL361" i="2"/>
  <c r="DL361" i="2"/>
  <c r="J318" i="2"/>
  <c r="J317" i="2"/>
  <c r="J296" i="2" s="1"/>
  <c r="CK318" i="2"/>
  <c r="CK317" i="2"/>
  <c r="CK296" i="2" s="1"/>
  <c r="DY348" i="2"/>
  <c r="DY258" i="2"/>
  <c r="CU290" i="2"/>
  <c r="CU287" i="2"/>
  <c r="CU288" i="2"/>
  <c r="CR293" i="2"/>
  <c r="CR294" i="2"/>
  <c r="CR93" i="2"/>
  <c r="CR34" i="2"/>
  <c r="BT350" i="2"/>
  <c r="BT351" i="2" s="1"/>
  <c r="BT295" i="2"/>
  <c r="BT96" i="2"/>
  <c r="BT38" i="2"/>
  <c r="BW291" i="2"/>
  <c r="DH288" i="2"/>
  <c r="DH290" i="2"/>
  <c r="DH287" i="2"/>
  <c r="K318" i="2"/>
  <c r="K317" i="2"/>
  <c r="K296" i="2" s="1"/>
  <c r="AW361" i="2"/>
  <c r="CP345" i="2"/>
  <c r="CP344" i="2"/>
  <c r="DN86" i="2"/>
  <c r="DN32" i="2"/>
  <c r="BG350" i="2"/>
  <c r="BG351" i="2" s="1"/>
  <c r="BG295" i="2"/>
  <c r="BG96" i="2"/>
  <c r="BG38" i="2"/>
  <c r="BJ291" i="2"/>
  <c r="J294" i="2"/>
  <c r="DX132" i="2"/>
  <c r="DX133" i="2" s="1"/>
  <c r="DX131" i="2"/>
  <c r="EA173" i="2"/>
  <c r="EA74" i="2"/>
  <c r="G286" i="2"/>
  <c r="G285" i="2"/>
  <c r="H97" i="2"/>
  <c r="DX293" i="2"/>
  <c r="DX294" i="2"/>
  <c r="DX93" i="2"/>
  <c r="DX34" i="2"/>
  <c r="H286" i="2"/>
  <c r="H285" i="2"/>
  <c r="DN132" i="2"/>
  <c r="DN133" i="2" s="1"/>
  <c r="DN131" i="2"/>
  <c r="CH293" i="2"/>
  <c r="CH294" i="2"/>
  <c r="CH93" i="2"/>
  <c r="CH34" i="2"/>
  <c r="CK290" i="2"/>
  <c r="CJ290" i="2"/>
  <c r="DM86" i="2"/>
  <c r="DM32" i="2"/>
  <c r="DE294" i="2"/>
  <c r="DE293" i="2"/>
  <c r="DE93" i="2"/>
  <c r="DE34" i="2"/>
  <c r="CE294" i="2"/>
  <c r="CE293" i="2"/>
  <c r="CE93" i="2"/>
  <c r="CE34" i="2"/>
  <c r="CH290" i="2"/>
  <c r="AJ295" i="2"/>
  <c r="AJ96" i="2"/>
  <c r="AJ38" i="2"/>
  <c r="AM291" i="2"/>
  <c r="BF350" i="2"/>
  <c r="BF351" i="2" s="1"/>
  <c r="BF295" i="2"/>
  <c r="BF96" i="2"/>
  <c r="BF38" i="2"/>
  <c r="BI291" i="2"/>
  <c r="CI345" i="2"/>
  <c r="CI344" i="2"/>
  <c r="EC281" i="2"/>
  <c r="EC249" i="2"/>
  <c r="EC214" i="2"/>
  <c r="ED7" i="2"/>
  <c r="EC9" i="2"/>
  <c r="EC3" i="2"/>
  <c r="EC4" i="2"/>
  <c r="EC60" i="2"/>
  <c r="U144" i="2"/>
  <c r="X173" i="2"/>
  <c r="DV86" i="2"/>
  <c r="DV32" i="2"/>
  <c r="DJ293" i="2"/>
  <c r="DJ294" i="2"/>
  <c r="DJ93" i="2"/>
  <c r="DJ34" i="2"/>
  <c r="AQ350" i="2"/>
  <c r="AQ351" i="2" s="1"/>
  <c r="AQ295" i="2"/>
  <c r="AQ96" i="2"/>
  <c r="AQ38" i="2"/>
  <c r="AT291" i="2"/>
  <c r="EH144" i="2"/>
  <c r="CF345" i="2"/>
  <c r="CF344" i="2"/>
  <c r="EG200" i="2"/>
  <c r="EF125" i="2"/>
  <c r="DA361" i="2"/>
  <c r="DL291" i="2"/>
  <c r="DL288" i="2"/>
  <c r="DL290" i="2"/>
  <c r="DL287" i="2"/>
  <c r="BC361" i="2"/>
  <c r="BC360" i="2"/>
  <c r="BT344" i="2"/>
  <c r="E291" i="2"/>
  <c r="E290" i="2"/>
  <c r="E288" i="2"/>
  <c r="E287" i="2"/>
  <c r="F318" i="2"/>
  <c r="F317" i="2"/>
  <c r="F296" i="2" s="1"/>
  <c r="BU318" i="2"/>
  <c r="BU317" i="2"/>
  <c r="BU296" i="2" s="1"/>
  <c r="DQ316" i="2"/>
  <c r="DQ233" i="2"/>
  <c r="DQ244" i="2" s="1"/>
  <c r="DQ246" i="2" s="1"/>
  <c r="DQ247" i="2" s="1"/>
  <c r="DX262" i="2"/>
  <c r="BA361" i="2"/>
  <c r="BR286" i="2"/>
  <c r="BR287" i="2"/>
  <c r="CV330" i="2"/>
  <c r="CU321" i="2"/>
  <c r="CU329" i="2"/>
  <c r="CU320" i="2" s="1"/>
  <c r="CM45" i="2"/>
  <c r="CM39" i="2"/>
  <c r="CM49" i="2"/>
  <c r="EI284" i="2"/>
  <c r="EJ36" i="2" s="1"/>
  <c r="EJ268" i="2"/>
  <c r="EH173" i="2"/>
  <c r="EH176" i="2" s="1"/>
  <c r="BM318" i="2"/>
  <c r="BM317" i="2"/>
  <c r="BM296" i="2" s="1"/>
  <c r="BE286" i="2"/>
  <c r="BE287" i="2"/>
  <c r="BE37" i="2"/>
  <c r="J37" i="2" s="1"/>
  <c r="J38" i="2" s="1"/>
  <c r="AH295" i="2"/>
  <c r="AH96" i="2"/>
  <c r="AH38" i="2"/>
  <c r="AK291" i="2"/>
  <c r="BC350" i="2"/>
  <c r="BC351" i="2" s="1"/>
  <c r="BC295" i="2"/>
  <c r="BC38" i="2"/>
  <c r="BC96" i="2"/>
  <c r="BF291" i="2"/>
  <c r="BE291" i="2"/>
  <c r="BU350" i="2"/>
  <c r="BU351" i="2" s="1"/>
  <c r="BU295" i="2"/>
  <c r="BU96" i="2"/>
  <c r="BU38" i="2"/>
  <c r="BX291" i="2"/>
  <c r="DP293" i="2"/>
  <c r="DP294" i="2"/>
  <c r="DP93" i="2"/>
  <c r="DP34" i="2"/>
  <c r="BZ345" i="2"/>
  <c r="BZ344" i="2"/>
  <c r="DY354" i="2"/>
  <c r="DI294" i="2"/>
  <c r="DI293" i="2"/>
  <c r="DI93" i="2"/>
  <c r="DI34" i="2"/>
  <c r="DK291" i="2" s="1"/>
  <c r="AP350" i="2"/>
  <c r="AP351" i="2" s="1"/>
  <c r="AP360" i="2" s="1"/>
  <c r="AP295" i="2"/>
  <c r="AP96" i="2"/>
  <c r="AP38" i="2"/>
  <c r="AS291" i="2"/>
  <c r="BK350" i="2"/>
  <c r="BK351" i="2" s="1"/>
  <c r="BK295" i="2"/>
  <c r="BK96" i="2"/>
  <c r="BM291" i="2"/>
  <c r="BN291" i="2"/>
  <c r="I284" i="2"/>
  <c r="I97" i="2" s="1"/>
  <c r="I283" i="2"/>
  <c r="I258" i="2"/>
  <c r="I345" i="2"/>
  <c r="I322" i="2"/>
  <c r="J94" i="2"/>
  <c r="I332" i="2"/>
  <c r="CB143" i="2"/>
  <c r="CH143" i="2"/>
  <c r="V144" i="2"/>
  <c r="F286" i="2"/>
  <c r="F285" i="2"/>
  <c r="G97" i="2"/>
  <c r="H350" i="2"/>
  <c r="H351" i="2" s="1"/>
  <c r="H295" i="2"/>
  <c r="H96" i="2"/>
  <c r="H38" i="2"/>
  <c r="DY345" i="2"/>
  <c r="DZ143" i="2"/>
  <c r="DY344" i="2"/>
  <c r="AT361" i="2"/>
  <c r="AT360" i="2"/>
  <c r="EA361" i="2"/>
  <c r="AY361" i="2"/>
  <c r="AY360" i="2"/>
  <c r="BD286" i="2"/>
  <c r="BD287" i="2"/>
  <c r="AV361" i="2"/>
  <c r="AV360" i="2"/>
  <c r="CQ344" i="2"/>
  <c r="DU318" i="2"/>
  <c r="DU317" i="2"/>
  <c r="DU296" i="2" s="1"/>
  <c r="CK361" i="2"/>
  <c r="BF37" i="2"/>
  <c r="BF39" i="2"/>
  <c r="CA45" i="2"/>
  <c r="CA49" i="2"/>
  <c r="CA39" i="2"/>
  <c r="F359" i="2"/>
  <c r="G354" i="2"/>
  <c r="L350" i="2"/>
  <c r="L351" i="2" s="1"/>
  <c r="L295" i="2"/>
  <c r="L96" i="2"/>
  <c r="CF293" i="2"/>
  <c r="CF294" i="2"/>
  <c r="CF93" i="2"/>
  <c r="CF34" i="2"/>
  <c r="CI290" i="2"/>
  <c r="DC294" i="2"/>
  <c r="DC293" i="2"/>
  <c r="DC34" i="2"/>
  <c r="DC93" i="2"/>
  <c r="BK345" i="2"/>
  <c r="BL144" i="2"/>
  <c r="BL145" i="2" s="1"/>
  <c r="BL143" i="2"/>
  <c r="BK344" i="2"/>
  <c r="CG350" i="2"/>
  <c r="CG351" i="2" s="1"/>
  <c r="CG295" i="2"/>
  <c r="CG96" i="2"/>
  <c r="CG38" i="2"/>
  <c r="CW350" i="2"/>
  <c r="CW351" i="2" s="1"/>
  <c r="CW295" i="2"/>
  <c r="CW96" i="2"/>
  <c r="CW38" i="2"/>
  <c r="CZ291" i="2"/>
  <c r="DT293" i="2"/>
  <c r="DT294" i="2"/>
  <c r="DT93" i="2"/>
  <c r="DT34" i="2"/>
  <c r="EK97" i="2"/>
  <c r="DG294" i="2"/>
  <c r="DG293" i="2"/>
  <c r="DG93" i="2"/>
  <c r="DG34" i="2"/>
  <c r="CC294" i="2"/>
  <c r="CC293" i="2"/>
  <c r="CC93" i="2"/>
  <c r="CC34" i="2"/>
  <c r="CF290" i="2"/>
  <c r="AM350" i="2"/>
  <c r="AM351" i="2" s="1"/>
  <c r="AM295" i="2"/>
  <c r="AM96" i="2"/>
  <c r="AM38" i="2"/>
  <c r="AO291" i="2"/>
  <c r="AP291" i="2"/>
  <c r="BH350" i="2"/>
  <c r="BH351" i="2" s="1"/>
  <c r="BH360" i="2" s="1"/>
  <c r="BH295" i="2"/>
  <c r="BH96" i="2"/>
  <c r="BH38" i="2"/>
  <c r="BH40" i="2" s="1"/>
  <c r="BH42" i="2" s="1"/>
  <c r="BK291" i="2"/>
  <c r="BY350" i="2"/>
  <c r="BY351" i="2" s="1"/>
  <c r="BY295" i="2"/>
  <c r="BY96" i="2"/>
  <c r="BY38" i="2"/>
  <c r="J350" i="2"/>
  <c r="J351" i="2" s="1"/>
  <c r="J295" i="2"/>
  <c r="J96" i="2"/>
  <c r="EH31" i="2"/>
  <c r="EC86" i="2"/>
  <c r="EC32" i="2"/>
  <c r="G350" i="2"/>
  <c r="G351" i="2" s="1"/>
  <c r="G295" i="2"/>
  <c r="G96" i="2"/>
  <c r="G38" i="2"/>
  <c r="CM294" i="2"/>
  <c r="CM293" i="2"/>
  <c r="CM34" i="2"/>
  <c r="CM93" i="2"/>
  <c r="CP290" i="2"/>
  <c r="EF238" i="2"/>
  <c r="EG55" i="2"/>
  <c r="BH144" i="2"/>
  <c r="BH145" i="2" s="1"/>
  <c r="EI259" i="2"/>
  <c r="EH236" i="2"/>
  <c r="DT288" i="2"/>
  <c r="DT287" i="2"/>
  <c r="H318" i="2"/>
  <c r="H317" i="2"/>
  <c r="H296" i="2" s="1"/>
  <c r="AT355" i="2"/>
  <c r="AT352" i="2"/>
  <c r="BJ355" i="2"/>
  <c r="BJ352" i="2"/>
  <c r="BR355" i="2"/>
  <c r="BR352" i="2"/>
  <c r="EJ203" i="2"/>
  <c r="EK203" i="2" s="1"/>
  <c r="E98" i="2"/>
  <c r="AZ144" i="2"/>
  <c r="AZ145" i="2" s="1"/>
  <c r="BS143" i="2"/>
  <c r="DT193" i="2"/>
  <c r="DT194" i="2"/>
  <c r="DT195" i="2" s="1"/>
  <c r="EB86" i="2"/>
  <c r="EB32" i="2"/>
  <c r="EB303" i="2"/>
  <c r="CT293" i="2"/>
  <c r="CT294" i="2"/>
  <c r="CT93" i="2"/>
  <c r="CT34" i="2"/>
  <c r="CV291" i="2" s="1"/>
  <c r="CW290" i="2"/>
  <c r="BN350" i="2"/>
  <c r="BN351" i="2" s="1"/>
  <c r="BN295" i="2"/>
  <c r="BN96" i="2"/>
  <c r="BN38" i="2"/>
  <c r="BQ291" i="2"/>
  <c r="CQ294" i="2"/>
  <c r="CQ293" i="2"/>
  <c r="CQ93" i="2"/>
  <c r="CQ34" i="2"/>
  <c r="CT290" i="2"/>
  <c r="CA143" i="2"/>
  <c r="AC3" i="2"/>
  <c r="BW171" i="2"/>
  <c r="CE171" i="2"/>
  <c r="U173" i="2"/>
  <c r="DR86" i="2"/>
  <c r="DR32" i="2"/>
  <c r="DT290" i="2" s="1"/>
  <c r="CY90" i="2"/>
  <c r="DF293" i="2"/>
  <c r="DF294" i="2"/>
  <c r="DF93" i="2"/>
  <c r="DF34" i="2"/>
  <c r="EH104" i="2"/>
  <c r="EH106" i="2" s="1"/>
  <c r="EH110" i="2" s="1"/>
  <c r="BW345" i="2"/>
  <c r="EJ272" i="2"/>
  <c r="EI230" i="2"/>
  <c r="BE310" i="2"/>
  <c r="J219" i="2"/>
  <c r="J310" i="2" s="1"/>
  <c r="I219" i="2"/>
  <c r="I310" i="2" s="1"/>
  <c r="BA316" i="2"/>
  <c r="BA233" i="2"/>
  <c r="BA244" i="2" s="1"/>
  <c r="BA246" i="2" s="1"/>
  <c r="BA247" i="2" s="1"/>
  <c r="EB262" i="2"/>
  <c r="AQ361" i="2"/>
  <c r="AQ360" i="2"/>
  <c r="I232" i="2"/>
  <c r="CF318" i="2"/>
  <c r="CF317" i="2"/>
  <c r="CF296" i="2" s="1"/>
  <c r="DB361" i="2"/>
  <c r="BK39" i="2"/>
  <c r="BK37" i="2"/>
  <c r="BK38" i="2" s="1"/>
  <c r="BK40" i="2" s="1"/>
  <c r="BK42" i="2" s="1"/>
  <c r="DI316" i="2"/>
  <c r="DI233" i="2"/>
  <c r="DI244" i="2" s="1"/>
  <c r="DI246" i="2" s="1"/>
  <c r="DI247" i="2" s="1"/>
  <c r="DE290" i="2"/>
  <c r="DX269" i="2"/>
  <c r="DX279" i="2" s="1"/>
  <c r="DX280" i="2" s="1"/>
  <c r="DY267" i="2"/>
  <c r="DX349" i="2"/>
  <c r="CE45" i="2"/>
  <c r="CE39" i="2"/>
  <c r="CE49" i="2"/>
  <c r="J311" i="2" l="1"/>
  <c r="EJ112" i="2"/>
  <c r="EF112" i="2"/>
  <c r="EF65" i="2"/>
  <c r="EH65" i="2"/>
  <c r="EJ145" i="2"/>
  <c r="EG114" i="2"/>
  <c r="EL108" i="2"/>
  <c r="EH114" i="2"/>
  <c r="EI149" i="2"/>
  <c r="EI71" i="2"/>
  <c r="EK140" i="2"/>
  <c r="EK138" i="2"/>
  <c r="EK150" i="2"/>
  <c r="BK356" i="2"/>
  <c r="BK340" i="2"/>
  <c r="BK99" i="2"/>
  <c r="BK50" i="2"/>
  <c r="BK54" i="2"/>
  <c r="BK56" i="2" s="1"/>
  <c r="BK52" i="2"/>
  <c r="BK1" i="2" s="1"/>
  <c r="M340" i="2"/>
  <c r="M99" i="2"/>
  <c r="M50" i="2"/>
  <c r="M54" i="2"/>
  <c r="M56" i="2" s="1"/>
  <c r="M52" i="2"/>
  <c r="M1" i="2" s="1"/>
  <c r="EI78" i="2"/>
  <c r="BK98" i="2"/>
  <c r="BA318" i="2"/>
  <c r="BA317" i="2"/>
  <c r="BA296" i="2" s="1"/>
  <c r="DF350" i="2"/>
  <c r="DF351" i="2" s="1"/>
  <c r="DF295" i="2"/>
  <c r="DF96" i="2"/>
  <c r="DF38" i="2"/>
  <c r="DI291" i="2"/>
  <c r="EB293" i="2"/>
  <c r="EB294" i="2"/>
  <c r="EB93" i="2"/>
  <c r="EB34" i="2"/>
  <c r="BS345" i="2"/>
  <c r="BS344" i="2"/>
  <c r="EG238" i="2"/>
  <c r="EG372" i="2" s="1"/>
  <c r="EH55" i="2"/>
  <c r="CM350" i="2"/>
  <c r="CM351" i="2" s="1"/>
  <c r="CM295" i="2"/>
  <c r="CM38" i="2"/>
  <c r="CM40" i="2" s="1"/>
  <c r="CM42" i="2" s="1"/>
  <c r="CM96" i="2"/>
  <c r="CP291" i="2"/>
  <c r="EC294" i="2"/>
  <c r="EC293" i="2"/>
  <c r="EC93" i="2"/>
  <c r="EC34" i="2"/>
  <c r="BH356" i="2"/>
  <c r="BH340" i="2"/>
  <c r="BH52" i="2"/>
  <c r="BH1" i="2" s="1"/>
  <c r="BH99" i="2"/>
  <c r="BH54" i="2"/>
  <c r="BH56" i="2" s="1"/>
  <c r="BH50" i="2"/>
  <c r="DG350" i="2"/>
  <c r="DG351" i="2" s="1"/>
  <c r="DG295" i="2"/>
  <c r="DG96" i="2"/>
  <c r="DG38" i="2"/>
  <c r="DT350" i="2"/>
  <c r="DT351" i="2" s="1"/>
  <c r="DT295" i="2"/>
  <c r="DT96" i="2"/>
  <c r="DT38" i="2"/>
  <c r="CW355" i="2"/>
  <c r="CW352" i="2"/>
  <c r="CW360" i="2"/>
  <c r="BL146" i="2"/>
  <c r="F360" i="2"/>
  <c r="BF98" i="2"/>
  <c r="BI39" i="2"/>
  <c r="K39" i="2" s="1"/>
  <c r="DZ345" i="2"/>
  <c r="DZ344" i="2"/>
  <c r="BU40" i="2"/>
  <c r="BU42" i="2" s="1"/>
  <c r="BU98" i="2"/>
  <c r="DX301" i="2"/>
  <c r="EH200" i="2"/>
  <c r="EG125" i="2"/>
  <c r="AJ40" i="2"/>
  <c r="AJ42" i="2" s="1"/>
  <c r="AJ98" i="2"/>
  <c r="CE350" i="2"/>
  <c r="CE351" i="2" s="1"/>
  <c r="CE295" i="2"/>
  <c r="CE38" i="2"/>
  <c r="CE40" i="2" s="1"/>
  <c r="CE42" i="2" s="1"/>
  <c r="CE96" i="2"/>
  <c r="CH291" i="2"/>
  <c r="DE350" i="2"/>
  <c r="DE351" i="2" s="1"/>
  <c r="DE295" i="2"/>
  <c r="DE96" i="2"/>
  <c r="DE38" i="2"/>
  <c r="DM294" i="2"/>
  <c r="DM293" i="2"/>
  <c r="DM93" i="2"/>
  <c r="DM34" i="2"/>
  <c r="CH350" i="2"/>
  <c r="CH351" i="2" s="1"/>
  <c r="CH295" i="2"/>
  <c r="CH96" i="2"/>
  <c r="CH38" i="2"/>
  <c r="CH40" i="2" s="1"/>
  <c r="CH42" i="2" s="1"/>
  <c r="CK291" i="2"/>
  <c r="G291" i="2"/>
  <c r="G290" i="2"/>
  <c r="G288" i="2"/>
  <c r="G287" i="2"/>
  <c r="BG355" i="2"/>
  <c r="BG352" i="2"/>
  <c r="BT355" i="2"/>
  <c r="BT352" i="2"/>
  <c r="BT360" i="2"/>
  <c r="DF291" i="2"/>
  <c r="BG360" i="2"/>
  <c r="BZ350" i="2"/>
  <c r="BZ351" i="2" s="1"/>
  <c r="BZ295" i="2"/>
  <c r="BZ96" i="2"/>
  <c r="BZ38" i="2"/>
  <c r="BZ40" i="2" s="1"/>
  <c r="BZ42" i="2" s="1"/>
  <c r="CC291" i="2"/>
  <c r="EI178" i="2"/>
  <c r="EI77" i="2"/>
  <c r="EJ75" i="2"/>
  <c r="AV40" i="2"/>
  <c r="AV42" i="2" s="1"/>
  <c r="AV98" i="2"/>
  <c r="DZ293" i="2"/>
  <c r="DZ294" i="2"/>
  <c r="DZ93" i="2"/>
  <c r="DZ34" i="2"/>
  <c r="EC290" i="2"/>
  <c r="AY98" i="2"/>
  <c r="AY40" i="2"/>
  <c r="AY42" i="2" s="1"/>
  <c r="CL350" i="2"/>
  <c r="CL351" i="2" s="1"/>
  <c r="CL295" i="2"/>
  <c r="CL96" i="2"/>
  <c r="CL38" i="2"/>
  <c r="CL40" i="2" s="1"/>
  <c r="CL42" i="2" s="1"/>
  <c r="CO291" i="2"/>
  <c r="AL356" i="2"/>
  <c r="AL340" i="2"/>
  <c r="AL99" i="2"/>
  <c r="AL54" i="2"/>
  <c r="AL56" i="2" s="1"/>
  <c r="AL52" i="2"/>
  <c r="AL1" i="2" s="1"/>
  <c r="AL50" i="2"/>
  <c r="ED348" i="2"/>
  <c r="ED359" i="2" s="1"/>
  <c r="EE255" i="2"/>
  <c r="ED258" i="2"/>
  <c r="DP290" i="2"/>
  <c r="K352" i="2"/>
  <c r="BI350" i="2"/>
  <c r="BI351" i="2" s="1"/>
  <c r="BI295" i="2"/>
  <c r="BI96" i="2"/>
  <c r="BL291" i="2"/>
  <c r="BO355" i="2"/>
  <c r="BO352" i="2"/>
  <c r="BO360" i="2"/>
  <c r="CA291" i="2"/>
  <c r="BX355" i="2"/>
  <c r="BX352" i="2"/>
  <c r="BX360" i="2"/>
  <c r="DR290" i="2"/>
  <c r="I359" i="2"/>
  <c r="K278" i="2"/>
  <c r="K276" i="2"/>
  <c r="K373" i="2" s="1"/>
  <c r="K274" i="2"/>
  <c r="K272" i="2"/>
  <c r="K270" i="2"/>
  <c r="K268" i="2"/>
  <c r="K266" i="2"/>
  <c r="K309" i="2" s="1"/>
  <c r="K261" i="2"/>
  <c r="K260" i="2"/>
  <c r="K259" i="2"/>
  <c r="K257" i="2"/>
  <c r="K308" i="2" s="1"/>
  <c r="K256" i="2"/>
  <c r="K255" i="2"/>
  <c r="K254" i="2"/>
  <c r="K253" i="2"/>
  <c r="K252" i="2"/>
  <c r="K251" i="2"/>
  <c r="K277" i="2"/>
  <c r="K275" i="2"/>
  <c r="K273" i="2"/>
  <c r="K271" i="2"/>
  <c r="K311" i="2" s="1"/>
  <c r="K267" i="2"/>
  <c r="K265" i="2"/>
  <c r="K306" i="2" s="1"/>
  <c r="K307" i="2" s="1"/>
  <c r="L4" i="2"/>
  <c r="J305" i="2"/>
  <c r="K304" i="2"/>
  <c r="J284" i="2"/>
  <c r="J283" i="2"/>
  <c r="ED290" i="2"/>
  <c r="DG291" i="2"/>
  <c r="DY318" i="2"/>
  <c r="DY317" i="2"/>
  <c r="DY296" i="2" s="1"/>
  <c r="BQ146" i="2"/>
  <c r="BQ68" i="2"/>
  <c r="DW350" i="2"/>
  <c r="DW351" i="2" s="1"/>
  <c r="DW295" i="2"/>
  <c r="DW96" i="2"/>
  <c r="DW38" i="2"/>
  <c r="CU350" i="2"/>
  <c r="CU351" i="2" s="1"/>
  <c r="CU295" i="2"/>
  <c r="CU38" i="2"/>
  <c r="CU96" i="2"/>
  <c r="CX291" i="2"/>
  <c r="CX350" i="2"/>
  <c r="CX351" i="2" s="1"/>
  <c r="CX295" i="2"/>
  <c r="CX96" i="2"/>
  <c r="CX38" i="2"/>
  <c r="DA291" i="2"/>
  <c r="DL350" i="2"/>
  <c r="DL351" i="2" s="1"/>
  <c r="DL295" i="2"/>
  <c r="DL96" i="2"/>
  <c r="DL38" i="2"/>
  <c r="BQ40" i="2"/>
  <c r="BQ42" i="2" s="1"/>
  <c r="BQ98" i="2"/>
  <c r="AX355" i="2"/>
  <c r="AX352" i="2"/>
  <c r="M352" i="2"/>
  <c r="BP355" i="2"/>
  <c r="BP352" i="2"/>
  <c r="BP360" i="2"/>
  <c r="BV355" i="2"/>
  <c r="BV352" i="2"/>
  <c r="BV360" i="2"/>
  <c r="ED293" i="2"/>
  <c r="ED294" i="2"/>
  <c r="ED93" i="2"/>
  <c r="ED34" i="2"/>
  <c r="BS356" i="2"/>
  <c r="BS340" i="2"/>
  <c r="BS99" i="2"/>
  <c r="BS54" i="2"/>
  <c r="BS56" i="2" s="1"/>
  <c r="BS52" i="2"/>
  <c r="BS1" i="2" s="1"/>
  <c r="BS50" i="2"/>
  <c r="AZ98" i="2"/>
  <c r="AZ40" i="2"/>
  <c r="AZ42" i="2" s="1"/>
  <c r="AI40" i="2"/>
  <c r="AI42" i="2" s="1"/>
  <c r="AI98" i="2"/>
  <c r="DH350" i="2"/>
  <c r="DH351" i="2" s="1"/>
  <c r="DH295" i="2"/>
  <c r="DH96" i="2"/>
  <c r="DH38" i="2"/>
  <c r="AT356" i="2"/>
  <c r="AT340" i="2"/>
  <c r="AT99" i="2"/>
  <c r="AT54" i="2"/>
  <c r="AT56" i="2" s="1"/>
  <c r="AT50" i="2"/>
  <c r="AT52" i="2"/>
  <c r="AT1" i="2" s="1"/>
  <c r="BI146" i="2"/>
  <c r="EL5" i="2"/>
  <c r="E355" i="2"/>
  <c r="E352" i="2"/>
  <c r="DD318" i="2"/>
  <c r="DD317" i="2"/>
  <c r="DD296" i="2" s="1"/>
  <c r="BY318" i="2"/>
  <c r="BY317" i="2"/>
  <c r="BY296" i="2" s="1"/>
  <c r="AS318" i="2"/>
  <c r="AS317" i="2"/>
  <c r="AS296" i="2" s="1"/>
  <c r="BE350" i="2"/>
  <c r="BE351" i="2" s="1"/>
  <c r="BE295" i="2"/>
  <c r="BE96" i="2"/>
  <c r="BE38" i="2"/>
  <c r="BE40" i="2" s="1"/>
  <c r="BE42" i="2" s="1"/>
  <c r="BH291" i="2"/>
  <c r="CI350" i="2"/>
  <c r="CI351" i="2" s="1"/>
  <c r="CI295" i="2"/>
  <c r="CI38" i="2"/>
  <c r="CI40" i="2" s="1"/>
  <c r="CI42" i="2" s="1"/>
  <c r="CI96" i="2"/>
  <c r="CL291" i="2"/>
  <c r="DY294" i="2"/>
  <c r="DY293" i="2"/>
  <c r="DY93" i="2"/>
  <c r="DY34" i="2"/>
  <c r="DZ291" i="2" s="1"/>
  <c r="EB290" i="2"/>
  <c r="J304" i="2"/>
  <c r="BP98" i="2"/>
  <c r="DZ267" i="2"/>
  <c r="DY269" i="2"/>
  <c r="DY279" i="2" s="1"/>
  <c r="DY349" i="2"/>
  <c r="DI318" i="2"/>
  <c r="DI317" i="2"/>
  <c r="DI296" i="2" s="1"/>
  <c r="I316" i="2"/>
  <c r="I294" i="2"/>
  <c r="CA345" i="2"/>
  <c r="CA344" i="2"/>
  <c r="BN355" i="2"/>
  <c r="BN352" i="2"/>
  <c r="BN360" i="2"/>
  <c r="AZ146" i="2"/>
  <c r="BH98" i="2"/>
  <c r="EI236" i="2"/>
  <c r="EJ259" i="2"/>
  <c r="EF372" i="2"/>
  <c r="EI31" i="2"/>
  <c r="J352" i="2"/>
  <c r="AM355" i="2"/>
  <c r="AM352" i="2"/>
  <c r="CW40" i="2"/>
  <c r="CW42" i="2" s="1"/>
  <c r="CW98" i="2"/>
  <c r="CJ291" i="2"/>
  <c r="CG355" i="2"/>
  <c r="CG352" i="2"/>
  <c r="CG360" i="2"/>
  <c r="BI37" i="2"/>
  <c r="BI38" i="2" s="1"/>
  <c r="BI40" i="2" s="1"/>
  <c r="BI42" i="2" s="1"/>
  <c r="H355" i="2"/>
  <c r="H352" i="2"/>
  <c r="I301" i="2"/>
  <c r="I299" i="2"/>
  <c r="I262" i="2"/>
  <c r="BK352" i="2"/>
  <c r="BK355" i="2"/>
  <c r="BK360" i="2"/>
  <c r="BC355" i="2"/>
  <c r="BC352" i="2"/>
  <c r="EH78" i="2"/>
  <c r="DX299" i="2"/>
  <c r="AQ355" i="2"/>
  <c r="AQ352" i="2"/>
  <c r="EC305" i="2"/>
  <c r="EC307" i="2"/>
  <c r="EC145" i="2"/>
  <c r="EC174" i="2"/>
  <c r="EC108" i="2"/>
  <c r="EC303" i="2"/>
  <c r="EA290" i="2"/>
  <c r="BG98" i="2"/>
  <c r="BG40" i="2"/>
  <c r="BG42" i="2" s="1"/>
  <c r="DN293" i="2"/>
  <c r="DN294" i="2"/>
  <c r="DN93" i="2"/>
  <c r="DN34" i="2"/>
  <c r="DQ290" i="2"/>
  <c r="BT40" i="2"/>
  <c r="BT42" i="2" s="1"/>
  <c r="BT98" i="2"/>
  <c r="CR350" i="2"/>
  <c r="CR351" i="2" s="1"/>
  <c r="CR295" i="2"/>
  <c r="CR96" i="2"/>
  <c r="CR38" i="2"/>
  <c r="DY301" i="2"/>
  <c r="DY299" i="2"/>
  <c r="DY262" i="2"/>
  <c r="CH98" i="2"/>
  <c r="BL355" i="2"/>
  <c r="BL352" i="2"/>
  <c r="BL360" i="2"/>
  <c r="CI98" i="2"/>
  <c r="EI373" i="2"/>
  <c r="EJ276" i="2"/>
  <c r="CD350" i="2"/>
  <c r="CD351" i="2" s="1"/>
  <c r="CD295" i="2"/>
  <c r="CD96" i="2"/>
  <c r="CD38" i="2"/>
  <c r="CG291" i="2"/>
  <c r="BD355" i="2"/>
  <c r="BD352" i="2"/>
  <c r="BD360" i="2"/>
  <c r="BX98" i="2"/>
  <c r="BX40" i="2"/>
  <c r="BX42" i="2" s="1"/>
  <c r="J258" i="2"/>
  <c r="J345" i="2"/>
  <c r="J322" i="2"/>
  <c r="K94" i="2"/>
  <c r="J332" i="2"/>
  <c r="J343" i="2"/>
  <c r="J349" i="2"/>
  <c r="J344" i="2"/>
  <c r="J342" i="2"/>
  <c r="J371" i="2"/>
  <c r="EA350" i="2"/>
  <c r="EA351" i="2" s="1"/>
  <c r="EA295" i="2"/>
  <c r="EA38" i="2"/>
  <c r="EA96" i="2"/>
  <c r="ED291" i="2"/>
  <c r="F355" i="2"/>
  <c r="F352" i="2"/>
  <c r="EI336" i="2"/>
  <c r="EI334" i="2" s="1"/>
  <c r="EI256" i="2"/>
  <c r="AX98" i="2"/>
  <c r="AX40" i="2"/>
  <c r="AX42" i="2" s="1"/>
  <c r="CS350" i="2"/>
  <c r="CS351" i="2" s="1"/>
  <c r="CS295" i="2"/>
  <c r="CS96" i="2"/>
  <c r="CS38" i="2"/>
  <c r="EH201" i="2"/>
  <c r="EG159" i="2"/>
  <c r="M98" i="2"/>
  <c r="CY350" i="2"/>
  <c r="CY351" i="2" s="1"/>
  <c r="CY295" i="2"/>
  <c r="CY38" i="2"/>
  <c r="CY96" i="2"/>
  <c r="DB291" i="2"/>
  <c r="BP356" i="2"/>
  <c r="BP340" i="2"/>
  <c r="BP52" i="2"/>
  <c r="BP1" i="2" s="1"/>
  <c r="BP99" i="2"/>
  <c r="BP50" i="2"/>
  <c r="BP54" i="2"/>
  <c r="BP56" i="2" s="1"/>
  <c r="G360" i="2"/>
  <c r="BV98" i="2"/>
  <c r="BV40" i="2"/>
  <c r="BV42" i="2" s="1"/>
  <c r="AN355" i="2"/>
  <c r="AN352" i="2"/>
  <c r="CJ350" i="2"/>
  <c r="CJ351" i="2" s="1"/>
  <c r="CJ295" i="2"/>
  <c r="CJ96" i="2"/>
  <c r="CJ38" i="2"/>
  <c r="CM291" i="2"/>
  <c r="N193" i="2"/>
  <c r="BM355" i="2"/>
  <c r="BM352" i="2"/>
  <c r="BM360" i="2"/>
  <c r="I355" i="2"/>
  <c r="I352" i="2"/>
  <c r="DO290" i="2"/>
  <c r="E356" i="2"/>
  <c r="E340" i="2"/>
  <c r="E99" i="2"/>
  <c r="E50" i="2"/>
  <c r="E54" i="2"/>
  <c r="E56" i="2" s="1"/>
  <c r="E52" i="2"/>
  <c r="E1" i="2" s="1"/>
  <c r="CB350" i="2"/>
  <c r="CB351" i="2" s="1"/>
  <c r="CB295" i="2"/>
  <c r="CB96" i="2"/>
  <c r="CB38" i="2"/>
  <c r="CE291" i="2"/>
  <c r="BE98" i="2"/>
  <c r="EB140" i="2"/>
  <c r="EB138" i="2"/>
  <c r="EB62" i="2"/>
  <c r="BZ291" i="2"/>
  <c r="BW355" i="2"/>
  <c r="BW352" i="2"/>
  <c r="BW360" i="2"/>
  <c r="CE98" i="2"/>
  <c r="EJ230" i="2"/>
  <c r="EK272" i="2"/>
  <c r="BW344" i="2"/>
  <c r="EI106" i="2"/>
  <c r="EI110" i="2" s="1"/>
  <c r="EI104" i="2"/>
  <c r="DR293" i="2"/>
  <c r="DR294" i="2"/>
  <c r="DR93" i="2"/>
  <c r="DR34" i="2"/>
  <c r="DU290" i="2"/>
  <c r="CE344" i="2"/>
  <c r="CE345" i="2"/>
  <c r="CQ350" i="2"/>
  <c r="CQ351" i="2" s="1"/>
  <c r="CQ295" i="2"/>
  <c r="CQ96" i="2"/>
  <c r="CQ38" i="2"/>
  <c r="CT291" i="2"/>
  <c r="BN98" i="2"/>
  <c r="BN40" i="2"/>
  <c r="BN42" i="2" s="1"/>
  <c r="BH146" i="2"/>
  <c r="G355" i="2"/>
  <c r="G352" i="2"/>
  <c r="CB291" i="2"/>
  <c r="BY355" i="2"/>
  <c r="BY352" i="2"/>
  <c r="BY360" i="2"/>
  <c r="AM98" i="2"/>
  <c r="AM40" i="2"/>
  <c r="AM42" i="2" s="1"/>
  <c r="EL97" i="2"/>
  <c r="CG40" i="2"/>
  <c r="CG42" i="2" s="1"/>
  <c r="CG98" i="2"/>
  <c r="L352" i="2"/>
  <c r="H40" i="2"/>
  <c r="H42" i="2" s="1"/>
  <c r="H98" i="2"/>
  <c r="CH345" i="2"/>
  <c r="CH344" i="2"/>
  <c r="AP355" i="2"/>
  <c r="AP352" i="2"/>
  <c r="EJ284" i="2"/>
  <c r="EK268" i="2"/>
  <c r="CM98" i="2"/>
  <c r="CV329" i="2"/>
  <c r="CV320" i="2" s="1"/>
  <c r="CV321" i="2"/>
  <c r="CW330" i="2"/>
  <c r="AQ40" i="2"/>
  <c r="AQ42" i="2" s="1"/>
  <c r="AQ98" i="2"/>
  <c r="DJ350" i="2"/>
  <c r="DJ351" i="2" s="1"/>
  <c r="DJ295" i="2"/>
  <c r="DJ96" i="2"/>
  <c r="DJ38" i="2"/>
  <c r="DM291" i="2"/>
  <c r="DV293" i="2"/>
  <c r="DV294" i="2"/>
  <c r="DV93" i="2"/>
  <c r="DV34" i="2"/>
  <c r="DY290" i="2"/>
  <c r="BF355" i="2"/>
  <c r="BF352" i="2"/>
  <c r="DX350" i="2"/>
  <c r="DX351" i="2" s="1"/>
  <c r="DX295" i="2"/>
  <c r="DX96" i="2"/>
  <c r="DX38" i="2"/>
  <c r="EA291" i="2"/>
  <c r="CU291" i="2"/>
  <c r="DY300" i="2"/>
  <c r="DN290" i="2"/>
  <c r="BL98" i="2"/>
  <c r="BL40" i="2"/>
  <c r="BL42" i="2" s="1"/>
  <c r="EH180" i="2"/>
  <c r="AY355" i="2"/>
  <c r="AY352" i="2"/>
  <c r="BB357" i="2"/>
  <c r="BB339" i="2"/>
  <c r="BB215" i="2"/>
  <c r="BB217" i="2" s="1"/>
  <c r="BB222" i="2" s="1"/>
  <c r="BB53" i="2"/>
  <c r="CR291" i="2"/>
  <c r="CO355" i="2"/>
  <c r="CO352" i="2"/>
  <c r="CO360" i="2"/>
  <c r="EC359" i="2"/>
  <c r="ED354" i="2"/>
  <c r="EC354" i="2"/>
  <c r="CA350" i="2"/>
  <c r="CA351" i="2" s="1"/>
  <c r="CA295" i="2"/>
  <c r="CA96" i="2"/>
  <c r="CA38" i="2"/>
  <c r="CA40" i="2" s="1"/>
  <c r="CA42" i="2" s="1"/>
  <c r="CD291" i="2"/>
  <c r="EH202" i="2"/>
  <c r="EG187" i="2"/>
  <c r="BO356" i="2"/>
  <c r="BO340" i="2"/>
  <c r="BO99" i="2"/>
  <c r="BO50" i="2"/>
  <c r="BO54" i="2"/>
  <c r="BO56" i="2" s="1"/>
  <c r="BO52" i="2"/>
  <c r="BO1" i="2" s="1"/>
  <c r="AU352" i="2"/>
  <c r="AU355" i="2"/>
  <c r="BD40" i="2"/>
  <c r="BD42" i="2" s="1"/>
  <c r="BD98" i="2"/>
  <c r="BA350" i="2"/>
  <c r="BA351" i="2" s="1"/>
  <c r="BA295" i="2"/>
  <c r="BA96" i="2"/>
  <c r="BA38" i="2"/>
  <c r="BD291" i="2"/>
  <c r="DD350" i="2"/>
  <c r="DD351" i="2" s="1"/>
  <c r="DD295" i="2"/>
  <c r="DD96" i="2"/>
  <c r="DD38" i="2"/>
  <c r="DW290" i="2"/>
  <c r="CY269" i="2"/>
  <c r="CZ267" i="2"/>
  <c r="CY300" i="2"/>
  <c r="CY349" i="2"/>
  <c r="CV350" i="2"/>
  <c r="CV351" i="2" s="1"/>
  <c r="CV295" i="2"/>
  <c r="CV96" i="2"/>
  <c r="CV38" i="2"/>
  <c r="CY291" i="2"/>
  <c r="DJ291" i="2"/>
  <c r="J269" i="2"/>
  <c r="J279" i="2" s="1"/>
  <c r="F40" i="2"/>
  <c r="F42" i="2" s="1"/>
  <c r="F98" i="2"/>
  <c r="AM360" i="2"/>
  <c r="EL204" i="2"/>
  <c r="EL203" i="2" s="1"/>
  <c r="EM30" i="2"/>
  <c r="DO350" i="2"/>
  <c r="DO351" i="2" s="1"/>
  <c r="DO295" i="2"/>
  <c r="DO38" i="2"/>
  <c r="DO96" i="2"/>
  <c r="N350" i="2"/>
  <c r="N351" i="2" s="1"/>
  <c r="N96" i="2"/>
  <c r="BO98" i="2"/>
  <c r="CN350" i="2"/>
  <c r="CN351" i="2" s="1"/>
  <c r="CN295" i="2"/>
  <c r="CN96" i="2"/>
  <c r="CN38" i="2"/>
  <c r="CQ291" i="2"/>
  <c r="DU294" i="2"/>
  <c r="DU293" i="2"/>
  <c r="DU93" i="2"/>
  <c r="DU34" i="2"/>
  <c r="AN98" i="2"/>
  <c r="AN40" i="2"/>
  <c r="AN42" i="2" s="1"/>
  <c r="L39" i="2"/>
  <c r="L98" i="2" s="1"/>
  <c r="BS355" i="2"/>
  <c r="BS352" i="2"/>
  <c r="BS360" i="2"/>
  <c r="BA146" i="2"/>
  <c r="BM98" i="2"/>
  <c r="BM40" i="2"/>
  <c r="BM42" i="2" s="1"/>
  <c r="AU291" i="2"/>
  <c r="AR355" i="2"/>
  <c r="AR352" i="2"/>
  <c r="AR360" i="2"/>
  <c r="I40" i="2"/>
  <c r="I42" i="2" s="1"/>
  <c r="I98" i="2"/>
  <c r="BR356" i="2"/>
  <c r="BR340" i="2"/>
  <c r="BR99" i="2"/>
  <c r="BR54" i="2"/>
  <c r="BR56" i="2" s="1"/>
  <c r="BR52" i="2"/>
  <c r="BR1" i="2" s="1"/>
  <c r="BR50" i="2"/>
  <c r="EJ371" i="2"/>
  <c r="EK273" i="2"/>
  <c r="DE316" i="2"/>
  <c r="DE233" i="2"/>
  <c r="DE244" i="2" s="1"/>
  <c r="DE246" i="2" s="1"/>
  <c r="DE247" i="2" s="1"/>
  <c r="W232" i="2"/>
  <c r="W316" i="2" s="1"/>
  <c r="CO318" i="2"/>
  <c r="CO317" i="2"/>
  <c r="CO296" i="2" s="1"/>
  <c r="BI318" i="2"/>
  <c r="BI317" i="2"/>
  <c r="BI296" i="2" s="1"/>
  <c r="EF260" i="2"/>
  <c r="J39" i="2"/>
  <c r="J98" i="2" s="1"/>
  <c r="CL98" i="2"/>
  <c r="DS290" i="2"/>
  <c r="EJ143" i="2"/>
  <c r="AW350" i="2"/>
  <c r="AW351" i="2" s="1"/>
  <c r="AW295" i="2"/>
  <c r="AW96" i="2"/>
  <c r="AW38" i="2"/>
  <c r="AZ291" i="2"/>
  <c r="EB144" i="2"/>
  <c r="EB68" i="2"/>
  <c r="DS294" i="2"/>
  <c r="DS293" i="2"/>
  <c r="DS34" i="2"/>
  <c r="DS93" i="2"/>
  <c r="I354" i="2"/>
  <c r="DM290" i="2"/>
  <c r="EH66" i="2"/>
  <c r="CT350" i="2"/>
  <c r="CT351" i="2" s="1"/>
  <c r="CT295" i="2"/>
  <c r="CT96" i="2"/>
  <c r="CT38" i="2"/>
  <c r="CW291" i="2"/>
  <c r="G40" i="2"/>
  <c r="G42" i="2" s="1"/>
  <c r="G98" i="2"/>
  <c r="BY40" i="2"/>
  <c r="BY42" i="2" s="1"/>
  <c r="BY98" i="2"/>
  <c r="BH355" i="2"/>
  <c r="BH352" i="2"/>
  <c r="CC350" i="2"/>
  <c r="CC351" i="2" s="1"/>
  <c r="CC295" i="2"/>
  <c r="CC96" i="2"/>
  <c r="CC38" i="2"/>
  <c r="CF291" i="2"/>
  <c r="BL345" i="2"/>
  <c r="BM144" i="2"/>
  <c r="BM145" i="2" s="1"/>
  <c r="BL344" i="2"/>
  <c r="DC350" i="2"/>
  <c r="DC351" i="2" s="1"/>
  <c r="DC295" i="2"/>
  <c r="DC38" i="2"/>
  <c r="DC96" i="2"/>
  <c r="CF350" i="2"/>
  <c r="CF351" i="2" s="1"/>
  <c r="CF295" i="2"/>
  <c r="CF96" i="2"/>
  <c r="CF38" i="2"/>
  <c r="CI291" i="2"/>
  <c r="F291" i="2"/>
  <c r="F290" i="2"/>
  <c r="F288" i="2"/>
  <c r="F287" i="2"/>
  <c r="CB345" i="2"/>
  <c r="CB344" i="2"/>
  <c r="I286" i="2"/>
  <c r="I285" i="2"/>
  <c r="J97" i="2"/>
  <c r="AP98" i="2"/>
  <c r="AP40" i="2"/>
  <c r="AP42" i="2" s="1"/>
  <c r="DI350" i="2"/>
  <c r="DI351" i="2" s="1"/>
  <c r="DI295" i="2"/>
  <c r="DI96" i="2"/>
  <c r="DI38" i="2"/>
  <c r="DP350" i="2"/>
  <c r="DP351" i="2" s="1"/>
  <c r="DP295" i="2"/>
  <c r="DP96" i="2"/>
  <c r="DP38" i="2"/>
  <c r="BU355" i="2"/>
  <c r="BU352" i="2"/>
  <c r="BU360" i="2"/>
  <c r="BC98" i="2"/>
  <c r="BC40" i="2"/>
  <c r="BC42" i="2" s="1"/>
  <c r="AH40" i="2"/>
  <c r="AH42" i="2" s="1"/>
  <c r="AH98" i="2"/>
  <c r="DQ318" i="2"/>
  <c r="DQ317" i="2"/>
  <c r="DQ296" i="2" s="1"/>
  <c r="ED249" i="2"/>
  <c r="ED281" i="2"/>
  <c r="ED214" i="2"/>
  <c r="ED4" i="2"/>
  <c r="EE7" i="2"/>
  <c r="ED60" i="2"/>
  <c r="ED9" i="2"/>
  <c r="ED3" i="2"/>
  <c r="BF40" i="2"/>
  <c r="BF42" i="2" s="1"/>
  <c r="H291" i="2"/>
  <c r="H290" i="2"/>
  <c r="H288" i="2"/>
  <c r="H287" i="2"/>
  <c r="DH291" i="2"/>
  <c r="DY359" i="2"/>
  <c r="DZ354" i="2"/>
  <c r="DZ359" i="2"/>
  <c r="CZ350" i="2"/>
  <c r="CZ351" i="2" s="1"/>
  <c r="CZ295" i="2"/>
  <c r="CZ96" i="2"/>
  <c r="CZ38" i="2"/>
  <c r="DC291" i="2"/>
  <c r="AV355" i="2"/>
  <c r="AV352" i="2"/>
  <c r="CO40" i="2"/>
  <c r="CO42" i="2" s="1"/>
  <c r="CO98" i="2"/>
  <c r="EC262" i="2"/>
  <c r="CJ345" i="2"/>
  <c r="CJ344" i="2"/>
  <c r="CK350" i="2"/>
  <c r="CK351" i="2" s="1"/>
  <c r="CK295" i="2"/>
  <c r="CK96" i="2"/>
  <c r="CK38" i="2"/>
  <c r="CN291" i="2"/>
  <c r="AU98" i="2"/>
  <c r="AU40" i="2"/>
  <c r="AU42" i="2" s="1"/>
  <c r="DQ350" i="2"/>
  <c r="DQ351" i="2" s="1"/>
  <c r="DQ295" i="2"/>
  <c r="DQ96" i="2"/>
  <c r="DQ38" i="2"/>
  <c r="CX279" i="2"/>
  <c r="CX299" i="2"/>
  <c r="CX301" i="2"/>
  <c r="J348" i="2"/>
  <c r="J354" i="2" s="1"/>
  <c r="J303" i="2"/>
  <c r="J300" i="2"/>
  <c r="J302" i="2"/>
  <c r="DA350" i="2"/>
  <c r="DA351" i="2" s="1"/>
  <c r="DA295" i="2"/>
  <c r="DA96" i="2"/>
  <c r="DA38" i="2"/>
  <c r="DD291" i="2"/>
  <c r="EM94" i="2"/>
  <c r="AO350" i="2"/>
  <c r="AO351" i="2" s="1"/>
  <c r="AO295" i="2"/>
  <c r="AO96" i="2"/>
  <c r="AO38" i="2"/>
  <c r="AR291" i="2"/>
  <c r="DZ290" i="2"/>
  <c r="AS350" i="2"/>
  <c r="AS351" i="2" s="1"/>
  <c r="AS295" i="2"/>
  <c r="AS96" i="2"/>
  <c r="AS38" i="2"/>
  <c r="BQ355" i="2"/>
  <c r="BQ352" i="2"/>
  <c r="BQ360" i="2"/>
  <c r="AK40" i="2"/>
  <c r="AK42" i="2" s="1"/>
  <c r="AK98" i="2"/>
  <c r="DK350" i="2"/>
  <c r="DK351" i="2" s="1"/>
  <c r="DK295" i="2"/>
  <c r="DK38" i="2"/>
  <c r="DK96" i="2"/>
  <c r="EJ14" i="2"/>
  <c r="EI28" i="2"/>
  <c r="EI90" i="2" s="1"/>
  <c r="L37" i="2"/>
  <c r="L38" i="2" s="1"/>
  <c r="BJ38" i="2"/>
  <c r="BJ40" i="2" s="1"/>
  <c r="BJ42" i="2" s="1"/>
  <c r="BC291" i="2"/>
  <c r="AZ355" i="2"/>
  <c r="AZ352" i="2"/>
  <c r="AZ360" i="2"/>
  <c r="EJ179" i="2"/>
  <c r="EK76" i="2"/>
  <c r="EK179" i="2" s="1"/>
  <c r="AR40" i="2"/>
  <c r="AR42" i="2" s="1"/>
  <c r="AR98" i="2"/>
  <c r="DO291" i="2"/>
  <c r="CP350" i="2"/>
  <c r="CP351" i="2" s="1"/>
  <c r="CP295" i="2"/>
  <c r="CP96" i="2"/>
  <c r="CP38" i="2"/>
  <c r="CS291" i="2"/>
  <c r="BZ98" i="2"/>
  <c r="DV361" i="2"/>
  <c r="EF211" i="2"/>
  <c r="EF317" i="2"/>
  <c r="EF296" i="2" s="1"/>
  <c r="DB350" i="2"/>
  <c r="DB351" i="2" s="1"/>
  <c r="DB295" i="2"/>
  <c r="DB96" i="2"/>
  <c r="DB38" i="2"/>
  <c r="DE291" i="2"/>
  <c r="EJ171" i="2"/>
  <c r="EB173" i="2"/>
  <c r="EB74" i="2"/>
  <c r="BW98" i="2"/>
  <c r="BW40" i="2"/>
  <c r="BW42" i="2" s="1"/>
  <c r="H360" i="2"/>
  <c r="EJ149" i="2" l="1"/>
  <c r="EJ71" i="2"/>
  <c r="EI151" i="2"/>
  <c r="EL150" i="2"/>
  <c r="J355" i="2"/>
  <c r="EL140" i="2"/>
  <c r="EL138" i="2"/>
  <c r="EF114" i="2"/>
  <c r="EK149" i="2"/>
  <c r="EK71" i="2"/>
  <c r="EK145" i="2"/>
  <c r="EM108" i="2"/>
  <c r="EI113" i="2"/>
  <c r="EI114" i="2" s="1"/>
  <c r="EI65" i="2"/>
  <c r="BI356" i="2"/>
  <c r="BI340" i="2"/>
  <c r="BI99" i="2"/>
  <c r="BI52" i="2"/>
  <c r="BI1" i="2" s="1"/>
  <c r="BI54" i="2"/>
  <c r="BI56" i="2" s="1"/>
  <c r="BI50" i="2"/>
  <c r="EJ28" i="2"/>
  <c r="EK14" i="2"/>
  <c r="EE249" i="2"/>
  <c r="EE281" i="2"/>
  <c r="EE214" i="2"/>
  <c r="EE60" i="2"/>
  <c r="EE9" i="2"/>
  <c r="EE3" i="2"/>
  <c r="EF7" i="2"/>
  <c r="EE4" i="2"/>
  <c r="DI40" i="2"/>
  <c r="DI42" i="2" s="1"/>
  <c r="DI98" i="2"/>
  <c r="AP356" i="2"/>
  <c r="AP340" i="2"/>
  <c r="AP99" i="2"/>
  <c r="AP54" i="2"/>
  <c r="AP56" i="2" s="1"/>
  <c r="AP52" i="2"/>
  <c r="AP1" i="2" s="1"/>
  <c r="AP50" i="2"/>
  <c r="CF355" i="2"/>
  <c r="CF352" i="2"/>
  <c r="CF360" i="2"/>
  <c r="DC355" i="2"/>
  <c r="DC352" i="2"/>
  <c r="DC360" i="2"/>
  <c r="CT355" i="2"/>
  <c r="CT352" i="2"/>
  <c r="CT360" i="2"/>
  <c r="EK143" i="2"/>
  <c r="EK144" i="2" s="1"/>
  <c r="CN355" i="2"/>
  <c r="CN352" i="2"/>
  <c r="CN360" i="2"/>
  <c r="F356" i="2"/>
  <c r="F340" i="2"/>
  <c r="F50" i="2"/>
  <c r="F54" i="2"/>
  <c r="F56" i="2" s="1"/>
  <c r="F52" i="2"/>
  <c r="F1" i="2" s="1"/>
  <c r="F99" i="2"/>
  <c r="CY279" i="2"/>
  <c r="CY301" i="2"/>
  <c r="CY299" i="2"/>
  <c r="CD40" i="2"/>
  <c r="CD42" i="2" s="1"/>
  <c r="CD98" i="2"/>
  <c r="CW356" i="2"/>
  <c r="CW340" i="2"/>
  <c r="CW99" i="2"/>
  <c r="CW54" i="2"/>
  <c r="CW56" i="2" s="1"/>
  <c r="CW52" i="2"/>
  <c r="CW1" i="2" s="1"/>
  <c r="CW50" i="2"/>
  <c r="DH98" i="2"/>
  <c r="DH40" i="2"/>
  <c r="DH42" i="2" s="1"/>
  <c r="BS357" i="2"/>
  <c r="BS339" i="2"/>
  <c r="BS215" i="2"/>
  <c r="BS217" i="2" s="1"/>
  <c r="BS222" i="2" s="1"/>
  <c r="BS53" i="2"/>
  <c r="DW352" i="2"/>
  <c r="DW355" i="2"/>
  <c r="DW360" i="2"/>
  <c r="L278" i="2"/>
  <c r="L276" i="2"/>
  <c r="L373" i="2" s="1"/>
  <c r="L274" i="2"/>
  <c r="L272" i="2"/>
  <c r="L270" i="2"/>
  <c r="L268" i="2"/>
  <c r="L266" i="2"/>
  <c r="L309" i="2" s="1"/>
  <c r="L261" i="2"/>
  <c r="L260" i="2"/>
  <c r="L259" i="2"/>
  <c r="L257" i="2"/>
  <c r="L308" i="2" s="1"/>
  <c r="L256" i="2"/>
  <c r="L255" i="2"/>
  <c r="L254" i="2"/>
  <c r="L253" i="2"/>
  <c r="L252" i="2"/>
  <c r="L251" i="2"/>
  <c r="L277" i="2"/>
  <c r="L275" i="2"/>
  <c r="L273" i="2"/>
  <c r="L271" i="2"/>
  <c r="L311" i="2" s="1"/>
  <c r="L267" i="2"/>
  <c r="L265" i="2"/>
  <c r="M4" i="2"/>
  <c r="K371" i="2"/>
  <c r="BI355" i="2"/>
  <c r="BI352" i="2"/>
  <c r="BI360" i="2"/>
  <c r="ED262" i="2"/>
  <c r="AL357" i="2"/>
  <c r="AL339" i="2"/>
  <c r="AL215" i="2"/>
  <c r="AL217" i="2" s="1"/>
  <c r="AL222" i="2" s="1"/>
  <c r="AL53" i="2"/>
  <c r="EJ178" i="2"/>
  <c r="EK75" i="2"/>
  <c r="EJ77" i="2"/>
  <c r="BZ356" i="2"/>
  <c r="BZ340" i="2"/>
  <c r="BZ99" i="2"/>
  <c r="BZ54" i="2"/>
  <c r="BZ56" i="2" s="1"/>
  <c r="BZ50" i="2"/>
  <c r="BZ52" i="2"/>
  <c r="BZ1" i="2" s="1"/>
  <c r="CH355" i="2"/>
  <c r="CH352" i="2"/>
  <c r="CH360" i="2"/>
  <c r="DE355" i="2"/>
  <c r="DE352" i="2"/>
  <c r="DE360" i="2"/>
  <c r="BU356" i="2"/>
  <c r="BU340" i="2"/>
  <c r="BU99" i="2"/>
  <c r="BU54" i="2"/>
  <c r="BU56" i="2" s="1"/>
  <c r="BU52" i="2"/>
  <c r="BU1" i="2" s="1"/>
  <c r="BU50" i="2"/>
  <c r="EC350" i="2"/>
  <c r="EC351" i="2" s="1"/>
  <c r="EC295" i="2"/>
  <c r="EC96" i="2"/>
  <c r="EC38" i="2"/>
  <c r="CM355" i="2"/>
  <c r="CM352" i="2"/>
  <c r="CM360" i="2"/>
  <c r="EB350" i="2"/>
  <c r="EB351" i="2" s="1"/>
  <c r="EB295" i="2"/>
  <c r="EB96" i="2"/>
  <c r="EB38" i="2"/>
  <c r="DF355" i="2"/>
  <c r="DF352" i="2"/>
  <c r="DF360" i="2"/>
  <c r="BK357" i="2"/>
  <c r="BK339" i="2"/>
  <c r="BK215" i="2"/>
  <c r="BK217" i="2" s="1"/>
  <c r="BK222" i="2" s="1"/>
  <c r="BK53" i="2"/>
  <c r="EK171" i="2"/>
  <c r="EF210" i="2"/>
  <c r="EF208" i="2"/>
  <c r="EF160" i="2" s="1"/>
  <c r="EF209" i="2"/>
  <c r="EF188" i="2" s="1"/>
  <c r="EF207" i="2"/>
  <c r="EF126" i="2" s="1"/>
  <c r="DK355" i="2"/>
  <c r="DK352" i="2"/>
  <c r="DK360" i="2"/>
  <c r="AO40" i="2"/>
  <c r="AO42" i="2" s="1"/>
  <c r="AO98" i="2"/>
  <c r="DS350" i="2"/>
  <c r="DS351" i="2" s="1"/>
  <c r="DS295" i="2"/>
  <c r="DS38" i="2"/>
  <c r="DS96" i="2"/>
  <c r="DV291" i="2"/>
  <c r="BW356" i="2"/>
  <c r="BW340" i="2"/>
  <c r="BW99" i="2"/>
  <c r="BW54" i="2"/>
  <c r="BW56" i="2" s="1"/>
  <c r="BW52" i="2"/>
  <c r="BW1" i="2" s="1"/>
  <c r="BW50" i="2"/>
  <c r="EJ173" i="2"/>
  <c r="BJ356" i="2"/>
  <c r="BJ340" i="2"/>
  <c r="BJ99" i="2"/>
  <c r="BJ54" i="2"/>
  <c r="BJ56" i="2" s="1"/>
  <c r="BJ50" i="2"/>
  <c r="BJ52" i="2"/>
  <c r="BJ1" i="2" s="1"/>
  <c r="AS355" i="2"/>
  <c r="AS352" i="2"/>
  <c r="AS360" i="2"/>
  <c r="CK355" i="2"/>
  <c r="CK352" i="2"/>
  <c r="CK360" i="2"/>
  <c r="DY361" i="2"/>
  <c r="ED305" i="2"/>
  <c r="EE305" i="2" s="1"/>
  <c r="ED307" i="2"/>
  <c r="EE307" i="2" s="1"/>
  <c r="ED174" i="2"/>
  <c r="ED145" i="2"/>
  <c r="ED108" i="2"/>
  <c r="ED303" i="2"/>
  <c r="EE303" i="2" s="1"/>
  <c r="CF40" i="2"/>
  <c r="CF42" i="2" s="1"/>
  <c r="CF98" i="2"/>
  <c r="CC355" i="2"/>
  <c r="CC352" i="2"/>
  <c r="CC360" i="2"/>
  <c r="BY356" i="2"/>
  <c r="BY340" i="2"/>
  <c r="BY99" i="2"/>
  <c r="BY52" i="2"/>
  <c r="BY1" i="2" s="1"/>
  <c r="BY54" i="2"/>
  <c r="BY56" i="2" s="1"/>
  <c r="BY50" i="2"/>
  <c r="CT40" i="2"/>
  <c r="CT42" i="2" s="1"/>
  <c r="CT98" i="2"/>
  <c r="EJ144" i="2"/>
  <c r="EK371" i="2"/>
  <c r="EL273" i="2"/>
  <c r="BJ98" i="2"/>
  <c r="CN40" i="2"/>
  <c r="CN42" i="2" s="1"/>
  <c r="CN98" i="2"/>
  <c r="N352" i="2"/>
  <c r="DO355" i="2"/>
  <c r="DO352" i="2"/>
  <c r="DO360" i="2"/>
  <c r="CV40" i="2"/>
  <c r="CV42" i="2" s="1"/>
  <c r="CV98" i="2"/>
  <c r="DD355" i="2"/>
  <c r="DD352" i="2"/>
  <c r="DD360" i="2"/>
  <c r="BO357" i="2"/>
  <c r="BO339" i="2"/>
  <c r="BO215" i="2"/>
  <c r="BO217" i="2" s="1"/>
  <c r="BO222" i="2" s="1"/>
  <c r="BO53" i="2"/>
  <c r="DX355" i="2"/>
  <c r="DX352" i="2"/>
  <c r="DX360" i="2"/>
  <c r="DV350" i="2"/>
  <c r="DV351" i="2" s="1"/>
  <c r="DV295" i="2"/>
  <c r="DV96" i="2"/>
  <c r="DV38" i="2"/>
  <c r="DY291" i="2"/>
  <c r="DJ355" i="2"/>
  <c r="DJ352" i="2"/>
  <c r="DJ360" i="2"/>
  <c r="H356" i="2"/>
  <c r="H340" i="2"/>
  <c r="H99" i="2"/>
  <c r="H50" i="2"/>
  <c r="H54" i="2"/>
  <c r="H56" i="2" s="1"/>
  <c r="H52" i="2"/>
  <c r="H1" i="2" s="1"/>
  <c r="CG356" i="2"/>
  <c r="CG340" i="2"/>
  <c r="CG99" i="2"/>
  <c r="CG54" i="2"/>
  <c r="CG56" i="2" s="1"/>
  <c r="CG52" i="2"/>
  <c r="CG1" i="2" s="1"/>
  <c r="CG50" i="2"/>
  <c r="CQ40" i="2"/>
  <c r="CQ42" i="2" s="1"/>
  <c r="CQ98" i="2"/>
  <c r="DR350" i="2"/>
  <c r="DR351" i="2" s="1"/>
  <c r="DR295" i="2"/>
  <c r="DR96" i="2"/>
  <c r="DR38" i="2"/>
  <c r="DU291" i="2"/>
  <c r="DT291" i="2"/>
  <c r="EL272" i="2"/>
  <c r="EK230" i="2"/>
  <c r="CB355" i="2"/>
  <c r="CB352" i="2"/>
  <c r="CB360" i="2"/>
  <c r="E357" i="2"/>
  <c r="E339" i="2"/>
  <c r="E215" i="2"/>
  <c r="E217" i="2" s="1"/>
  <c r="E53" i="2"/>
  <c r="CJ355" i="2"/>
  <c r="CJ352" i="2"/>
  <c r="CJ360" i="2"/>
  <c r="BP357" i="2"/>
  <c r="BP339" i="2"/>
  <c r="BP215" i="2"/>
  <c r="BP217" i="2" s="1"/>
  <c r="BP222" i="2" s="1"/>
  <c r="BP53" i="2"/>
  <c r="EH159" i="2"/>
  <c r="EI201" i="2"/>
  <c r="CS355" i="2"/>
  <c r="CS352" i="2"/>
  <c r="CS360" i="2"/>
  <c r="EJ256" i="2"/>
  <c r="AD3" i="2"/>
  <c r="EC173" i="2"/>
  <c r="EC74" i="2"/>
  <c r="K37" i="2"/>
  <c r="K38" i="2" s="1"/>
  <c r="K40" i="2" s="1"/>
  <c r="K42" i="2" s="1"/>
  <c r="EJ31" i="2"/>
  <c r="EJ236" i="2"/>
  <c r="EK259" i="2"/>
  <c r="DY350" i="2"/>
  <c r="DY351" i="2" s="1"/>
  <c r="DY360" i="2" s="1"/>
  <c r="DY295" i="2"/>
  <c r="DY96" i="2"/>
  <c r="DY38" i="2"/>
  <c r="EB291" i="2"/>
  <c r="CI355" i="2"/>
  <c r="CI352" i="2"/>
  <c r="CI360" i="2"/>
  <c r="AI340" i="2"/>
  <c r="AI99" i="2"/>
  <c r="AI50" i="2"/>
  <c r="AI54" i="2"/>
  <c r="AI56" i="2" s="1"/>
  <c r="AI52" i="2"/>
  <c r="AI1" i="2" s="1"/>
  <c r="BQ356" i="2"/>
  <c r="BQ340" i="2"/>
  <c r="BQ99" i="2"/>
  <c r="BQ54" i="2"/>
  <c r="BQ56" i="2" s="1"/>
  <c r="BQ52" i="2"/>
  <c r="BQ1" i="2" s="1"/>
  <c r="BQ50" i="2"/>
  <c r="DL355" i="2"/>
  <c r="DL352" i="2"/>
  <c r="DL360" i="2"/>
  <c r="CU40" i="2"/>
  <c r="CU42" i="2" s="1"/>
  <c r="CU98" i="2"/>
  <c r="DW40" i="2"/>
  <c r="DW42" i="2" s="1"/>
  <c r="DW98" i="2"/>
  <c r="J286" i="2"/>
  <c r="J285" i="2"/>
  <c r="K269" i="2"/>
  <c r="K279" i="2" s="1"/>
  <c r="L306" i="2"/>
  <c r="L307" i="2" s="1"/>
  <c r="K348" i="2"/>
  <c r="K303" i="2"/>
  <c r="K300" i="2"/>
  <c r="K302" i="2"/>
  <c r="I360" i="2"/>
  <c r="EF255" i="2"/>
  <c r="EG255" i="2" s="1"/>
  <c r="EH255" i="2" s="1"/>
  <c r="EI255" i="2" s="1"/>
  <c r="EJ255" i="2" s="1"/>
  <c r="EK255" i="2" s="1"/>
  <c r="EL255" i="2" s="1"/>
  <c r="EM255" i="2" s="1"/>
  <c r="EN255" i="2" s="1"/>
  <c r="EO255" i="2" s="1"/>
  <c r="EP255" i="2" s="1"/>
  <c r="EE221" i="2"/>
  <c r="CH356" i="2"/>
  <c r="CH340" i="2"/>
  <c r="CH99" i="2"/>
  <c r="CH54" i="2"/>
  <c r="CH56" i="2" s="1"/>
  <c r="CH52" i="2"/>
  <c r="CH1" i="2" s="1"/>
  <c r="CH50" i="2"/>
  <c r="DM350" i="2"/>
  <c r="DM351" i="2" s="1"/>
  <c r="DM295" i="2"/>
  <c r="DM96" i="2"/>
  <c r="DM38" i="2"/>
  <c r="DP291" i="2"/>
  <c r="DN291" i="2"/>
  <c r="DE40" i="2"/>
  <c r="DE42" i="2" s="1"/>
  <c r="DE98" i="2"/>
  <c r="CE355" i="2"/>
  <c r="CE352" i="2"/>
  <c r="CE360" i="2"/>
  <c r="EI200" i="2"/>
  <c r="EH125" i="2"/>
  <c r="BI98" i="2"/>
  <c r="DT355" i="2"/>
  <c r="DT352" i="2"/>
  <c r="DT360" i="2"/>
  <c r="DG352" i="2"/>
  <c r="DG355" i="2"/>
  <c r="DG360" i="2"/>
  <c r="DF40" i="2"/>
  <c r="DF42" i="2" s="1"/>
  <c r="DF98" i="2"/>
  <c r="M339" i="2"/>
  <c r="M215" i="2"/>
  <c r="M217" i="2" s="1"/>
  <c r="M53" i="2"/>
  <c r="DR291" i="2"/>
  <c r="J40" i="2"/>
  <c r="J42" i="2" s="1"/>
  <c r="EN94" i="2"/>
  <c r="DP40" i="2"/>
  <c r="DP42" i="2" s="1"/>
  <c r="DP98" i="2"/>
  <c r="BR357" i="2"/>
  <c r="BR339" i="2"/>
  <c r="BR215" i="2"/>
  <c r="BR217" i="2" s="1"/>
  <c r="BR222" i="2" s="1"/>
  <c r="BR53" i="2"/>
  <c r="BM356" i="2"/>
  <c r="BM340" i="2"/>
  <c r="BM99" i="2"/>
  <c r="BM54" i="2"/>
  <c r="BM56" i="2" s="1"/>
  <c r="BM52" i="2"/>
  <c r="BM1" i="2" s="1"/>
  <c r="BM50" i="2"/>
  <c r="DU350" i="2"/>
  <c r="DU351" i="2" s="1"/>
  <c r="DU295" i="2"/>
  <c r="DU96" i="2"/>
  <c r="DU38" i="2"/>
  <c r="DX291" i="2"/>
  <c r="CQ352" i="2"/>
  <c r="CQ355" i="2"/>
  <c r="CQ360" i="2"/>
  <c r="CY40" i="2"/>
  <c r="CY42" i="2" s="1"/>
  <c r="CY98" i="2"/>
  <c r="BT356" i="2"/>
  <c r="BT340" i="2"/>
  <c r="BT52" i="2"/>
  <c r="BT1" i="2" s="1"/>
  <c r="BT99" i="2"/>
  <c r="BT50" i="2"/>
  <c r="BT54" i="2"/>
  <c r="BT56" i="2" s="1"/>
  <c r="EC140" i="2"/>
  <c r="EC138" i="2"/>
  <c r="EC62" i="2"/>
  <c r="DB355" i="2"/>
  <c r="DB352" i="2"/>
  <c r="DB360" i="2"/>
  <c r="CP355" i="2"/>
  <c r="CP352" i="2"/>
  <c r="CP360" i="2"/>
  <c r="AR356" i="2"/>
  <c r="AR340" i="2"/>
  <c r="AR52" i="2"/>
  <c r="AR1" i="2" s="1"/>
  <c r="AR99" i="2"/>
  <c r="AR54" i="2"/>
  <c r="AR56" i="2" s="1"/>
  <c r="AR50" i="2"/>
  <c r="L40" i="2"/>
  <c r="L42" i="2" s="1"/>
  <c r="DK40" i="2"/>
  <c r="DK42" i="2" s="1"/>
  <c r="DK98" i="2"/>
  <c r="AK356" i="2"/>
  <c r="AK340" i="2"/>
  <c r="AK99" i="2"/>
  <c r="AK54" i="2"/>
  <c r="AK56" i="2" s="1"/>
  <c r="AK52" i="2"/>
  <c r="AK1" i="2" s="1"/>
  <c r="AK50" i="2"/>
  <c r="AS40" i="2"/>
  <c r="AS42" i="2" s="1"/>
  <c r="AS98" i="2"/>
  <c r="DA355" i="2"/>
  <c r="DA352" i="2"/>
  <c r="DA360" i="2"/>
  <c r="J359" i="2"/>
  <c r="K354" i="2"/>
  <c r="DQ355" i="2"/>
  <c r="DQ352" i="2"/>
  <c r="DQ360" i="2"/>
  <c r="CK40" i="2"/>
  <c r="CK42" i="2" s="1"/>
  <c r="CK98" i="2"/>
  <c r="CZ355" i="2"/>
  <c r="CZ352" i="2"/>
  <c r="CZ360" i="2"/>
  <c r="AH340" i="2"/>
  <c r="AH99" i="2"/>
  <c r="AH54" i="2"/>
  <c r="AH56" i="2" s="1"/>
  <c r="AH52" i="2"/>
  <c r="AH1" i="2" s="1"/>
  <c r="AH50" i="2"/>
  <c r="DC40" i="2"/>
  <c r="DC42" i="2" s="1"/>
  <c r="DC98" i="2"/>
  <c r="CC40" i="2"/>
  <c r="CC42" i="2" s="1"/>
  <c r="CC98" i="2"/>
  <c r="AW355" i="2"/>
  <c r="AW352" i="2"/>
  <c r="AW360" i="2"/>
  <c r="DE318" i="2"/>
  <c r="DE317" i="2"/>
  <c r="DE296" i="2" s="1"/>
  <c r="AN356" i="2"/>
  <c r="AN340" i="2"/>
  <c r="AN52" i="2"/>
  <c r="AN1" i="2" s="1"/>
  <c r="AN99" i="2"/>
  <c r="AN50" i="2"/>
  <c r="AN54" i="2"/>
  <c r="AN56" i="2" s="1"/>
  <c r="EM204" i="2"/>
  <c r="EM203" i="2" s="1"/>
  <c r="EN30" i="2"/>
  <c r="DD40" i="2"/>
  <c r="DD42" i="2" s="1"/>
  <c r="DD98" i="2"/>
  <c r="BA355" i="2"/>
  <c r="BA352" i="2"/>
  <c r="BA360" i="2"/>
  <c r="EI202" i="2"/>
  <c r="EH187" i="2"/>
  <c r="EC361" i="2"/>
  <c r="EC360" i="2"/>
  <c r="DX40" i="2"/>
  <c r="DX42" i="2" s="1"/>
  <c r="DX98" i="2"/>
  <c r="DJ40" i="2"/>
  <c r="DJ42" i="2" s="1"/>
  <c r="DJ98" i="2"/>
  <c r="EK36" i="2"/>
  <c r="BN356" i="2"/>
  <c r="BN340" i="2"/>
  <c r="BN99" i="2"/>
  <c r="BN54" i="2"/>
  <c r="BN56" i="2" s="1"/>
  <c r="BN52" i="2"/>
  <c r="BN1" i="2" s="1"/>
  <c r="BN50" i="2"/>
  <c r="EJ104" i="2"/>
  <c r="EJ106" i="2" s="1"/>
  <c r="CB40" i="2"/>
  <c r="CB42" i="2" s="1"/>
  <c r="CB98" i="2"/>
  <c r="CJ40" i="2"/>
  <c r="CJ42" i="2" s="1"/>
  <c r="CJ98" i="2"/>
  <c r="CY355" i="2"/>
  <c r="CY352" i="2"/>
  <c r="CY360" i="2"/>
  <c r="CS40" i="2"/>
  <c r="CS42" i="2" s="1"/>
  <c r="CS98" i="2"/>
  <c r="AX356" i="2"/>
  <c r="AX340" i="2"/>
  <c r="AX99" i="2"/>
  <c r="AX54" i="2"/>
  <c r="AX56" i="2" s="1"/>
  <c r="AX52" i="2"/>
  <c r="AX1" i="2" s="1"/>
  <c r="AX50" i="2"/>
  <c r="EA355" i="2"/>
  <c r="EA352" i="2"/>
  <c r="EA360" i="2"/>
  <c r="BX356" i="2"/>
  <c r="BX340" i="2"/>
  <c r="BX52" i="2"/>
  <c r="BX1" i="2" s="1"/>
  <c r="BX99" i="2"/>
  <c r="BX54" i="2"/>
  <c r="BX56" i="2" s="1"/>
  <c r="BX50" i="2"/>
  <c r="CR355" i="2"/>
  <c r="CR352" i="2"/>
  <c r="CR360" i="2"/>
  <c r="DN350" i="2"/>
  <c r="DN351" i="2" s="1"/>
  <c r="DN295" i="2"/>
  <c r="DN96" i="2"/>
  <c r="DN38" i="2"/>
  <c r="DQ291" i="2"/>
  <c r="BG356" i="2"/>
  <c r="BG340" i="2"/>
  <c r="BG99" i="2"/>
  <c r="BG54" i="2"/>
  <c r="BG56" i="2" s="1"/>
  <c r="BG52" i="2"/>
  <c r="BG1" i="2" s="1"/>
  <c r="BG50" i="2"/>
  <c r="EC144" i="2"/>
  <c r="EC68" i="2"/>
  <c r="CA98" i="2"/>
  <c r="I317" i="2"/>
  <c r="I296" i="2" s="1"/>
  <c r="I318" i="2"/>
  <c r="DY280" i="2"/>
  <c r="DS291" i="2"/>
  <c r="BE355" i="2"/>
  <c r="BE352" i="2"/>
  <c r="BE360" i="2"/>
  <c r="EP5" i="2"/>
  <c r="AA144" i="2" s="1"/>
  <c r="Y182" i="2"/>
  <c r="AB187" i="2"/>
  <c r="AB202" i="2" s="1"/>
  <c r="V160" i="2"/>
  <c r="V208" i="2" s="1"/>
  <c r="Z236" i="2"/>
  <c r="AC126" i="2"/>
  <c r="AC207" i="2" s="1"/>
  <c r="U155" i="2"/>
  <c r="Q117" i="2"/>
  <c r="P35" i="2"/>
  <c r="Q119" i="2"/>
  <c r="Q157" i="2"/>
  <c r="AC241" i="2"/>
  <c r="AC228" i="2"/>
  <c r="O159" i="2"/>
  <c r="O201" i="2" s="1"/>
  <c r="AA118" i="2"/>
  <c r="AF237" i="2"/>
  <c r="AD45" i="2"/>
  <c r="U182" i="2"/>
  <c r="T11" i="2"/>
  <c r="AA14" i="2"/>
  <c r="Y27" i="2"/>
  <c r="AA33" i="2"/>
  <c r="AE37" i="2"/>
  <c r="Q47" i="2"/>
  <c r="AB243" i="2"/>
  <c r="AB184" i="2"/>
  <c r="Y183" i="2"/>
  <c r="Z243" i="2"/>
  <c r="O160" i="2"/>
  <c r="O208" i="2" s="1"/>
  <c r="O117" i="2"/>
  <c r="N118" i="2"/>
  <c r="T36" i="2"/>
  <c r="Y119" i="2"/>
  <c r="X188" i="2"/>
  <c r="X209" i="2" s="1"/>
  <c r="T146" i="2"/>
  <c r="T145" i="2" s="1"/>
  <c r="AD155" i="2"/>
  <c r="W125" i="2"/>
  <c r="W200" i="2" s="1"/>
  <c r="V126" i="2"/>
  <c r="V207" i="2" s="1"/>
  <c r="U11" i="2"/>
  <c r="R157" i="2"/>
  <c r="U41" i="2"/>
  <c r="U13" i="2"/>
  <c r="R30" i="2"/>
  <c r="Y19" i="2"/>
  <c r="Y158" i="2" s="1"/>
  <c r="Y49" i="2"/>
  <c r="X184" i="2"/>
  <c r="Z188" i="2"/>
  <c r="Z209" i="2" s="1"/>
  <c r="AA159" i="2"/>
  <c r="AA201" i="2" s="1"/>
  <c r="V184" i="2"/>
  <c r="AB118" i="2"/>
  <c r="Z118" i="2"/>
  <c r="AF118" i="2"/>
  <c r="AE243" i="2"/>
  <c r="AA27" i="2"/>
  <c r="Z120" i="2"/>
  <c r="N146" i="2"/>
  <c r="N145" i="2" s="1"/>
  <c r="AB173" i="2"/>
  <c r="P26" i="2"/>
  <c r="U36" i="2"/>
  <c r="AA119" i="2"/>
  <c r="W26" i="2"/>
  <c r="X11" i="2"/>
  <c r="O33" i="2"/>
  <c r="AB226" i="2"/>
  <c r="AD240" i="2"/>
  <c r="T155" i="2"/>
  <c r="Q118" i="2"/>
  <c r="V117" i="2"/>
  <c r="R47" i="2"/>
  <c r="N157" i="2"/>
  <c r="AB154" i="2"/>
  <c r="U28" i="2"/>
  <c r="AC35" i="2"/>
  <c r="R14" i="2"/>
  <c r="R37" i="2"/>
  <c r="Y25" i="2"/>
  <c r="Q33" i="2"/>
  <c r="S47" i="2"/>
  <c r="V39" i="2"/>
  <c r="AA35" i="2"/>
  <c r="X187" i="2"/>
  <c r="X202" i="2" s="1"/>
  <c r="AB221" i="2"/>
  <c r="P146" i="2"/>
  <c r="P145" i="2" s="1"/>
  <c r="V159" i="2"/>
  <c r="V201" i="2" s="1"/>
  <c r="P109" i="2"/>
  <c r="P108" i="2" s="1"/>
  <c r="AF222" i="2"/>
  <c r="T35" i="2"/>
  <c r="AA216" i="2"/>
  <c r="AB232" i="2"/>
  <c r="AB316" i="2" s="1"/>
  <c r="AB182" i="2"/>
  <c r="AB218" i="2"/>
  <c r="AB153" i="2"/>
  <c r="X160" i="2"/>
  <c r="X208" i="2" s="1"/>
  <c r="U118" i="2"/>
  <c r="R125" i="2"/>
  <c r="R200" i="2" s="1"/>
  <c r="AF241" i="2"/>
  <c r="X13" i="2"/>
  <c r="P37" i="2"/>
  <c r="N154" i="2"/>
  <c r="V157" i="2"/>
  <c r="Z242" i="2"/>
  <c r="AA228" i="2"/>
  <c r="P175" i="2"/>
  <c r="P174" i="2" s="1"/>
  <c r="V175" i="2"/>
  <c r="V174" i="2" s="1"/>
  <c r="R109" i="2"/>
  <c r="R108" i="2" s="1"/>
  <c r="AA55" i="2"/>
  <c r="AE184" i="2"/>
  <c r="X31" i="2"/>
  <c r="AC58" i="2"/>
  <c r="AC335" i="2" s="1"/>
  <c r="AA227" i="2"/>
  <c r="R12" i="2"/>
  <c r="Z20" i="2"/>
  <c r="Z186" i="2" s="1"/>
  <c r="S30" i="2"/>
  <c r="W35" i="2"/>
  <c r="Q48" i="2"/>
  <c r="Q216" i="2" s="1"/>
  <c r="AA242" i="2"/>
  <c r="AD236" i="2"/>
  <c r="N155" i="2"/>
  <c r="AB125" i="2"/>
  <c r="AB200" i="2" s="1"/>
  <c r="AC146" i="2"/>
  <c r="AC145" i="2" s="1"/>
  <c r="AE245" i="2"/>
  <c r="AB14" i="2"/>
  <c r="AB85" i="2" s="1"/>
  <c r="AB39" i="2"/>
  <c r="X157" i="2"/>
  <c r="AD229" i="2"/>
  <c r="Q160" i="2"/>
  <c r="Q208" i="2" s="1"/>
  <c r="N187" i="2"/>
  <c r="N116" i="2"/>
  <c r="O109" i="2"/>
  <c r="O108" i="2" s="1"/>
  <c r="AE240" i="2"/>
  <c r="AA20" i="2"/>
  <c r="AA186" i="2" s="1"/>
  <c r="AA219" i="2"/>
  <c r="O27" i="2"/>
  <c r="V41" i="2"/>
  <c r="AC27" i="2"/>
  <c r="AC245" i="2"/>
  <c r="AC175" i="2"/>
  <c r="AC174" i="2" s="1"/>
  <c r="Z146" i="2"/>
  <c r="Z145" i="2" s="1"/>
  <c r="AC157" i="2"/>
  <c r="Y153" i="2"/>
  <c r="AD106" i="2"/>
  <c r="Y11" i="2"/>
  <c r="X30" i="2"/>
  <c r="R46" i="2"/>
  <c r="P154" i="2"/>
  <c r="W154" i="2"/>
  <c r="AA120" i="2"/>
  <c r="U120" i="2"/>
  <c r="Y21" i="2"/>
  <c r="U12" i="2"/>
  <c r="V31" i="2"/>
  <c r="S37" i="2"/>
  <c r="Z106" i="2"/>
  <c r="Z183" i="2"/>
  <c r="AC187" i="2"/>
  <c r="AC202" i="2" s="1"/>
  <c r="AD184" i="2"/>
  <c r="Y146" i="2"/>
  <c r="Y145" i="2" s="1"/>
  <c r="AB146" i="2"/>
  <c r="AB145" i="2" s="1"/>
  <c r="W11" i="2"/>
  <c r="V27" i="2"/>
  <c r="U116" i="2"/>
  <c r="P182" i="2"/>
  <c r="T45" i="2"/>
  <c r="AC182" i="2"/>
  <c r="AC178" i="2" s="1"/>
  <c r="P27" i="2"/>
  <c r="R11" i="2"/>
  <c r="AA28" i="2"/>
  <c r="AA90" i="2" s="1"/>
  <c r="U39" i="2"/>
  <c r="Z21" i="2"/>
  <c r="S13" i="2"/>
  <c r="O41" i="2"/>
  <c r="AC334" i="2"/>
  <c r="AD234" i="2"/>
  <c r="W183" i="2"/>
  <c r="AC160" i="2"/>
  <c r="AC208" i="2" s="1"/>
  <c r="AC218" i="2"/>
  <c r="S125" i="2"/>
  <c r="S200" i="2" s="1"/>
  <c r="U125" i="2"/>
  <c r="U200" i="2" s="1"/>
  <c r="AE229" i="2"/>
  <c r="AB41" i="2"/>
  <c r="AA183" i="2"/>
  <c r="W334" i="2"/>
  <c r="AA239" i="2"/>
  <c r="Q184" i="2"/>
  <c r="W175" i="2"/>
  <c r="W174" i="2" s="1"/>
  <c r="AC230" i="2"/>
  <c r="R153" i="2"/>
  <c r="T109" i="2"/>
  <c r="T108" i="2" s="1"/>
  <c r="R27" i="2"/>
  <c r="X41" i="2"/>
  <c r="Z220" i="2"/>
  <c r="V182" i="2"/>
  <c r="V178" i="2" s="1"/>
  <c r="AC188" i="2"/>
  <c r="AC209" i="2" s="1"/>
  <c r="W187" i="2"/>
  <c r="W202" i="2" s="1"/>
  <c r="X155" i="2"/>
  <c r="Z182" i="2"/>
  <c r="P118" i="2"/>
  <c r="Y125" i="2"/>
  <c r="Y200" i="2" s="1"/>
  <c r="AF154" i="2"/>
  <c r="W119" i="2"/>
  <c r="O13" i="2"/>
  <c r="O25" i="2"/>
  <c r="O31" i="2"/>
  <c r="O92" i="2" s="1"/>
  <c r="S36" i="2"/>
  <c r="AA41" i="2"/>
  <c r="U49" i="2"/>
  <c r="AD242" i="2"/>
  <c r="AA235" i="2"/>
  <c r="AC219" i="2"/>
  <c r="S153" i="2"/>
  <c r="O116" i="2"/>
  <c r="AD117" i="2"/>
  <c r="AB25" i="2"/>
  <c r="AD46" i="2"/>
  <c r="Z216" i="2"/>
  <c r="N188" i="2"/>
  <c r="Q159" i="2"/>
  <c r="Q201" i="2" s="1"/>
  <c r="O126" i="2"/>
  <c r="O207" i="2" s="1"/>
  <c r="AF232" i="2"/>
  <c r="AF316" i="2" s="1"/>
  <c r="AD47" i="2"/>
  <c r="V120" i="2"/>
  <c r="AB58" i="2"/>
  <c r="AB335" i="2" s="1"/>
  <c r="AC30" i="2"/>
  <c r="AB47" i="2"/>
  <c r="AD241" i="2"/>
  <c r="AD220" i="2"/>
  <c r="P159" i="2"/>
  <c r="P201" i="2" s="1"/>
  <c r="Q183" i="2"/>
  <c r="N119" i="2"/>
  <c r="W118" i="2"/>
  <c r="X36" i="2"/>
  <c r="X55" i="2"/>
  <c r="AA221" i="2"/>
  <c r="N39" i="2"/>
  <c r="AB28" i="2"/>
  <c r="AB90" i="2" s="1"/>
  <c r="AA45" i="2"/>
  <c r="V36" i="2"/>
  <c r="X48" i="2"/>
  <c r="X216" i="2" s="1"/>
  <c r="AC240" i="2"/>
  <c r="AA238" i="2"/>
  <c r="AA372" i="2" s="1"/>
  <c r="Q175" i="2"/>
  <c r="Q174" i="2" s="1"/>
  <c r="AA155" i="2"/>
  <c r="R182" i="2"/>
  <c r="AA117" i="2"/>
  <c r="AC117" i="2"/>
  <c r="AE239" i="2"/>
  <c r="AB31" i="2"/>
  <c r="X120" i="2"/>
  <c r="AA245" i="2"/>
  <c r="AA173" i="2"/>
  <c r="M175" i="2"/>
  <c r="W45" i="2"/>
  <c r="AD30" i="2"/>
  <c r="Z18" i="2"/>
  <c r="AC28" i="2"/>
  <c r="X18" i="2"/>
  <c r="AA241" i="2"/>
  <c r="AA226" i="2"/>
  <c r="Z229" i="2"/>
  <c r="O153" i="2"/>
  <c r="AC159" i="2"/>
  <c r="AC201" i="2" s="1"/>
  <c r="AC109" i="2"/>
  <c r="AC108" i="2" s="1"/>
  <c r="AA109" i="2"/>
  <c r="AA108" i="2" s="1"/>
  <c r="AE183" i="2"/>
  <c r="V49" i="2"/>
  <c r="AA218" i="2"/>
  <c r="AB237" i="2"/>
  <c r="Z235" i="2"/>
  <c r="O155" i="2"/>
  <c r="R175" i="2"/>
  <c r="R174" i="2" s="1"/>
  <c r="AC119" i="2"/>
  <c r="AD118" i="2"/>
  <c r="AF155" i="2"/>
  <c r="T30" i="2"/>
  <c r="AD48" i="2"/>
  <c r="W157" i="2"/>
  <c r="T182" i="2"/>
  <c r="AD183" i="2"/>
  <c r="Q187" i="2"/>
  <c r="Q202" i="2" s="1"/>
  <c r="V187" i="2"/>
  <c r="V202" i="2" s="1"/>
  <c r="U153" i="2"/>
  <c r="Q109" i="2"/>
  <c r="Q108" i="2" s="1"/>
  <c r="P116" i="2"/>
  <c r="S12" i="2"/>
  <c r="AF37" i="2"/>
  <c r="AA157" i="2"/>
  <c r="AC13" i="2"/>
  <c r="X26" i="2"/>
  <c r="O37" i="2"/>
  <c r="Q46" i="2"/>
  <c r="Z334" i="2"/>
  <c r="AC235" i="2"/>
  <c r="T159" i="2"/>
  <c r="T201" i="2" s="1"/>
  <c r="Z159" i="2"/>
  <c r="Z201" i="2" s="1"/>
  <c r="X126" i="2"/>
  <c r="X207" i="2" s="1"/>
  <c r="Q146" i="2"/>
  <c r="Q145" i="2" s="1"/>
  <c r="AF219" i="2"/>
  <c r="T33" i="2"/>
  <c r="O119" i="2"/>
  <c r="AB227" i="2"/>
  <c r="R184" i="2"/>
  <c r="AB183" i="2"/>
  <c r="T117" i="2"/>
  <c r="AC116" i="2"/>
  <c r="AE117" i="2"/>
  <c r="S119" i="2"/>
  <c r="Q35" i="2"/>
  <c r="O48" i="2"/>
  <c r="O216" i="2" s="1"/>
  <c r="V25" i="2"/>
  <c r="O14" i="2"/>
  <c r="O85" i="2" s="1"/>
  <c r="W36" i="2"/>
  <c r="U45" i="2"/>
  <c r="AB230" i="2"/>
  <c r="S184" i="2"/>
  <c r="AC220" i="2"/>
  <c r="Z155" i="2"/>
  <c r="AC106" i="2"/>
  <c r="W55" i="2"/>
  <c r="Z19" i="2"/>
  <c r="Z158" i="2" s="1"/>
  <c r="T120" i="2"/>
  <c r="Y157" i="2"/>
  <c r="AB106" i="2"/>
  <c r="T48" i="2"/>
  <c r="T216" i="2" s="1"/>
  <c r="V119" i="2"/>
  <c r="W28" i="2"/>
  <c r="Q31" i="2"/>
  <c r="AE48" i="2"/>
  <c r="X19" i="2"/>
  <c r="X158" i="2" s="1"/>
  <c r="X150" i="2" s="1"/>
  <c r="X70" i="2" s="1"/>
  <c r="AB144" i="2"/>
  <c r="W30" i="2"/>
  <c r="U46" i="2"/>
  <c r="AC229" i="2"/>
  <c r="AD216" i="2"/>
  <c r="U183" i="2"/>
  <c r="AC224" i="2"/>
  <c r="AA146" i="2"/>
  <c r="AA145" i="2" s="1"/>
  <c r="X146" i="2"/>
  <c r="X145" i="2" s="1"/>
  <c r="AF245" i="2"/>
  <c r="AE220" i="2"/>
  <c r="W12" i="2"/>
  <c r="T37" i="2"/>
  <c r="Z126" i="2"/>
  <c r="Z207" i="2" s="1"/>
  <c r="T154" i="2"/>
  <c r="Z119" i="2"/>
  <c r="T49" i="2"/>
  <c r="N37" i="2"/>
  <c r="AA154" i="2"/>
  <c r="AC25" i="2"/>
  <c r="AA48" i="2"/>
  <c r="R33" i="2"/>
  <c r="AB46" i="2"/>
  <c r="R26" i="2"/>
  <c r="R88" i="2" s="1"/>
  <c r="R35" i="2"/>
  <c r="AF46" i="2"/>
  <c r="AB26" i="2"/>
  <c r="U48" i="2"/>
  <c r="U216" i="2" s="1"/>
  <c r="AB236" i="2"/>
  <c r="S187" i="2"/>
  <c r="S202" i="2" s="1"/>
  <c r="R160" i="2"/>
  <c r="R208" i="2" s="1"/>
  <c r="O188" i="2"/>
  <c r="O209" i="2" s="1"/>
  <c r="X125" i="2"/>
  <c r="X200" i="2" s="1"/>
  <c r="N125" i="2"/>
  <c r="Y13" i="2"/>
  <c r="P14" i="2"/>
  <c r="P85" i="2" s="1"/>
  <c r="V28" i="2"/>
  <c r="R119" i="2"/>
  <c r="T157" i="2"/>
  <c r="AA182" i="2"/>
  <c r="AZ356" i="2"/>
  <c r="AZ340" i="2"/>
  <c r="AZ52" i="2"/>
  <c r="AZ1" i="2" s="1"/>
  <c r="AZ99" i="2"/>
  <c r="AZ50" i="2"/>
  <c r="AZ54" i="2"/>
  <c r="AZ56" i="2" s="1"/>
  <c r="ED350" i="2"/>
  <c r="ED351" i="2" s="1"/>
  <c r="ED295" i="2"/>
  <c r="ED96" i="2"/>
  <c r="ED38" i="2"/>
  <c r="DL40" i="2"/>
  <c r="DL42" i="2" s="1"/>
  <c r="DL98" i="2"/>
  <c r="CX355" i="2"/>
  <c r="CX352" i="2"/>
  <c r="CX360" i="2"/>
  <c r="K305" i="2"/>
  <c r="L304" i="2"/>
  <c r="K284" i="2"/>
  <c r="K283" i="2"/>
  <c r="K355" i="2"/>
  <c r="CL355" i="2"/>
  <c r="CL352" i="2"/>
  <c r="CL360" i="2"/>
  <c r="DZ350" i="2"/>
  <c r="DZ351" i="2" s="1"/>
  <c r="DZ360" i="2" s="1"/>
  <c r="DZ295" i="2"/>
  <c r="DZ96" i="2"/>
  <c r="DZ38" i="2"/>
  <c r="EC291" i="2"/>
  <c r="EI180" i="2"/>
  <c r="DT40" i="2"/>
  <c r="DT42" i="2" s="1"/>
  <c r="DT98" i="2"/>
  <c r="DG40" i="2"/>
  <c r="DG42" i="2" s="1"/>
  <c r="DG98" i="2"/>
  <c r="BH357" i="2"/>
  <c r="BH339" i="2"/>
  <c r="BH215" i="2"/>
  <c r="BH217" i="2" s="1"/>
  <c r="BH222" i="2" s="1"/>
  <c r="BH53" i="2"/>
  <c r="CM356" i="2"/>
  <c r="CM340" i="2"/>
  <c r="CM99" i="2"/>
  <c r="CM54" i="2"/>
  <c r="CM56" i="2" s="1"/>
  <c r="CM50" i="2"/>
  <c r="CM52" i="2"/>
  <c r="CM1" i="2" s="1"/>
  <c r="EH238" i="2"/>
  <c r="EI55" i="2"/>
  <c r="AE3" i="2"/>
  <c r="CV355" i="2"/>
  <c r="CV352" i="2"/>
  <c r="CV360" i="2"/>
  <c r="BD356" i="2"/>
  <c r="BD340" i="2"/>
  <c r="BD52" i="2"/>
  <c r="BD1" i="2" s="1"/>
  <c r="BD99" i="2"/>
  <c r="BD50" i="2"/>
  <c r="BD54" i="2"/>
  <c r="BD56" i="2" s="1"/>
  <c r="CA356" i="2"/>
  <c r="CA340" i="2"/>
  <c r="CA99" i="2"/>
  <c r="CA50" i="2"/>
  <c r="CA54" i="2"/>
  <c r="CA56" i="2" s="1"/>
  <c r="CA52" i="2"/>
  <c r="CA1" i="2" s="1"/>
  <c r="CW329" i="2"/>
  <c r="U330" i="2"/>
  <c r="CW321" i="2"/>
  <c r="CX330" i="2"/>
  <c r="EK284" i="2"/>
  <c r="EL36" i="2" s="1"/>
  <c r="EL268" i="2"/>
  <c r="AM356" i="2"/>
  <c r="AM340" i="2"/>
  <c r="AM99" i="2"/>
  <c r="AM54" i="2"/>
  <c r="AM56" i="2" s="1"/>
  <c r="AM52" i="2"/>
  <c r="AM1" i="2" s="1"/>
  <c r="AM50" i="2"/>
  <c r="BV356" i="2"/>
  <c r="BV340" i="2"/>
  <c r="BV99" i="2"/>
  <c r="BV54" i="2"/>
  <c r="BV56" i="2" s="1"/>
  <c r="BV52" i="2"/>
  <c r="BV1" i="2" s="1"/>
  <c r="BV50" i="2"/>
  <c r="EA40" i="2"/>
  <c r="EA42" i="2" s="1"/>
  <c r="EA98" i="2"/>
  <c r="J301" i="2"/>
  <c r="J299" i="2"/>
  <c r="J262" i="2"/>
  <c r="EJ373" i="2"/>
  <c r="EK276" i="2"/>
  <c r="DB40" i="2"/>
  <c r="DB42" i="2" s="1"/>
  <c r="DB98" i="2"/>
  <c r="CP40" i="2"/>
  <c r="CP42" i="2" s="1"/>
  <c r="CP98" i="2"/>
  <c r="AO355" i="2"/>
  <c r="AO352" i="2"/>
  <c r="AO360" i="2"/>
  <c r="DA98" i="2"/>
  <c r="DA40" i="2"/>
  <c r="DA42" i="2" s="1"/>
  <c r="DQ40" i="2"/>
  <c r="DQ42" i="2" s="1"/>
  <c r="DQ98" i="2"/>
  <c r="AU356" i="2"/>
  <c r="AU340" i="2"/>
  <c r="AU99" i="2"/>
  <c r="AU50" i="2"/>
  <c r="AU54" i="2"/>
  <c r="AU56" i="2" s="1"/>
  <c r="AU52" i="2"/>
  <c r="AU1" i="2" s="1"/>
  <c r="CO356" i="2"/>
  <c r="CO340" i="2"/>
  <c r="CO99" i="2"/>
  <c r="CO54" i="2"/>
  <c r="CO56" i="2" s="1"/>
  <c r="CO52" i="2"/>
  <c r="CO1" i="2" s="1"/>
  <c r="CO50" i="2"/>
  <c r="CZ40" i="2"/>
  <c r="CZ42" i="2" s="1"/>
  <c r="CZ98" i="2"/>
  <c r="DZ361" i="2"/>
  <c r="BF356" i="2"/>
  <c r="BF340" i="2"/>
  <c r="BF99" i="2"/>
  <c r="BF54" i="2"/>
  <c r="BF56" i="2" s="1"/>
  <c r="BF52" i="2"/>
  <c r="BF1" i="2" s="1"/>
  <c r="BF50" i="2"/>
  <c r="BC356" i="2"/>
  <c r="BC340" i="2"/>
  <c r="BC99" i="2"/>
  <c r="BC54" i="2"/>
  <c r="BC56" i="2" s="1"/>
  <c r="BC52" i="2"/>
  <c r="BC1" i="2" s="1"/>
  <c r="BC50" i="2"/>
  <c r="DP355" i="2"/>
  <c r="DP352" i="2"/>
  <c r="DP360" i="2"/>
  <c r="DI355" i="2"/>
  <c r="DI352" i="2"/>
  <c r="DI360" i="2"/>
  <c r="I291" i="2"/>
  <c r="I290" i="2"/>
  <c r="I288" i="2"/>
  <c r="I287" i="2"/>
  <c r="BM146" i="2"/>
  <c r="G356" i="2"/>
  <c r="G340" i="2"/>
  <c r="G99" i="2"/>
  <c r="G54" i="2"/>
  <c r="G56" i="2" s="1"/>
  <c r="G52" i="2"/>
  <c r="G1" i="2" s="1"/>
  <c r="G50" i="2"/>
  <c r="AW40" i="2"/>
  <c r="AW42" i="2" s="1"/>
  <c r="AW98" i="2"/>
  <c r="EF345" i="2"/>
  <c r="EF322" i="2"/>
  <c r="EF271" i="2"/>
  <c r="EF221" i="2" s="1"/>
  <c r="EG33" i="2"/>
  <c r="I356" i="2"/>
  <c r="I340" i="2"/>
  <c r="I99" i="2"/>
  <c r="I50" i="2"/>
  <c r="I54" i="2"/>
  <c r="I56" i="2" s="1"/>
  <c r="I52" i="2"/>
  <c r="I1" i="2" s="1"/>
  <c r="DO40" i="2"/>
  <c r="DO42" i="2" s="1"/>
  <c r="DO98" i="2"/>
  <c r="DA267" i="2"/>
  <c r="CZ269" i="2"/>
  <c r="CZ300" i="2"/>
  <c r="CZ349" i="2"/>
  <c r="BA40" i="2"/>
  <c r="BA42" i="2" s="1"/>
  <c r="BA98" i="2"/>
  <c r="CA352" i="2"/>
  <c r="CA355" i="2"/>
  <c r="CA360" i="2"/>
  <c r="BL356" i="2"/>
  <c r="BL340" i="2"/>
  <c r="BL52" i="2"/>
  <c r="BL1" i="2" s="1"/>
  <c r="BL99" i="2"/>
  <c r="BL50" i="2"/>
  <c r="BL54" i="2"/>
  <c r="BL56" i="2" s="1"/>
  <c r="AQ356" i="2"/>
  <c r="AQ340" i="2"/>
  <c r="AQ99" i="2"/>
  <c r="AQ54" i="2"/>
  <c r="AQ56" i="2" s="1"/>
  <c r="AQ52" i="2"/>
  <c r="AQ1" i="2" s="1"/>
  <c r="AQ50" i="2"/>
  <c r="EM97" i="2"/>
  <c r="EI66" i="2"/>
  <c r="EJ336" i="2"/>
  <c r="EJ334" i="2" s="1"/>
  <c r="CD355" i="2"/>
  <c r="CD352" i="2"/>
  <c r="CD360" i="2"/>
  <c r="CR40" i="2"/>
  <c r="CR42" i="2" s="1"/>
  <c r="CR98" i="2"/>
  <c r="DZ269" i="2"/>
  <c r="EA267" i="2"/>
  <c r="DZ300" i="2"/>
  <c r="DZ349" i="2"/>
  <c r="CI356" i="2"/>
  <c r="CI340" i="2"/>
  <c r="CI99" i="2"/>
  <c r="CI52" i="2"/>
  <c r="CI1" i="2" s="1"/>
  <c r="CI54" i="2"/>
  <c r="CI56" i="2" s="1"/>
  <c r="CI50" i="2"/>
  <c r="BE356" i="2"/>
  <c r="BE340" i="2"/>
  <c r="BE99" i="2"/>
  <c r="BE54" i="2"/>
  <c r="BE56" i="2" s="1"/>
  <c r="BE52" i="2"/>
  <c r="BE1" i="2" s="1"/>
  <c r="BE50" i="2"/>
  <c r="AT357" i="2"/>
  <c r="AT339" i="2"/>
  <c r="AT215" i="2"/>
  <c r="AT217" i="2" s="1"/>
  <c r="AT222" i="2" s="1"/>
  <c r="AT53" i="2"/>
  <c r="DH355" i="2"/>
  <c r="DH352" i="2"/>
  <c r="DH360" i="2"/>
  <c r="CX40" i="2"/>
  <c r="CX42" i="2" s="1"/>
  <c r="CX98" i="2"/>
  <c r="CU355" i="2"/>
  <c r="CU352" i="2"/>
  <c r="CU360" i="2"/>
  <c r="K258" i="2"/>
  <c r="K345" i="2"/>
  <c r="K322" i="2"/>
  <c r="L94" i="2"/>
  <c r="K332" i="2"/>
  <c r="K349" i="2"/>
  <c r="K344" i="2"/>
  <c r="K343" i="2"/>
  <c r="K342" i="2"/>
  <c r="DW291" i="2"/>
  <c r="ED361" i="2"/>
  <c r="CL356" i="2"/>
  <c r="CL340" i="2"/>
  <c r="CL99" i="2"/>
  <c r="CL52" i="2"/>
  <c r="CL1" i="2" s="1"/>
  <c r="CL54" i="2"/>
  <c r="CL56" i="2" s="1"/>
  <c r="CL50" i="2"/>
  <c r="AY356" i="2"/>
  <c r="AY340" i="2"/>
  <c r="AY99" i="2"/>
  <c r="AY50" i="2"/>
  <c r="AY54" i="2"/>
  <c r="AY56" i="2" s="1"/>
  <c r="AY52" i="2"/>
  <c r="AY1" i="2" s="1"/>
  <c r="AV356" i="2"/>
  <c r="AV340" i="2"/>
  <c r="AV52" i="2"/>
  <c r="AV1" i="2" s="1"/>
  <c r="AV99" i="2"/>
  <c r="AV50" i="2"/>
  <c r="AV54" i="2"/>
  <c r="AV56" i="2" s="1"/>
  <c r="BZ355" i="2"/>
  <c r="BZ352" i="2"/>
  <c r="BZ360" i="2"/>
  <c r="CE356" i="2"/>
  <c r="CE340" i="2"/>
  <c r="CE99" i="2"/>
  <c r="CE50" i="2"/>
  <c r="CE54" i="2"/>
  <c r="CE56" i="2" s="1"/>
  <c r="CE52" i="2"/>
  <c r="CE1" i="2" s="1"/>
  <c r="AJ340" i="2"/>
  <c r="AJ52" i="2"/>
  <c r="AJ1" i="2" s="1"/>
  <c r="AJ99" i="2"/>
  <c r="AJ50" i="2"/>
  <c r="AJ54" i="2"/>
  <c r="AJ56" i="2" s="1"/>
  <c r="AC112" i="2" l="1"/>
  <c r="Y149" i="2"/>
  <c r="EM140" i="2"/>
  <c r="EM138" i="2"/>
  <c r="EK113" i="2"/>
  <c r="EL149" i="2"/>
  <c r="EL71" i="2"/>
  <c r="EM150" i="2"/>
  <c r="EJ151" i="2"/>
  <c r="EK151" i="2"/>
  <c r="EK65" i="2"/>
  <c r="EK112" i="2"/>
  <c r="EJ113" i="2"/>
  <c r="EJ114" i="2" s="1"/>
  <c r="EJ65" i="2"/>
  <c r="EN108" i="2"/>
  <c r="EL145" i="2"/>
  <c r="EJ110" i="2"/>
  <c r="W123" i="2"/>
  <c r="Y69" i="2"/>
  <c r="S204" i="2"/>
  <c r="AC337" i="2"/>
  <c r="W88" i="2"/>
  <c r="U185" i="2"/>
  <c r="T144" i="2"/>
  <c r="T68" i="2"/>
  <c r="BG357" i="2"/>
  <c r="BG339" i="2"/>
  <c r="BG215" i="2"/>
  <c r="BG217" i="2" s="1"/>
  <c r="BG222" i="2" s="1"/>
  <c r="BG53" i="2"/>
  <c r="AH339" i="2"/>
  <c r="AH215" i="2"/>
  <c r="AH217" i="2" s="1"/>
  <c r="AH222" i="2" s="1"/>
  <c r="AH53" i="2"/>
  <c r="AK357" i="2"/>
  <c r="AK339" i="2"/>
  <c r="AK215" i="2"/>
  <c r="AK217" i="2" s="1"/>
  <c r="AK222" i="2" s="1"/>
  <c r="AK53" i="2"/>
  <c r="L356" i="2"/>
  <c r="L340" i="2"/>
  <c r="L99" i="2"/>
  <c r="L50" i="2"/>
  <c r="L54" i="2"/>
  <c r="L56" i="2" s="1"/>
  <c r="L52" i="2"/>
  <c r="L1" i="2" s="1"/>
  <c r="DP356" i="2"/>
  <c r="DP340" i="2"/>
  <c r="DP52" i="2"/>
  <c r="DP1" i="2" s="1"/>
  <c r="DP99" i="2"/>
  <c r="DP54" i="2"/>
  <c r="DP56" i="2" s="1"/>
  <c r="DP50" i="2"/>
  <c r="DE356" i="2"/>
  <c r="DE340" i="2"/>
  <c r="DE99" i="2"/>
  <c r="DE54" i="2"/>
  <c r="DE56" i="2" s="1"/>
  <c r="DE50" i="2"/>
  <c r="DE52" i="2"/>
  <c r="DE1" i="2" s="1"/>
  <c r="K359" i="2"/>
  <c r="J291" i="2"/>
  <c r="J290" i="2"/>
  <c r="J288" i="2"/>
  <c r="J287" i="2"/>
  <c r="DY40" i="2"/>
  <c r="DY42" i="2" s="1"/>
  <c r="DY98" i="2"/>
  <c r="EL259" i="2"/>
  <c r="EK236" i="2"/>
  <c r="K356" i="2"/>
  <c r="K340" i="2"/>
  <c r="K99" i="2"/>
  <c r="K54" i="2"/>
  <c r="K56" i="2" s="1"/>
  <c r="K52" i="2"/>
  <c r="K1" i="2" s="1"/>
  <c r="K50" i="2"/>
  <c r="CG357" i="2"/>
  <c r="CG339" i="2"/>
  <c r="CG215" i="2"/>
  <c r="CG217" i="2" s="1"/>
  <c r="CG222" i="2" s="1"/>
  <c r="CG53" i="2"/>
  <c r="H357" i="2"/>
  <c r="H339" i="2"/>
  <c r="H215" i="2"/>
  <c r="H217" i="2" s="1"/>
  <c r="H53" i="2"/>
  <c r="DV40" i="2"/>
  <c r="DV42" i="2" s="1"/>
  <c r="DV98" i="2"/>
  <c r="CF356" i="2"/>
  <c r="CF340" i="2"/>
  <c r="CF52" i="2"/>
  <c r="CF1" i="2" s="1"/>
  <c r="CF99" i="2"/>
  <c r="CF50" i="2"/>
  <c r="CF54" i="2"/>
  <c r="CF56" i="2" s="1"/>
  <c r="ED173" i="2"/>
  <c r="AD173" i="2" s="1"/>
  <c r="ED74" i="2"/>
  <c r="EE74" i="2" s="1"/>
  <c r="EE174" i="2" s="1"/>
  <c r="BJ357" i="2"/>
  <c r="BJ339" i="2"/>
  <c r="BJ215" i="2"/>
  <c r="BJ217" i="2" s="1"/>
  <c r="BJ222" i="2" s="1"/>
  <c r="BJ53" i="2"/>
  <c r="DS40" i="2"/>
  <c r="DS42" i="2" s="1"/>
  <c r="DS98" i="2"/>
  <c r="AO356" i="2"/>
  <c r="AO340" i="2"/>
  <c r="AO99" i="2"/>
  <c r="AO54" i="2"/>
  <c r="AO56" i="2" s="1"/>
  <c r="AO52" i="2"/>
  <c r="AO1" i="2" s="1"/>
  <c r="AO50" i="2"/>
  <c r="EC355" i="2"/>
  <c r="EC352" i="2"/>
  <c r="EK178" i="2"/>
  <c r="EK77" i="2"/>
  <c r="EL75" i="2"/>
  <c r="L258" i="2"/>
  <c r="L345" i="2"/>
  <c r="L322" i="2"/>
  <c r="L332" i="2"/>
  <c r="M94" i="2"/>
  <c r="L349" i="2"/>
  <c r="L344" i="2"/>
  <c r="L343" i="2"/>
  <c r="L342" i="2"/>
  <c r="DH356" i="2"/>
  <c r="DH340" i="2"/>
  <c r="DH52" i="2"/>
  <c r="DH1" i="2" s="1"/>
  <c r="DH99" i="2"/>
  <c r="DH50" i="2"/>
  <c r="DH54" i="2"/>
  <c r="DH56" i="2" s="1"/>
  <c r="F357" i="2"/>
  <c r="F339" i="2"/>
  <c r="F215" i="2"/>
  <c r="F217" i="2" s="1"/>
  <c r="F53" i="2"/>
  <c r="EF281" i="2"/>
  <c r="EF249" i="2"/>
  <c r="EF214" i="2"/>
  <c r="EF60" i="2"/>
  <c r="EF4" i="2"/>
  <c r="EF9" i="2"/>
  <c r="EG7" i="2"/>
  <c r="EF3" i="2"/>
  <c r="EL14" i="2"/>
  <c r="EK28" i="2"/>
  <c r="EK90" i="2" s="1"/>
  <c r="BA356" i="2"/>
  <c r="BA340" i="2"/>
  <c r="BA99" i="2"/>
  <c r="BA54" i="2"/>
  <c r="BA56" i="2" s="1"/>
  <c r="BA52" i="2"/>
  <c r="BA1" i="2" s="1"/>
  <c r="BA50" i="2"/>
  <c r="AY357" i="2"/>
  <c r="AY339" i="2"/>
  <c r="AY215" i="2"/>
  <c r="AY217" i="2" s="1"/>
  <c r="AY222" i="2" s="1"/>
  <c r="AY53" i="2"/>
  <c r="CL357" i="2"/>
  <c r="CL339" i="2"/>
  <c r="CL215" i="2"/>
  <c r="CL217" i="2" s="1"/>
  <c r="CL222" i="2" s="1"/>
  <c r="CL53" i="2"/>
  <c r="I357" i="2"/>
  <c r="I339" i="2"/>
  <c r="I215" i="2"/>
  <c r="I217" i="2" s="1"/>
  <c r="I53" i="2"/>
  <c r="EG314" i="2"/>
  <c r="EG218" i="2"/>
  <c r="AD33" i="2"/>
  <c r="CZ356" i="2"/>
  <c r="CZ340" i="2"/>
  <c r="CZ52" i="2"/>
  <c r="CZ1" i="2" s="1"/>
  <c r="CZ99" i="2"/>
  <c r="CZ54" i="2"/>
  <c r="CZ56" i="2" s="1"/>
  <c r="CZ50" i="2"/>
  <c r="BV357" i="2"/>
  <c r="BV339" i="2"/>
  <c r="BV215" i="2"/>
  <c r="BV217" i="2" s="1"/>
  <c r="BV222" i="2" s="1"/>
  <c r="BV53" i="2"/>
  <c r="EL284" i="2"/>
  <c r="EM268" i="2"/>
  <c r="K286" i="2"/>
  <c r="K285" i="2"/>
  <c r="ED40" i="2"/>
  <c r="ED42" i="2" s="1"/>
  <c r="ED98" i="2"/>
  <c r="T314" i="2"/>
  <c r="T218" i="2"/>
  <c r="Q106" i="2"/>
  <c r="Q138" i="2"/>
  <c r="Q62" i="2"/>
  <c r="T204" i="2"/>
  <c r="R173" i="2"/>
  <c r="R74" i="2"/>
  <c r="AC140" i="2"/>
  <c r="AC138" i="2"/>
  <c r="AC110" i="2"/>
  <c r="AC62" i="2"/>
  <c r="Z124" i="2"/>
  <c r="Z22" i="2"/>
  <c r="V75" i="2"/>
  <c r="W176" i="2"/>
  <c r="W74" i="2"/>
  <c r="S185" i="2"/>
  <c r="R123" i="2"/>
  <c r="X204" i="2"/>
  <c r="AC89" i="2"/>
  <c r="N189" i="2"/>
  <c r="N196" i="2" s="1"/>
  <c r="N194" i="2"/>
  <c r="N195" i="2" s="1"/>
  <c r="AC68" i="2"/>
  <c r="R138" i="2"/>
  <c r="R140" i="2"/>
  <c r="R106" i="2"/>
  <c r="R62" i="2"/>
  <c r="X185" i="2"/>
  <c r="P138" i="2"/>
  <c r="P106" i="2"/>
  <c r="P62" i="2"/>
  <c r="N144" i="2"/>
  <c r="N68" i="2"/>
  <c r="V179" i="2"/>
  <c r="V76" i="2" s="1"/>
  <c r="T123" i="2"/>
  <c r="Z221" i="2"/>
  <c r="CB356" i="2"/>
  <c r="CB340" i="2"/>
  <c r="CB52" i="2"/>
  <c r="CB1" i="2" s="1"/>
  <c r="CB99" i="2"/>
  <c r="CB50" i="2"/>
  <c r="CB54" i="2"/>
  <c r="CB56" i="2" s="1"/>
  <c r="BN357" i="2"/>
  <c r="BN339" i="2"/>
  <c r="BN215" i="2"/>
  <c r="BN217" i="2" s="1"/>
  <c r="BN222" i="2" s="1"/>
  <c r="M222" i="2" s="1"/>
  <c r="BN53" i="2"/>
  <c r="DX356" i="2"/>
  <c r="DX340" i="2"/>
  <c r="DX52" i="2"/>
  <c r="DX1" i="2" s="1"/>
  <c r="DX99" i="2"/>
  <c r="DX50" i="2"/>
  <c r="DX54" i="2"/>
  <c r="DX56" i="2" s="1"/>
  <c r="EI187" i="2"/>
  <c r="EJ202" i="2"/>
  <c r="CC356" i="2"/>
  <c r="CC340" i="2"/>
  <c r="CC99" i="2"/>
  <c r="CC54" i="2"/>
  <c r="CC56" i="2" s="1"/>
  <c r="CC52" i="2"/>
  <c r="CC1" i="2" s="1"/>
  <c r="CC50" i="2"/>
  <c r="CK356" i="2"/>
  <c r="CK340" i="2"/>
  <c r="CK99" i="2"/>
  <c r="CK54" i="2"/>
  <c r="CK56" i="2" s="1"/>
  <c r="CK52" i="2"/>
  <c r="CK1" i="2" s="1"/>
  <c r="CK50" i="2"/>
  <c r="AR357" i="2"/>
  <c r="AR339" i="2"/>
  <c r="AR215" i="2"/>
  <c r="AR217" i="2" s="1"/>
  <c r="AR222" i="2" s="1"/>
  <c r="AR53" i="2"/>
  <c r="CY356" i="2"/>
  <c r="CY340" i="2"/>
  <c r="CY99" i="2"/>
  <c r="CY54" i="2"/>
  <c r="CY56" i="2" s="1"/>
  <c r="CY52" i="2"/>
  <c r="CY1" i="2" s="1"/>
  <c r="CY50" i="2"/>
  <c r="CU356" i="2"/>
  <c r="CU340" i="2"/>
  <c r="CU99" i="2"/>
  <c r="CU54" i="2"/>
  <c r="CU56" i="2" s="1"/>
  <c r="CU52" i="2"/>
  <c r="CU1" i="2" s="1"/>
  <c r="CU50" i="2"/>
  <c r="BQ357" i="2"/>
  <c r="BQ339" i="2"/>
  <c r="BQ215" i="2"/>
  <c r="BQ217" i="2" s="1"/>
  <c r="BQ222" i="2" s="1"/>
  <c r="BQ53" i="2"/>
  <c r="AI339" i="2"/>
  <c r="AI215" i="2"/>
  <c r="AI217" i="2" s="1"/>
  <c r="AI222" i="2" s="1"/>
  <c r="AI53" i="2"/>
  <c r="DR355" i="2"/>
  <c r="DR352" i="2"/>
  <c r="DR360" i="2"/>
  <c r="EL371" i="2"/>
  <c r="EM273" i="2"/>
  <c r="CT356" i="2"/>
  <c r="CT340" i="2"/>
  <c r="CT99" i="2"/>
  <c r="CT54" i="2"/>
  <c r="CT56" i="2" s="1"/>
  <c r="CT52" i="2"/>
  <c r="CT1" i="2" s="1"/>
  <c r="CT50" i="2"/>
  <c r="EF303" i="2"/>
  <c r="EF307" i="2"/>
  <c r="EJ176" i="2"/>
  <c r="EL171" i="2"/>
  <c r="EB355" i="2"/>
  <c r="EB352" i="2"/>
  <c r="EB360" i="2"/>
  <c r="EC40" i="2"/>
  <c r="EC42" i="2" s="1"/>
  <c r="EC98" i="2"/>
  <c r="BU357" i="2"/>
  <c r="BU339" i="2"/>
  <c r="BU215" i="2"/>
  <c r="BU217" i="2" s="1"/>
  <c r="BU222" i="2" s="1"/>
  <c r="BU53" i="2"/>
  <c r="EJ180" i="2"/>
  <c r="M261" i="2"/>
  <c r="M260" i="2"/>
  <c r="M259" i="2"/>
  <c r="M257" i="2"/>
  <c r="M308" i="2" s="1"/>
  <c r="M256" i="2"/>
  <c r="M255" i="2"/>
  <c r="M254" i="2"/>
  <c r="M304" i="2" s="1"/>
  <c r="M253" i="2"/>
  <c r="M252" i="2"/>
  <c r="M251" i="2"/>
  <c r="M277" i="2"/>
  <c r="M275" i="2"/>
  <c r="M273" i="2"/>
  <c r="M371" i="2" s="1"/>
  <c r="M271" i="2"/>
  <c r="M311" i="2" s="1"/>
  <c r="M267" i="2"/>
  <c r="M265" i="2"/>
  <c r="M278" i="2"/>
  <c r="M356" i="2" s="1"/>
  <c r="M276" i="2"/>
  <c r="M373" i="2" s="1"/>
  <c r="M274" i="2"/>
  <c r="M272" i="2"/>
  <c r="M270" i="2"/>
  <c r="M268" i="2"/>
  <c r="M266" i="2"/>
  <c r="M309" i="2" s="1"/>
  <c r="N4" i="2"/>
  <c r="L371" i="2"/>
  <c r="CD356" i="2"/>
  <c r="CD340" i="2"/>
  <c r="CD99" i="2"/>
  <c r="CD54" i="2"/>
  <c r="CD56" i="2" s="1"/>
  <c r="CD52" i="2"/>
  <c r="CD1" i="2" s="1"/>
  <c r="CD50" i="2"/>
  <c r="DI340" i="2"/>
  <c r="DI356" i="2"/>
  <c r="DI99" i="2"/>
  <c r="DI50" i="2"/>
  <c r="DI54" i="2"/>
  <c r="DI56" i="2" s="1"/>
  <c r="DI52" i="2"/>
  <c r="DI1" i="2" s="1"/>
  <c r="EE175" i="2"/>
  <c r="EE146" i="2"/>
  <c r="EJ90" i="2"/>
  <c r="AE28" i="2"/>
  <c r="AJ339" i="2"/>
  <c r="AJ215" i="2"/>
  <c r="AJ217" i="2" s="1"/>
  <c r="AJ222" i="2" s="1"/>
  <c r="AJ53" i="2"/>
  <c r="AQ357" i="2"/>
  <c r="AQ339" i="2"/>
  <c r="AQ215" i="2"/>
  <c r="AQ217" i="2" s="1"/>
  <c r="AQ222" i="2" s="1"/>
  <c r="AQ53" i="2"/>
  <c r="DA356" i="2"/>
  <c r="DA340" i="2"/>
  <c r="DA99" i="2"/>
  <c r="DA52" i="2"/>
  <c r="DA1" i="2" s="1"/>
  <c r="DA50" i="2"/>
  <c r="DA54" i="2"/>
  <c r="DA56" i="2" s="1"/>
  <c r="DB356" i="2"/>
  <c r="DB340" i="2"/>
  <c r="DB54" i="2"/>
  <c r="DB56" i="2" s="1"/>
  <c r="DB99" i="2"/>
  <c r="DB52" i="2"/>
  <c r="DB1" i="2" s="1"/>
  <c r="DB50" i="2"/>
  <c r="EI238" i="2"/>
  <c r="EI372" i="2" s="1"/>
  <c r="EJ55" i="2"/>
  <c r="Y185" i="2"/>
  <c r="Y84" i="2"/>
  <c r="W156" i="2"/>
  <c r="AA138" i="2"/>
  <c r="AA140" i="2"/>
  <c r="AA62" i="2"/>
  <c r="CE357" i="2"/>
  <c r="CE339" i="2"/>
  <c r="CE215" i="2"/>
  <c r="CE217" i="2" s="1"/>
  <c r="CE222" i="2" s="1"/>
  <c r="CE53" i="2"/>
  <c r="AV357" i="2"/>
  <c r="AV339" i="2"/>
  <c r="AV215" i="2"/>
  <c r="AV217" i="2" s="1"/>
  <c r="AV222" i="2" s="1"/>
  <c r="AV53" i="2"/>
  <c r="K301" i="2"/>
  <c r="K299" i="2"/>
  <c r="K262" i="2"/>
  <c r="CI357" i="2"/>
  <c r="CI339" i="2"/>
  <c r="CI215" i="2"/>
  <c r="CI217" i="2" s="1"/>
  <c r="CI222" i="2" s="1"/>
  <c r="CI53" i="2"/>
  <c r="EA269" i="2"/>
  <c r="EB267" i="2"/>
  <c r="EA300" i="2"/>
  <c r="EA349" i="2"/>
  <c r="CR356" i="2"/>
  <c r="CR340" i="2"/>
  <c r="CR99" i="2"/>
  <c r="CR50" i="2"/>
  <c r="CR54" i="2"/>
  <c r="CR56" i="2" s="1"/>
  <c r="CR52" i="2"/>
  <c r="CR1" i="2" s="1"/>
  <c r="DO356" i="2"/>
  <c r="DO340" i="2"/>
  <c r="DO99" i="2"/>
  <c r="DO54" i="2"/>
  <c r="DO56" i="2" s="1"/>
  <c r="DO52" i="2"/>
  <c r="DO1" i="2" s="1"/>
  <c r="DO50" i="2"/>
  <c r="BC357" i="2"/>
  <c r="BC339" i="2"/>
  <c r="BC215" i="2"/>
  <c r="BC217" i="2" s="1"/>
  <c r="BC222" i="2" s="1"/>
  <c r="BC53" i="2"/>
  <c r="CO357" i="2"/>
  <c r="CO339" i="2"/>
  <c r="CO215" i="2"/>
  <c r="CO217" i="2" s="1"/>
  <c r="CO222" i="2" s="1"/>
  <c r="CO53" i="2"/>
  <c r="AU357" i="2"/>
  <c r="AU339" i="2"/>
  <c r="AU215" i="2"/>
  <c r="AU217" i="2" s="1"/>
  <c r="AU222" i="2" s="1"/>
  <c r="AU53" i="2"/>
  <c r="CP356" i="2"/>
  <c r="CP340" i="2"/>
  <c r="CP99" i="2"/>
  <c r="CP52" i="2"/>
  <c r="CP1" i="2" s="1"/>
  <c r="CP50" i="2"/>
  <c r="CP54" i="2"/>
  <c r="CP56" i="2" s="1"/>
  <c r="EK373" i="2"/>
  <c r="EL276" i="2"/>
  <c r="CA357" i="2"/>
  <c r="CA339" i="2"/>
  <c r="CA215" i="2"/>
  <c r="CA217" i="2" s="1"/>
  <c r="CA222" i="2" s="1"/>
  <c r="CA53" i="2"/>
  <c r="EH372" i="2"/>
  <c r="DG356" i="2"/>
  <c r="DG340" i="2"/>
  <c r="DG99" i="2"/>
  <c r="DG50" i="2"/>
  <c r="DG54" i="2"/>
  <c r="DG56" i="2" s="1"/>
  <c r="DG52" i="2"/>
  <c r="DG1" i="2" s="1"/>
  <c r="AZ357" i="2"/>
  <c r="AZ339" i="2"/>
  <c r="AZ215" i="2"/>
  <c r="AZ217" i="2" s="1"/>
  <c r="AZ222" i="2" s="1"/>
  <c r="AZ53" i="2"/>
  <c r="N132" i="2"/>
  <c r="N133" i="2" s="1"/>
  <c r="R314" i="2"/>
  <c r="R218" i="2"/>
  <c r="W204" i="2"/>
  <c r="AD204" i="2"/>
  <c r="O185" i="2"/>
  <c r="O84" i="2"/>
  <c r="T138" i="2"/>
  <c r="T140" i="2"/>
  <c r="T106" i="2"/>
  <c r="T62" i="2"/>
  <c r="AB147" i="2"/>
  <c r="AB68" i="2"/>
  <c r="U156" i="2"/>
  <c r="Y123" i="2"/>
  <c r="Y82" i="2"/>
  <c r="Z147" i="2"/>
  <c r="Z68" i="2"/>
  <c r="R156" i="2"/>
  <c r="V176" i="2"/>
  <c r="V74" i="2"/>
  <c r="AB149" i="2"/>
  <c r="Q314" i="2"/>
  <c r="Q218" i="2"/>
  <c r="O314" i="2"/>
  <c r="O218" i="2"/>
  <c r="O95" i="2"/>
  <c r="AA314" i="2"/>
  <c r="W184" i="2"/>
  <c r="W179" i="2" s="1"/>
  <c r="W76" i="2" s="1"/>
  <c r="DN355" i="2"/>
  <c r="DN352" i="2"/>
  <c r="DN360" i="2"/>
  <c r="BX357" i="2"/>
  <c r="BX339" i="2"/>
  <c r="BX215" i="2"/>
  <c r="BX217" i="2" s="1"/>
  <c r="BX222" i="2" s="1"/>
  <c r="BX53" i="2"/>
  <c r="CS356" i="2"/>
  <c r="CS340" i="2"/>
  <c r="CS99" i="2"/>
  <c r="CS54" i="2"/>
  <c r="CS56" i="2" s="1"/>
  <c r="CS52" i="2"/>
  <c r="CS1" i="2" s="1"/>
  <c r="CS50" i="2"/>
  <c r="DD356" i="2"/>
  <c r="DD340" i="2"/>
  <c r="DD52" i="2"/>
  <c r="DD1" i="2" s="1"/>
  <c r="DD99" i="2"/>
  <c r="DD54" i="2"/>
  <c r="DD56" i="2" s="1"/>
  <c r="DD50" i="2"/>
  <c r="EN204" i="2"/>
  <c r="EN203" i="2" s="1"/>
  <c r="EO30" i="2"/>
  <c r="AN357" i="2"/>
  <c r="AN339" i="2"/>
  <c r="AN215" i="2"/>
  <c r="AN217" i="2" s="1"/>
  <c r="AN222" i="2" s="1"/>
  <c r="AN53" i="2"/>
  <c r="J360" i="2"/>
  <c r="DU355" i="2"/>
  <c r="DU352" i="2"/>
  <c r="DU360" i="2"/>
  <c r="EO94" i="2"/>
  <c r="M231" i="2"/>
  <c r="M233" i="2" s="1"/>
  <c r="M244" i="2" s="1"/>
  <c r="M246" i="2" s="1"/>
  <c r="DF356" i="2"/>
  <c r="DF340" i="2"/>
  <c r="DF54" i="2"/>
  <c r="DF56" i="2" s="1"/>
  <c r="DF99" i="2"/>
  <c r="DF52" i="2"/>
  <c r="DF1" i="2" s="1"/>
  <c r="DF50" i="2"/>
  <c r="DM355" i="2"/>
  <c r="DM352" i="2"/>
  <c r="DM360" i="2"/>
  <c r="EK31" i="2"/>
  <c r="EK256" i="2"/>
  <c r="EJ201" i="2"/>
  <c r="EI159" i="2"/>
  <c r="DR40" i="2"/>
  <c r="DR42" i="2" s="1"/>
  <c r="DR98" i="2"/>
  <c r="CN356" i="2"/>
  <c r="CN340" i="2"/>
  <c r="CN54" i="2"/>
  <c r="CN56" i="2" s="1"/>
  <c r="CN99" i="2"/>
  <c r="CN50" i="2"/>
  <c r="CN52" i="2"/>
  <c r="CN1" i="2" s="1"/>
  <c r="BY357" i="2"/>
  <c r="BY339" i="2"/>
  <c r="BY215" i="2"/>
  <c r="BY217" i="2" s="1"/>
  <c r="BY222" i="2" s="1"/>
  <c r="BY53" i="2"/>
  <c r="ED140" i="2"/>
  <c r="ED138" i="2"/>
  <c r="ED62" i="2"/>
  <c r="EE62" i="2" s="1"/>
  <c r="EE108" i="2" s="1"/>
  <c r="EF305" i="2"/>
  <c r="BW357" i="2"/>
  <c r="BW339" i="2"/>
  <c r="BW215" i="2"/>
  <c r="BW217" i="2" s="1"/>
  <c r="BW222" i="2" s="1"/>
  <c r="BW53" i="2"/>
  <c r="DS355" i="2"/>
  <c r="DS352" i="2"/>
  <c r="DS360" i="2"/>
  <c r="EK173" i="2"/>
  <c r="EK176" i="2" s="1"/>
  <c r="EB40" i="2"/>
  <c r="EB42" i="2" s="1"/>
  <c r="EB98" i="2"/>
  <c r="BZ357" i="2"/>
  <c r="BZ339" i="2"/>
  <c r="BZ215" i="2"/>
  <c r="BZ217" i="2" s="1"/>
  <c r="BZ222" i="2" s="1"/>
  <c r="BZ53" i="2"/>
  <c r="L269" i="2"/>
  <c r="L279" i="2" s="1"/>
  <c r="M306" i="2"/>
  <c r="M307" i="2" s="1"/>
  <c r="L348" i="2"/>
  <c r="L355" i="2" s="1"/>
  <c r="L303" i="2"/>
  <c r="L300" i="2"/>
  <c r="L302" i="2"/>
  <c r="CW357" i="2"/>
  <c r="CW339" i="2"/>
  <c r="CW215" i="2"/>
  <c r="CW217" i="2" s="1"/>
  <c r="CW222" i="2" s="1"/>
  <c r="CW53" i="2"/>
  <c r="AP357" i="2"/>
  <c r="AP339" i="2"/>
  <c r="AP215" i="2"/>
  <c r="AP217" i="2" s="1"/>
  <c r="AP222" i="2" s="1"/>
  <c r="AP53" i="2"/>
  <c r="BI357" i="2"/>
  <c r="BI339" i="2"/>
  <c r="BI215" i="2"/>
  <c r="BI217" i="2" s="1"/>
  <c r="BI222" i="2" s="1"/>
  <c r="BI53" i="2"/>
  <c r="K98" i="2"/>
  <c r="CX356" i="2"/>
  <c r="CX340" i="2"/>
  <c r="CX99" i="2"/>
  <c r="CX54" i="2"/>
  <c r="CX56" i="2" s="1"/>
  <c r="CX52" i="2"/>
  <c r="CX1" i="2" s="1"/>
  <c r="BE357" i="2"/>
  <c r="BE339" i="2"/>
  <c r="BE215" i="2"/>
  <c r="BE217" i="2" s="1"/>
  <c r="BE222" i="2" s="1"/>
  <c r="BE53" i="2"/>
  <c r="DA269" i="2"/>
  <c r="DB267" i="2"/>
  <c r="DA300" i="2"/>
  <c r="DA349" i="2"/>
  <c r="G357" i="2"/>
  <c r="G339" i="2"/>
  <c r="G215" i="2"/>
  <c r="G217" i="2" s="1"/>
  <c r="G53" i="2"/>
  <c r="BF357" i="2"/>
  <c r="BF339" i="2"/>
  <c r="BF215" i="2"/>
  <c r="BF217" i="2" s="1"/>
  <c r="BF222" i="2" s="1"/>
  <c r="BF53" i="2"/>
  <c r="EA356" i="2"/>
  <c r="EA340" i="2"/>
  <c r="EA99" i="2"/>
  <c r="EA54" i="2"/>
  <c r="EA56" i="2" s="1"/>
  <c r="EA52" i="2"/>
  <c r="EA1" i="2" s="1"/>
  <c r="EA50" i="2"/>
  <c r="CX329" i="2"/>
  <c r="CX320" i="2" s="1"/>
  <c r="CX321" i="2"/>
  <c r="CY330" i="2"/>
  <c r="CM357" i="2"/>
  <c r="CM339" i="2"/>
  <c r="CM215" i="2"/>
  <c r="CM217" i="2" s="1"/>
  <c r="CM222" i="2" s="1"/>
  <c r="CM53" i="2"/>
  <c r="DT356" i="2"/>
  <c r="DT340" i="2"/>
  <c r="DT52" i="2"/>
  <c r="DT1" i="2" s="1"/>
  <c r="DT99" i="2"/>
  <c r="DT54" i="2"/>
  <c r="DT56" i="2" s="1"/>
  <c r="DT50" i="2"/>
  <c r="DZ40" i="2"/>
  <c r="DZ42" i="2" s="1"/>
  <c r="DZ98" i="2"/>
  <c r="DL356" i="2"/>
  <c r="DL340" i="2"/>
  <c r="DL52" i="2"/>
  <c r="DL1" i="2" s="1"/>
  <c r="DL99" i="2"/>
  <c r="DL50" i="2"/>
  <c r="DL54" i="2"/>
  <c r="DL56" i="2" s="1"/>
  <c r="ED355" i="2"/>
  <c r="ED352" i="2"/>
  <c r="AA147" i="2"/>
  <c r="AA68" i="2"/>
  <c r="AC185" i="2"/>
  <c r="ED360" i="2"/>
  <c r="DZ279" i="2"/>
  <c r="DZ280" i="2" s="1"/>
  <c r="DZ301" i="2"/>
  <c r="DZ299" i="2"/>
  <c r="EK336" i="2"/>
  <c r="EK334" i="2"/>
  <c r="EN97" i="2"/>
  <c r="EM36" i="2"/>
  <c r="BL357" i="2"/>
  <c r="BL339" i="2"/>
  <c r="BL215" i="2"/>
  <c r="BL217" i="2" s="1"/>
  <c r="BL222" i="2" s="1"/>
  <c r="BL53" i="2"/>
  <c r="CZ279" i="2"/>
  <c r="CZ301" i="2"/>
  <c r="CZ299" i="2"/>
  <c r="AW340" i="2"/>
  <c r="AW356" i="2"/>
  <c r="AW99" i="2"/>
  <c r="AW54" i="2"/>
  <c r="AW56" i="2" s="1"/>
  <c r="AW52" i="2"/>
  <c r="AW1" i="2" s="1"/>
  <c r="AW50" i="2"/>
  <c r="DQ356" i="2"/>
  <c r="DQ340" i="2"/>
  <c r="DQ99" i="2"/>
  <c r="DQ52" i="2"/>
  <c r="DQ1" i="2" s="1"/>
  <c r="DQ50" i="2"/>
  <c r="DQ54" i="2"/>
  <c r="DQ56" i="2" s="1"/>
  <c r="AM357" i="2"/>
  <c r="AM339" i="2"/>
  <c r="AM215" i="2"/>
  <c r="AM217" i="2" s="1"/>
  <c r="AM222" i="2" s="1"/>
  <c r="AM53" i="2"/>
  <c r="U329" i="2"/>
  <c r="CW320" i="2"/>
  <c r="BD357" i="2"/>
  <c r="BD339" i="2"/>
  <c r="BD215" i="2"/>
  <c r="BD217" i="2" s="1"/>
  <c r="BD222" i="2" s="1"/>
  <c r="BD53" i="2"/>
  <c r="DZ355" i="2"/>
  <c r="DZ352" i="2"/>
  <c r="X147" i="2"/>
  <c r="X68" i="2"/>
  <c r="AC63" i="2"/>
  <c r="Q144" i="2"/>
  <c r="Q68" i="2"/>
  <c r="S156" i="2"/>
  <c r="S83" i="2"/>
  <c r="X124" i="2"/>
  <c r="Q173" i="2"/>
  <c r="Q74" i="2"/>
  <c r="AC204" i="2"/>
  <c r="AC75" i="2"/>
  <c r="Y147" i="2"/>
  <c r="Y68" i="2"/>
  <c r="AC74" i="2"/>
  <c r="O89" i="2"/>
  <c r="O138" i="2"/>
  <c r="O106" i="2"/>
  <c r="O62" i="2"/>
  <c r="P173" i="2"/>
  <c r="P74" i="2"/>
  <c r="N156" i="2"/>
  <c r="N164" i="2" s="1"/>
  <c r="P68" i="2"/>
  <c r="P144" i="2"/>
  <c r="Y87" i="2"/>
  <c r="X123" i="2"/>
  <c r="X82" i="2"/>
  <c r="R204" i="2"/>
  <c r="U123" i="2"/>
  <c r="U82" i="2"/>
  <c r="Y89" i="2"/>
  <c r="F175" i="2"/>
  <c r="AA106" i="2"/>
  <c r="AA110" i="2" s="1"/>
  <c r="X25" i="2"/>
  <c r="X87" i="2" s="1"/>
  <c r="N153" i="2"/>
  <c r="T41" i="2"/>
  <c r="AF21" i="2"/>
  <c r="AE222" i="2"/>
  <c r="S126" i="2"/>
  <c r="S207" i="2" s="1"/>
  <c r="Q126" i="2"/>
  <c r="Q207" i="2" s="1"/>
  <c r="Z238" i="2"/>
  <c r="Z372" i="2" s="1"/>
  <c r="AC236" i="2"/>
  <c r="AA236" i="2"/>
  <c r="AB245" i="2"/>
  <c r="AF48" i="2"/>
  <c r="V13" i="2"/>
  <c r="V89" i="2" s="1"/>
  <c r="O28" i="2"/>
  <c r="O90" i="2" s="1"/>
  <c r="U154" i="2"/>
  <c r="AC55" i="2"/>
  <c r="AB30" i="2"/>
  <c r="AF239" i="2"/>
  <c r="Z125" i="2"/>
  <c r="Z200" i="2" s="1"/>
  <c r="U126" i="2"/>
  <c r="U207" i="2" s="1"/>
  <c r="Z225" i="2"/>
  <c r="Z239" i="2"/>
  <c r="AA225" i="2"/>
  <c r="AD245" i="2"/>
  <c r="AA36" i="2"/>
  <c r="P47" i="2"/>
  <c r="AB19" i="2"/>
  <c r="AB158" i="2" s="1"/>
  <c r="U33" i="2"/>
  <c r="Q26" i="2"/>
  <c r="Q116" i="2"/>
  <c r="AC154" i="2"/>
  <c r="Y188" i="2"/>
  <c r="Y209" i="2" s="1"/>
  <c r="S25" i="2"/>
  <c r="AE49" i="2"/>
  <c r="AC33" i="2"/>
  <c r="AC18" i="2"/>
  <c r="AB126" i="2"/>
  <c r="AB207" i="2" s="1"/>
  <c r="AA240" i="2"/>
  <c r="AA18" i="2"/>
  <c r="V45" i="2"/>
  <c r="R117" i="2"/>
  <c r="U188" i="2"/>
  <c r="U209" i="2" s="1"/>
  <c r="V30" i="2"/>
  <c r="Z219" i="2"/>
  <c r="N120" i="2"/>
  <c r="X33" i="2"/>
  <c r="AE235" i="2"/>
  <c r="T126" i="2"/>
  <c r="T207" i="2" s="1"/>
  <c r="T175" i="2"/>
  <c r="T174" i="2" s="1"/>
  <c r="AB175" i="2"/>
  <c r="AB174" i="2" s="1"/>
  <c r="S31" i="2"/>
  <c r="V14" i="2"/>
  <c r="V90" i="2" s="1"/>
  <c r="AE47" i="2"/>
  <c r="X39" i="2"/>
  <c r="R146" i="2"/>
  <c r="R145" i="2" s="1"/>
  <c r="P184" i="2"/>
  <c r="Y31" i="2"/>
  <c r="Z153" i="2"/>
  <c r="Z149" i="2" s="1"/>
  <c r="Y48" i="2"/>
  <c r="Y216" i="2" s="1"/>
  <c r="R25" i="2"/>
  <c r="R87" i="2" s="1"/>
  <c r="O47" i="2"/>
  <c r="AA19" i="2"/>
  <c r="AA158" i="2" s="1"/>
  <c r="AA150" i="2" s="1"/>
  <c r="AA70" i="2" s="1"/>
  <c r="V154" i="2"/>
  <c r="AB37" i="2"/>
  <c r="AF220" i="2"/>
  <c r="W58" i="2"/>
  <c r="W335" i="2" s="1"/>
  <c r="W337" i="2" s="1"/>
  <c r="AC153" i="2"/>
  <c r="AC149" i="2" s="1"/>
  <c r="Z184" i="2"/>
  <c r="Z179" i="2" s="1"/>
  <c r="Z76" i="2" s="1"/>
  <c r="X159" i="2"/>
  <c r="X201" i="2" s="1"/>
  <c r="AA184" i="2"/>
  <c r="AA179" i="2" s="1"/>
  <c r="AA76" i="2" s="1"/>
  <c r="AD243" i="2"/>
  <c r="S35" i="2"/>
  <c r="Z30" i="2"/>
  <c r="W48" i="2"/>
  <c r="W216" i="2" s="1"/>
  <c r="Z26" i="2"/>
  <c r="H175" i="2"/>
  <c r="V48" i="2"/>
  <c r="Y26" i="2"/>
  <c r="AE219" i="2"/>
  <c r="AF229" i="2"/>
  <c r="Q153" i="2"/>
  <c r="AC155" i="2"/>
  <c r="V146" i="2"/>
  <c r="V145" i="2" s="1"/>
  <c r="W188" i="2"/>
  <c r="W209" i="2" s="1"/>
  <c r="AA237" i="2"/>
  <c r="AC239" i="2"/>
  <c r="Q27" i="2"/>
  <c r="X45" i="2"/>
  <c r="Y12" i="2"/>
  <c r="S27" i="2"/>
  <c r="S89" i="2" s="1"/>
  <c r="AE41" i="2"/>
  <c r="X27" i="2"/>
  <c r="X89" i="2" s="1"/>
  <c r="V26" i="2"/>
  <c r="S26" i="2"/>
  <c r="S88" i="2" s="1"/>
  <c r="T25" i="2"/>
  <c r="T87" i="2" s="1"/>
  <c r="S117" i="2"/>
  <c r="AB228" i="2"/>
  <c r="W49" i="2"/>
  <c r="X37" i="2"/>
  <c r="Z116" i="2"/>
  <c r="P188" i="2"/>
  <c r="P209" i="2" s="1"/>
  <c r="Z36" i="2"/>
  <c r="X47" i="2"/>
  <c r="Q36" i="2"/>
  <c r="R154" i="2"/>
  <c r="Q11" i="2"/>
  <c r="AC125" i="2"/>
  <c r="AC200" i="2" s="1"/>
  <c r="V109" i="2"/>
  <c r="V108" i="2" s="1"/>
  <c r="AC221" i="2"/>
  <c r="Z160" i="2"/>
  <c r="Z208" i="2" s="1"/>
  <c r="AA187" i="2"/>
  <c r="AA202" i="2" s="1"/>
  <c r="AA243" i="2"/>
  <c r="AE30" i="2"/>
  <c r="Z55" i="2"/>
  <c r="V11" i="2"/>
  <c r="U25" i="2"/>
  <c r="U87" i="2" s="1"/>
  <c r="P157" i="2"/>
  <c r="P41" i="2"/>
  <c r="P13" i="2"/>
  <c r="AE242" i="2"/>
  <c r="W109" i="2"/>
  <c r="W108" i="2" s="1"/>
  <c r="AB100" i="2"/>
  <c r="Y159" i="2"/>
  <c r="Y201" i="2" s="1"/>
  <c r="S146" i="2"/>
  <c r="S145" i="2" s="1"/>
  <c r="Z226" i="2"/>
  <c r="AD219" i="2"/>
  <c r="AC243" i="2"/>
  <c r="W25" i="2"/>
  <c r="W87" i="2" s="1"/>
  <c r="AC20" i="2"/>
  <c r="AC186" i="2" s="1"/>
  <c r="R28" i="2"/>
  <c r="R90" i="2" s="1"/>
  <c r="Z13" i="2"/>
  <c r="Z25" i="2"/>
  <c r="Z187" i="2"/>
  <c r="Z202" i="2" s="1"/>
  <c r="O46" i="2"/>
  <c r="W155" i="2"/>
  <c r="R49" i="2"/>
  <c r="AD238" i="2"/>
  <c r="AD372" i="2" s="1"/>
  <c r="S49" i="2"/>
  <c r="Q39" i="2"/>
  <c r="AA224" i="2"/>
  <c r="S39" i="2"/>
  <c r="Q45" i="2"/>
  <c r="Y116" i="2"/>
  <c r="Z218" i="2"/>
  <c r="Q120" i="2"/>
  <c r="P36" i="2"/>
  <c r="T13" i="2"/>
  <c r="AE241" i="2"/>
  <c r="AF242" i="2"/>
  <c r="R116" i="2"/>
  <c r="S160" i="2"/>
  <c r="S208" i="2" s="1"/>
  <c r="S155" i="2"/>
  <c r="U187" i="2"/>
  <c r="U202" i="2" s="1"/>
  <c r="R183" i="2"/>
  <c r="AA100" i="2"/>
  <c r="O30" i="2"/>
  <c r="AB45" i="2"/>
  <c r="AE46" i="2"/>
  <c r="Q13" i="2"/>
  <c r="S157" i="2"/>
  <c r="V46" i="2"/>
  <c r="AB21" i="2"/>
  <c r="X116" i="2"/>
  <c r="Y109" i="2"/>
  <c r="Y108" i="2" s="1"/>
  <c r="W160" i="2"/>
  <c r="W208" i="2" s="1"/>
  <c r="AA153" i="2"/>
  <c r="AA149" i="2" s="1"/>
  <c r="Y184" i="2"/>
  <c r="AD232" i="2"/>
  <c r="AD316" i="2" s="1"/>
  <c r="Y334" i="2"/>
  <c r="W31" i="2"/>
  <c r="Z37" i="2"/>
  <c r="O49" i="2"/>
  <c r="Q25" i="2"/>
  <c r="Q87" i="2" s="1"/>
  <c r="AB12" i="2"/>
  <c r="P117" i="2"/>
  <c r="X153" i="2"/>
  <c r="X149" i="2" s="1"/>
  <c r="AB242" i="2"/>
  <c r="N109" i="2"/>
  <c r="N108" i="2" s="1"/>
  <c r="Y28" i="2"/>
  <c r="K175" i="2"/>
  <c r="R155" i="2"/>
  <c r="AC242" i="2"/>
  <c r="AC37" i="2"/>
  <c r="T14" i="2"/>
  <c r="AB117" i="2"/>
  <c r="X334" i="2"/>
  <c r="S48" i="2"/>
  <c r="S216" i="2" s="1"/>
  <c r="X154" i="2"/>
  <c r="P120" i="2"/>
  <c r="AB13" i="2"/>
  <c r="Y126" i="2"/>
  <c r="Y207" i="2" s="1"/>
  <c r="N160" i="2"/>
  <c r="AB240" i="2"/>
  <c r="V12" i="2"/>
  <c r="W83" i="2" s="1"/>
  <c r="W46" i="2"/>
  <c r="S28" i="2"/>
  <c r="X117" i="2"/>
  <c r="AC48" i="2"/>
  <c r="Q154" i="2"/>
  <c r="T183" i="2"/>
  <c r="AD28" i="2"/>
  <c r="Q12" i="2"/>
  <c r="Q37" i="2"/>
  <c r="Q28" i="2"/>
  <c r="W120" i="2"/>
  <c r="AF234" i="2"/>
  <c r="AB119" i="2"/>
  <c r="Y118" i="2"/>
  <c r="O146" i="2"/>
  <c r="O145" i="2" s="1"/>
  <c r="Z224" i="2"/>
  <c r="AD230" i="2"/>
  <c r="AA334" i="2"/>
  <c r="AA31" i="2"/>
  <c r="T47" i="2"/>
  <c r="O45" i="2"/>
  <c r="AB20" i="2"/>
  <c r="AB186" i="2" s="1"/>
  <c r="AB179" i="2" s="1"/>
  <c r="AB76" i="2" s="1"/>
  <c r="G175" i="2"/>
  <c r="AF41" i="2"/>
  <c r="Y18" i="2"/>
  <c r="V118" i="2"/>
  <c r="V113" i="2" s="1"/>
  <c r="V64" i="2" s="1"/>
  <c r="W117" i="2"/>
  <c r="X183" i="2"/>
  <c r="W159" i="2"/>
  <c r="W201" i="2" s="1"/>
  <c r="Y175" i="2"/>
  <c r="Y174" i="2" s="1"/>
  <c r="V183" i="2"/>
  <c r="Y47" i="2"/>
  <c r="Z12" i="2"/>
  <c r="Z41" i="2"/>
  <c r="W47" i="2"/>
  <c r="X20" i="2"/>
  <c r="X186" i="2" s="1"/>
  <c r="AC19" i="2"/>
  <c r="AC158" i="2" s="1"/>
  <c r="AC150" i="2" s="1"/>
  <c r="AC70" i="2" s="1"/>
  <c r="R13" i="2"/>
  <c r="R15" i="2" s="1"/>
  <c r="T27" i="2"/>
  <c r="T89" i="2" s="1"/>
  <c r="Q41" i="2"/>
  <c r="P183" i="2"/>
  <c r="W41" i="2"/>
  <c r="W27" i="2"/>
  <c r="AC11" i="2"/>
  <c r="AA175" i="2"/>
  <c r="AA174" i="2" s="1"/>
  <c r="AB239" i="2"/>
  <c r="Y37" i="2"/>
  <c r="R41" i="2"/>
  <c r="T12" i="2"/>
  <c r="Y30" i="2"/>
  <c r="S120" i="2"/>
  <c r="P33" i="2"/>
  <c r="AE154" i="2"/>
  <c r="X109" i="2"/>
  <c r="X108" i="2" s="1"/>
  <c r="P125" i="2"/>
  <c r="P200" i="2" s="1"/>
  <c r="W153" i="2"/>
  <c r="Z237" i="2"/>
  <c r="AA229" i="2"/>
  <c r="AC46" i="2"/>
  <c r="X46" i="2"/>
  <c r="AA47" i="2"/>
  <c r="AC14" i="2"/>
  <c r="AC85" i="2" s="1"/>
  <c r="R120" i="2"/>
  <c r="X35" i="2"/>
  <c r="Q125" i="2"/>
  <c r="Q200" i="2" s="1"/>
  <c r="X118" i="2"/>
  <c r="AA188" i="2"/>
  <c r="AA209" i="2" s="1"/>
  <c r="Y160" i="2"/>
  <c r="Y208" i="2" s="1"/>
  <c r="S183" i="2"/>
  <c r="T184" i="2"/>
  <c r="Y46" i="2"/>
  <c r="AB11" i="2"/>
  <c r="O11" i="2"/>
  <c r="AB49" i="2"/>
  <c r="AC237" i="2"/>
  <c r="AA21" i="2"/>
  <c r="AF243" i="2"/>
  <c r="E175" i="2"/>
  <c r="T46" i="2"/>
  <c r="R39" i="2"/>
  <c r="P45" i="2"/>
  <c r="AD334" i="2"/>
  <c r="R45" i="2"/>
  <c r="S45" i="2"/>
  <c r="AD36" i="2"/>
  <c r="P39" i="2"/>
  <c r="AD55" i="2"/>
  <c r="L175" i="2"/>
  <c r="X58" i="2"/>
  <c r="X335" i="2" s="1"/>
  <c r="X337" i="2" s="1"/>
  <c r="P30" i="2"/>
  <c r="U117" i="2"/>
  <c r="AA125" i="2"/>
  <c r="AA200" i="2" s="1"/>
  <c r="AC238" i="2"/>
  <c r="AC372" i="2" s="1"/>
  <c r="AD154" i="2"/>
  <c r="AD235" i="2"/>
  <c r="AB224" i="2"/>
  <c r="AB55" i="2"/>
  <c r="AA13" i="2"/>
  <c r="AA89" i="2" s="1"/>
  <c r="AD37" i="2"/>
  <c r="AC39" i="2"/>
  <c r="U26" i="2"/>
  <c r="U88" i="2" s="1"/>
  <c r="AA126" i="2"/>
  <c r="AA207" i="2" s="1"/>
  <c r="T39" i="2"/>
  <c r="AA12" i="2"/>
  <c r="AF183" i="2"/>
  <c r="N126" i="2"/>
  <c r="N127" i="2" s="1"/>
  <c r="N134" i="2" s="1"/>
  <c r="O125" i="2"/>
  <c r="O200" i="2" s="1"/>
  <c r="Z228" i="2"/>
  <c r="O175" i="2"/>
  <c r="O174" i="2" s="1"/>
  <c r="AB220" i="2"/>
  <c r="T187" i="2"/>
  <c r="T202" i="2" s="1"/>
  <c r="AC49" i="2"/>
  <c r="AB18" i="2"/>
  <c r="Z31" i="2"/>
  <c r="AE45" i="2"/>
  <c r="Y14" i="2"/>
  <c r="AF184" i="2"/>
  <c r="AA160" i="2"/>
  <c r="AA208" i="2" s="1"/>
  <c r="Z241" i="2"/>
  <c r="U47" i="2"/>
  <c r="V37" i="2"/>
  <c r="X49" i="2"/>
  <c r="O120" i="2"/>
  <c r="S188" i="2"/>
  <c r="S209" i="2" s="1"/>
  <c r="O36" i="2"/>
  <c r="Z28" i="2"/>
  <c r="AE234" i="2"/>
  <c r="S175" i="2"/>
  <c r="S174" i="2" s="1"/>
  <c r="AA30" i="2"/>
  <c r="AC21" i="2"/>
  <c r="O157" i="2"/>
  <c r="R48" i="2"/>
  <c r="R216" i="2" s="1"/>
  <c r="AF240" i="2"/>
  <c r="Z230" i="2"/>
  <c r="AC184" i="2"/>
  <c r="AB334" i="2"/>
  <c r="AB337" i="2" s="1"/>
  <c r="P46" i="2"/>
  <c r="S154" i="2"/>
  <c r="Z154" i="2"/>
  <c r="AB155" i="2"/>
  <c r="AD31" i="2"/>
  <c r="Z49" i="2"/>
  <c r="W146" i="2"/>
  <c r="W145" i="2" s="1"/>
  <c r="Y187" i="2"/>
  <c r="Y202" i="2" s="1"/>
  <c r="S11" i="2"/>
  <c r="AA116" i="2"/>
  <c r="AA112" i="2" s="1"/>
  <c r="AC31" i="2"/>
  <c r="AA25" i="2"/>
  <c r="V116" i="2"/>
  <c r="V112" i="2" s="1"/>
  <c r="T31" i="2"/>
  <c r="AE232" i="2"/>
  <c r="AE316" i="2" s="1"/>
  <c r="S109" i="2"/>
  <c r="S108" i="2" s="1"/>
  <c r="X100" i="2"/>
  <c r="Y155" i="2"/>
  <c r="Y150" i="2" s="1"/>
  <c r="U160" i="2"/>
  <c r="U208" i="2" s="1"/>
  <c r="O183" i="2"/>
  <c r="P187" i="2"/>
  <c r="P202" i="2" s="1"/>
  <c r="AC47" i="2"/>
  <c r="AD41" i="2"/>
  <c r="AD14" i="2"/>
  <c r="AD85" i="2" s="1"/>
  <c r="AC36" i="2"/>
  <c r="X28" i="2"/>
  <c r="U157" i="2"/>
  <c r="AB36" i="2"/>
  <c r="Q155" i="2"/>
  <c r="AC100" i="2"/>
  <c r="V155" i="2"/>
  <c r="AC216" i="2"/>
  <c r="V188" i="2"/>
  <c r="V209" i="2" s="1"/>
  <c r="AB225" i="2"/>
  <c r="W39" i="2"/>
  <c r="Z11" i="2"/>
  <c r="V35" i="2"/>
  <c r="Y36" i="2"/>
  <c r="X21" i="2"/>
  <c r="Z117" i="2"/>
  <c r="Y55" i="2"/>
  <c r="U14" i="2"/>
  <c r="U85" i="2" s="1"/>
  <c r="AC232" i="2"/>
  <c r="AC316" i="2" s="1"/>
  <c r="S159" i="2"/>
  <c r="S201" i="2" s="1"/>
  <c r="X12" i="2"/>
  <c r="O154" i="2"/>
  <c r="Z240" i="2"/>
  <c r="S41" i="2"/>
  <c r="P12" i="2"/>
  <c r="N35" i="2"/>
  <c r="AA49" i="2"/>
  <c r="Q14" i="2"/>
  <c r="Q85" i="2" s="1"/>
  <c r="Y100" i="2"/>
  <c r="V125" i="2"/>
  <c r="V200" i="2" s="1"/>
  <c r="U159" i="2"/>
  <c r="U201" i="2" s="1"/>
  <c r="N159" i="2"/>
  <c r="U184" i="2"/>
  <c r="Q188" i="2"/>
  <c r="Q209" i="2" s="1"/>
  <c r="AA37" i="2"/>
  <c r="W14" i="2"/>
  <c r="W85" i="2" s="1"/>
  <c r="Z35" i="2"/>
  <c r="AC41" i="2"/>
  <c r="Y154" i="2"/>
  <c r="U119" i="2"/>
  <c r="P31" i="2"/>
  <c r="AE157" i="2"/>
  <c r="AA58" i="2"/>
  <c r="AA335" i="2" s="1"/>
  <c r="AA337" i="2" s="1"/>
  <c r="Z109" i="2"/>
  <c r="Z108" i="2" s="1"/>
  <c r="R159" i="2"/>
  <c r="R201" i="2" s="1"/>
  <c r="AC234" i="2"/>
  <c r="AB216" i="2"/>
  <c r="AB229" i="2"/>
  <c r="W37" i="2"/>
  <c r="AF47" i="2"/>
  <c r="AA46" i="2"/>
  <c r="U37" i="2"/>
  <c r="AA220" i="2"/>
  <c r="AF216" i="2"/>
  <c r="U27" i="2"/>
  <c r="U89" i="2" s="1"/>
  <c r="Z232" i="2"/>
  <c r="Z316" i="2" s="1"/>
  <c r="W126" i="2"/>
  <c r="W207" i="2" s="1"/>
  <c r="AA230" i="2"/>
  <c r="Z14" i="2"/>
  <c r="Z85" i="2" s="1"/>
  <c r="P49" i="2"/>
  <c r="U146" i="2"/>
  <c r="U145" i="2" s="1"/>
  <c r="Q49" i="2"/>
  <c r="J175" i="2"/>
  <c r="Z46" i="2"/>
  <c r="AC26" i="2"/>
  <c r="AC88" i="2" s="1"/>
  <c r="AE155" i="2"/>
  <c r="AF157" i="2"/>
  <c r="N117" i="2"/>
  <c r="S116" i="2"/>
  <c r="AB160" i="2"/>
  <c r="AB208" i="2" s="1"/>
  <c r="Z175" i="2"/>
  <c r="Z174" i="2" s="1"/>
  <c r="AB188" i="2"/>
  <c r="AB209" i="2" s="1"/>
  <c r="AC225" i="2"/>
  <c r="AC45" i="2"/>
  <c r="Y33" i="2"/>
  <c r="I175" i="2"/>
  <c r="P119" i="2"/>
  <c r="AB33" i="2"/>
  <c r="AE118" i="2"/>
  <c r="AB109" i="2"/>
  <c r="AB108" i="2" s="1"/>
  <c r="W116" i="2"/>
  <c r="W112" i="2" s="1"/>
  <c r="P160" i="2"/>
  <c r="P208" i="2" s="1"/>
  <c r="T153" i="2"/>
  <c r="O187" i="2"/>
  <c r="O202" i="2" s="1"/>
  <c r="AB235" i="2"/>
  <c r="Y45" i="2"/>
  <c r="S14" i="2"/>
  <c r="S85" i="2" s="1"/>
  <c r="AA26" i="2"/>
  <c r="AA88" i="2" s="1"/>
  <c r="Y39" i="2"/>
  <c r="T26" i="2"/>
  <c r="AB116" i="2"/>
  <c r="T160" i="2"/>
  <c r="T208" i="2" s="1"/>
  <c r="AA234" i="2"/>
  <c r="Y20" i="2"/>
  <c r="Y186" i="2" s="1"/>
  <c r="Y179" i="2" s="1"/>
  <c r="Y76" i="2" s="1"/>
  <c r="AB35" i="2"/>
  <c r="V153" i="2"/>
  <c r="R188" i="2"/>
  <c r="R209" i="2" s="1"/>
  <c r="P48" i="2"/>
  <c r="P216" i="2" s="1"/>
  <c r="Z157" i="2"/>
  <c r="Z150" i="2" s="1"/>
  <c r="Z70" i="2" s="1"/>
  <c r="P155" i="2"/>
  <c r="AF49" i="2"/>
  <c r="X182" i="2"/>
  <c r="W182" i="2"/>
  <c r="W178" i="2" s="1"/>
  <c r="AE216" i="2"/>
  <c r="R126" i="2"/>
  <c r="R207" i="2" s="1"/>
  <c r="Z234" i="2"/>
  <c r="T188" i="2"/>
  <c r="T209" i="2" s="1"/>
  <c r="O39" i="2"/>
  <c r="V33" i="2"/>
  <c r="R36" i="2"/>
  <c r="Y120" i="2"/>
  <c r="Z100" i="2"/>
  <c r="AC183" i="2"/>
  <c r="AC12" i="2"/>
  <c r="Z27" i="2"/>
  <c r="Z89" i="2" s="1"/>
  <c r="P126" i="2"/>
  <c r="P207" i="2" s="1"/>
  <c r="X175" i="2"/>
  <c r="X174" i="2" s="1"/>
  <c r="U31" i="2"/>
  <c r="Y58" i="2"/>
  <c r="Y335" i="2" s="1"/>
  <c r="Y337" i="2" s="1"/>
  <c r="AA232" i="2"/>
  <c r="AA316" i="2" s="1"/>
  <c r="Z48" i="2"/>
  <c r="O12" i="2"/>
  <c r="O156" i="2" s="1"/>
  <c r="AF117" i="2"/>
  <c r="AB120" i="2"/>
  <c r="T118" i="2"/>
  <c r="AD157" i="2"/>
  <c r="AC226" i="2"/>
  <c r="AB219" i="2"/>
  <c r="AB234" i="2"/>
  <c r="AA39" i="2"/>
  <c r="AE21" i="2"/>
  <c r="N36" i="2"/>
  <c r="AA11" i="2"/>
  <c r="U30" i="2"/>
  <c r="N175" i="2"/>
  <c r="N174" i="2" s="1"/>
  <c r="T119" i="2"/>
  <c r="S118" i="2"/>
  <c r="AC118" i="2"/>
  <c r="S182" i="2"/>
  <c r="AB157" i="2"/>
  <c r="AD237" i="2"/>
  <c r="AC227" i="2"/>
  <c r="O35" i="2"/>
  <c r="AB48" i="2"/>
  <c r="AD21" i="2"/>
  <c r="Q30" i="2"/>
  <c r="T28" i="2"/>
  <c r="T90" i="2" s="1"/>
  <c r="Z39" i="2"/>
  <c r="Y41" i="2"/>
  <c r="AF45" i="2"/>
  <c r="Z45" i="2"/>
  <c r="R118" i="2"/>
  <c r="U175" i="2"/>
  <c r="U174" i="2" s="1"/>
  <c r="AB27" i="2"/>
  <c r="AB89" i="2" s="1"/>
  <c r="X119" i="2"/>
  <c r="Y117" i="2"/>
  <c r="O182" i="2"/>
  <c r="W13" i="2"/>
  <c r="X84" i="2" s="1"/>
  <c r="Z58" i="2"/>
  <c r="Z335" i="2" s="1"/>
  <c r="Z337" i="2" s="1"/>
  <c r="R31" i="2"/>
  <c r="S46" i="2"/>
  <c r="P28" i="2"/>
  <c r="P90" i="2" s="1"/>
  <c r="Z47" i="2"/>
  <c r="X14" i="2"/>
  <c r="X85" i="2" s="1"/>
  <c r="AE237" i="2"/>
  <c r="T116" i="2"/>
  <c r="U109" i="2"/>
  <c r="U108" i="2" s="1"/>
  <c r="Z227" i="2"/>
  <c r="P153" i="2"/>
  <c r="Z245" i="2"/>
  <c r="AB238" i="2"/>
  <c r="AB372" i="2" s="1"/>
  <c r="W33" i="2"/>
  <c r="P11" i="2"/>
  <c r="O26" i="2"/>
  <c r="O88" i="2" s="1"/>
  <c r="Y35" i="2"/>
  <c r="Q182" i="2"/>
  <c r="V47" i="2"/>
  <c r="P25" i="2"/>
  <c r="AF235" i="2"/>
  <c r="AC120" i="2"/>
  <c r="T125" i="2"/>
  <c r="T200" i="2" s="1"/>
  <c r="R187" i="2"/>
  <c r="R202" i="2" s="1"/>
  <c r="AB159" i="2"/>
  <c r="AB201" i="2" s="1"/>
  <c r="O184" i="2"/>
  <c r="AD239" i="2"/>
  <c r="S33" i="2"/>
  <c r="Z33" i="2"/>
  <c r="U35" i="2"/>
  <c r="W100" i="2"/>
  <c r="AD49" i="2"/>
  <c r="O118" i="2"/>
  <c r="AB241" i="2"/>
  <c r="DN40" i="2"/>
  <c r="DN42" i="2" s="1"/>
  <c r="DN98" i="2"/>
  <c r="AX357" i="2"/>
  <c r="AX339" i="2"/>
  <c r="AX215" i="2"/>
  <c r="AX217" i="2" s="1"/>
  <c r="AX222" i="2" s="1"/>
  <c r="AX53" i="2"/>
  <c r="CJ356" i="2"/>
  <c r="CJ340" i="2"/>
  <c r="CJ99" i="2"/>
  <c r="CJ52" i="2"/>
  <c r="CJ1" i="2" s="1"/>
  <c r="CJ50" i="2"/>
  <c r="CJ54" i="2"/>
  <c r="CJ56" i="2" s="1"/>
  <c r="EK106" i="2"/>
  <c r="EK110" i="2" s="1"/>
  <c r="EK104" i="2"/>
  <c r="AE36" i="2"/>
  <c r="DJ356" i="2"/>
  <c r="DJ340" i="2"/>
  <c r="DJ54" i="2"/>
  <c r="DJ56" i="2" s="1"/>
  <c r="DJ99" i="2"/>
  <c r="DJ52" i="2"/>
  <c r="DJ1" i="2" s="1"/>
  <c r="DJ50" i="2"/>
  <c r="DC356" i="2"/>
  <c r="DC340" i="2"/>
  <c r="DC99" i="2"/>
  <c r="DC54" i="2"/>
  <c r="DC56" i="2" s="1"/>
  <c r="DC52" i="2"/>
  <c r="DC1" i="2" s="1"/>
  <c r="DC50" i="2"/>
  <c r="AS356" i="2"/>
  <c r="AS340" i="2"/>
  <c r="AS99" i="2"/>
  <c r="AS52" i="2"/>
  <c r="AS1" i="2" s="1"/>
  <c r="AS54" i="2"/>
  <c r="AS56" i="2" s="1"/>
  <c r="AS50" i="2"/>
  <c r="DK356" i="2"/>
  <c r="DK340" i="2"/>
  <c r="DK99" i="2"/>
  <c r="DK54" i="2"/>
  <c r="DK56" i="2" s="1"/>
  <c r="DK52" i="2"/>
  <c r="DK1" i="2" s="1"/>
  <c r="DK50" i="2"/>
  <c r="BT357" i="2"/>
  <c r="BT339" i="2"/>
  <c r="BT215" i="2"/>
  <c r="BT217" i="2" s="1"/>
  <c r="BT222" i="2" s="1"/>
  <c r="N222" i="2" s="1"/>
  <c r="BT53" i="2"/>
  <c r="DU40" i="2"/>
  <c r="DU42" i="2" s="1"/>
  <c r="DU98" i="2"/>
  <c r="BM357" i="2"/>
  <c r="BM339" i="2"/>
  <c r="BM215" i="2"/>
  <c r="BM217" i="2" s="1"/>
  <c r="BM222" i="2" s="1"/>
  <c r="BM53" i="2"/>
  <c r="J356" i="2"/>
  <c r="J340" i="2"/>
  <c r="J50" i="2"/>
  <c r="J99" i="2"/>
  <c r="J54" i="2"/>
  <c r="J56" i="2" s="1"/>
  <c r="J52" i="2"/>
  <c r="J1" i="2" s="1"/>
  <c r="EJ200" i="2"/>
  <c r="EI125" i="2"/>
  <c r="DM40" i="2"/>
  <c r="DM42" i="2" s="1"/>
  <c r="DM98" i="2"/>
  <c r="CH357" i="2"/>
  <c r="CH339" i="2"/>
  <c r="CH215" i="2"/>
  <c r="CH217" i="2" s="1"/>
  <c r="CH222" i="2" s="1"/>
  <c r="CH53" i="2"/>
  <c r="K97" i="2"/>
  <c r="DW356" i="2"/>
  <c r="DW340" i="2"/>
  <c r="DW99" i="2"/>
  <c r="DW50" i="2"/>
  <c r="DW54" i="2"/>
  <c r="DW56" i="2" s="1"/>
  <c r="DW52" i="2"/>
  <c r="DW1" i="2" s="1"/>
  <c r="DY355" i="2"/>
  <c r="DY352" i="2"/>
  <c r="EM272" i="2"/>
  <c r="EL230" i="2"/>
  <c r="CQ356" i="2"/>
  <c r="CQ340" i="2"/>
  <c r="CQ99" i="2"/>
  <c r="CQ54" i="2"/>
  <c r="CQ56" i="2" s="1"/>
  <c r="CQ50" i="2"/>
  <c r="CQ52" i="2"/>
  <c r="CQ1" i="2" s="1"/>
  <c r="DV355" i="2"/>
  <c r="DV352" i="2"/>
  <c r="DV360" i="2"/>
  <c r="CV356" i="2"/>
  <c r="CV340" i="2"/>
  <c r="CV52" i="2"/>
  <c r="CV1" i="2" s="1"/>
  <c r="CV99" i="2"/>
  <c r="CV50" i="2"/>
  <c r="CV54" i="2"/>
  <c r="CV56" i="2" s="1"/>
  <c r="AE144" i="2"/>
  <c r="ED144" i="2"/>
  <c r="AD144" i="2" s="1"/>
  <c r="ED68" i="2"/>
  <c r="L305" i="2"/>
  <c r="L283" i="2"/>
  <c r="L284" i="2"/>
  <c r="L97" i="2" s="1"/>
  <c r="EL144" i="2"/>
  <c r="EL143" i="2"/>
  <c r="AE14" i="2"/>
  <c r="AE85" i="2" s="1"/>
  <c r="AB112" i="2" l="1"/>
  <c r="W150" i="2"/>
  <c r="W70" i="2" s="1"/>
  <c r="EO108" i="2"/>
  <c r="EM149" i="2"/>
  <c r="EM71" i="2"/>
  <c r="V150" i="2"/>
  <c r="V70" i="2" s="1"/>
  <c r="T88" i="2"/>
  <c r="EN140" i="2"/>
  <c r="EN138" i="2"/>
  <c r="EN150" i="2"/>
  <c r="EL112" i="2"/>
  <c r="EL65" i="2"/>
  <c r="V149" i="2"/>
  <c r="EK114" i="2"/>
  <c r="EM145" i="2"/>
  <c r="EL151" i="2"/>
  <c r="EL113" i="2"/>
  <c r="Y70" i="2"/>
  <c r="Y151" i="2"/>
  <c r="R29" i="2"/>
  <c r="R310" i="2"/>
  <c r="R318" i="2"/>
  <c r="R95" i="2"/>
  <c r="R91" i="2"/>
  <c r="AA66" i="2"/>
  <c r="P123" i="2"/>
  <c r="P15" i="2"/>
  <c r="P92" i="2" s="1"/>
  <c r="P82" i="2"/>
  <c r="W63" i="2"/>
  <c r="U147" i="2"/>
  <c r="U68" i="2"/>
  <c r="U179" i="2"/>
  <c r="U76" i="2" s="1"/>
  <c r="P156" i="2"/>
  <c r="P83" i="2"/>
  <c r="X156" i="2"/>
  <c r="X83" i="2"/>
  <c r="V114" i="2"/>
  <c r="V63" i="2"/>
  <c r="S82" i="2"/>
  <c r="S123" i="2"/>
  <c r="S15" i="2"/>
  <c r="S95" i="2" s="1"/>
  <c r="AA204" i="2"/>
  <c r="AA203" i="2" s="1"/>
  <c r="AB124" i="2"/>
  <c r="AB113" i="2" s="1"/>
  <c r="AB64" i="2" s="1"/>
  <c r="AB22" i="2"/>
  <c r="O173" i="2"/>
  <c r="O74" i="2"/>
  <c r="O123" i="2"/>
  <c r="O82" i="2"/>
  <c r="T156" i="2"/>
  <c r="T83" i="2"/>
  <c r="AA176" i="2"/>
  <c r="AA74" i="2"/>
  <c r="Z156" i="2"/>
  <c r="Z83" i="2"/>
  <c r="Y124" i="2"/>
  <c r="Y113" i="2" s="1"/>
  <c r="Y64" i="2" s="1"/>
  <c r="Y22" i="2"/>
  <c r="Y90" i="2"/>
  <c r="X112" i="2"/>
  <c r="Q185" i="2"/>
  <c r="Q84" i="2"/>
  <c r="T185" i="2"/>
  <c r="T84" i="2"/>
  <c r="Y112" i="2"/>
  <c r="Z185" i="2"/>
  <c r="Z84" i="2"/>
  <c r="P185" i="2"/>
  <c r="P84" i="2"/>
  <c r="V123" i="2"/>
  <c r="V82" i="2"/>
  <c r="V15" i="2"/>
  <c r="V91" i="2" s="1"/>
  <c r="Q89" i="2"/>
  <c r="V147" i="2"/>
  <c r="V68" i="2"/>
  <c r="Z88" i="2"/>
  <c r="AC151" i="2"/>
  <c r="AC69" i="2"/>
  <c r="R144" i="2"/>
  <c r="R68" i="2"/>
  <c r="V204" i="2"/>
  <c r="V203" i="2" s="1"/>
  <c r="AA124" i="2"/>
  <c r="AA113" i="2" s="1"/>
  <c r="AA64" i="2" s="1"/>
  <c r="AA22" i="2"/>
  <c r="AC314" i="2"/>
  <c r="AB150" i="2"/>
  <c r="AB70" i="2" s="1"/>
  <c r="X130" i="2"/>
  <c r="X127" i="2"/>
  <c r="X134" i="2" s="1"/>
  <c r="AW357" i="2"/>
  <c r="AW339" i="2"/>
  <c r="AW215" i="2"/>
  <c r="AW217" i="2" s="1"/>
  <c r="AW222" i="2" s="1"/>
  <c r="H222" i="2" s="1"/>
  <c r="H231" i="2" s="1"/>
  <c r="AW53" i="2"/>
  <c r="EL336" i="2"/>
  <c r="EL334" i="2" s="1"/>
  <c r="CZ330" i="2"/>
  <c r="CY321" i="2"/>
  <c r="CY329" i="2"/>
  <c r="CY320" i="2" s="1"/>
  <c r="DA279" i="2"/>
  <c r="DA301" i="2"/>
  <c r="DA299" i="2"/>
  <c r="DF357" i="2"/>
  <c r="DF339" i="2"/>
  <c r="DF215" i="2"/>
  <c r="DF217" i="2" s="1"/>
  <c r="DF222" i="2" s="1"/>
  <c r="DF53" i="2"/>
  <c r="EP94" i="2"/>
  <c r="CS357" i="2"/>
  <c r="CS339" i="2"/>
  <c r="CS215" i="2"/>
  <c r="CS217" i="2" s="1"/>
  <c r="CS222" i="2" s="1"/>
  <c r="CS53" i="2"/>
  <c r="R85" i="2"/>
  <c r="Q320" i="2"/>
  <c r="Q321" i="2"/>
  <c r="Q211" i="2"/>
  <c r="Q210" i="2" s="1"/>
  <c r="Q317" i="2"/>
  <c r="Q296" i="2" s="1"/>
  <c r="P89" i="2"/>
  <c r="U149" i="2"/>
  <c r="EA279" i="2"/>
  <c r="EA280" i="2" s="1"/>
  <c r="EA299" i="2"/>
  <c r="EA301" i="2"/>
  <c r="DB357" i="2"/>
  <c r="DB339" i="2"/>
  <c r="DB215" i="2"/>
  <c r="DB217" i="2" s="1"/>
  <c r="DB222" i="2" s="1"/>
  <c r="DB53" i="2"/>
  <c r="N277" i="2"/>
  <c r="N275" i="2"/>
  <c r="N273" i="2"/>
  <c r="N371" i="2" s="1"/>
  <c r="N271" i="2"/>
  <c r="N267" i="2"/>
  <c r="N265" i="2"/>
  <c r="N278" i="2"/>
  <c r="N276" i="2"/>
  <c r="N373" i="2" s="1"/>
  <c r="N274" i="2"/>
  <c r="N272" i="2"/>
  <c r="N270" i="2"/>
  <c r="N268" i="2"/>
  <c r="N266" i="2"/>
  <c r="N309" i="2" s="1"/>
  <c r="N261" i="2"/>
  <c r="N260" i="2"/>
  <c r="N259" i="2"/>
  <c r="N257" i="2"/>
  <c r="N308" i="2" s="1"/>
  <c r="N256" i="2"/>
  <c r="N255" i="2"/>
  <c r="N254" i="2"/>
  <c r="N253" i="2"/>
  <c r="N252" i="2"/>
  <c r="N251" i="2"/>
  <c r="O4" i="2"/>
  <c r="M269" i="2"/>
  <c r="M279" i="2" s="1"/>
  <c r="N306" i="2"/>
  <c r="N307" i="2" s="1"/>
  <c r="M348" i="2"/>
  <c r="M303" i="2"/>
  <c r="M300" i="2"/>
  <c r="M302" i="2"/>
  <c r="EM171" i="2"/>
  <c r="EM173" i="2" s="1"/>
  <c r="EM176" i="2" s="1"/>
  <c r="EJ78" i="2"/>
  <c r="EG303" i="2"/>
  <c r="EM371" i="2"/>
  <c r="EN273" i="2"/>
  <c r="CU357" i="2"/>
  <c r="CU339" i="2"/>
  <c r="CU215" i="2"/>
  <c r="CU217" i="2" s="1"/>
  <c r="CU222" i="2" s="1"/>
  <c r="CU53" i="2"/>
  <c r="DX357" i="2"/>
  <c r="DX339" i="2"/>
  <c r="DX215" i="2"/>
  <c r="DX217" i="2" s="1"/>
  <c r="DX222" i="2" s="1"/>
  <c r="DX53" i="2"/>
  <c r="T15" i="2"/>
  <c r="S84" i="2"/>
  <c r="W78" i="2"/>
  <c r="Z178" i="2"/>
  <c r="AC66" i="2"/>
  <c r="AD314" i="2"/>
  <c r="EF175" i="2"/>
  <c r="EF146" i="2"/>
  <c r="EF109" i="2"/>
  <c r="AF3" i="2"/>
  <c r="L301" i="2"/>
  <c r="L299" i="2"/>
  <c r="L262" i="2"/>
  <c r="L222" i="2"/>
  <c r="EE176" i="2"/>
  <c r="DY356" i="2"/>
  <c r="DY340" i="2"/>
  <c r="DY99" i="2"/>
  <c r="DY50" i="2"/>
  <c r="DY54" i="2"/>
  <c r="DY56" i="2" s="1"/>
  <c r="DY52" i="2"/>
  <c r="DY1" i="2" s="1"/>
  <c r="Y178" i="2"/>
  <c r="U90" i="2"/>
  <c r="W15" i="2"/>
  <c r="CQ357" i="2"/>
  <c r="CQ339" i="2"/>
  <c r="CQ215" i="2"/>
  <c r="CQ217" i="2" s="1"/>
  <c r="CQ222" i="2" s="1"/>
  <c r="CQ53" i="2"/>
  <c r="DW357" i="2"/>
  <c r="DW339" i="2"/>
  <c r="DW215" i="2"/>
  <c r="DW217" i="2" s="1"/>
  <c r="DW222" i="2" s="1"/>
  <c r="DW53" i="2"/>
  <c r="EK200" i="2"/>
  <c r="EJ125" i="2"/>
  <c r="J357" i="2"/>
  <c r="J339" i="2"/>
  <c r="J215" i="2"/>
  <c r="J217" i="2" s="1"/>
  <c r="J231" i="2" s="1"/>
  <c r="J53" i="2"/>
  <c r="DU356" i="2"/>
  <c r="DU340" i="2"/>
  <c r="DU99" i="2"/>
  <c r="DU54" i="2"/>
  <c r="DU56" i="2" s="1"/>
  <c r="DU50" i="2"/>
  <c r="DU52" i="2"/>
  <c r="DU1" i="2" s="1"/>
  <c r="EK66" i="2"/>
  <c r="DN356" i="2"/>
  <c r="DN340" i="2"/>
  <c r="DN54" i="2"/>
  <c r="DN56" i="2" s="1"/>
  <c r="DN99" i="2"/>
  <c r="DN52" i="2"/>
  <c r="DN1" i="2" s="1"/>
  <c r="DN50" i="2"/>
  <c r="AA82" i="2"/>
  <c r="AA123" i="2"/>
  <c r="AA15" i="2"/>
  <c r="AA315" i="2" s="1"/>
  <c r="V314" i="2"/>
  <c r="V95" i="2"/>
  <c r="DK357" i="2"/>
  <c r="DK339" i="2"/>
  <c r="DK215" i="2"/>
  <c r="DK217" i="2" s="1"/>
  <c r="DK222" i="2" s="1"/>
  <c r="DK53" i="2"/>
  <c r="DC357" i="2"/>
  <c r="DC339" i="2"/>
  <c r="DC215" i="2"/>
  <c r="DC217" i="2" s="1"/>
  <c r="DC222" i="2" s="1"/>
  <c r="DC53" i="2"/>
  <c r="W314" i="2"/>
  <c r="W218" i="2"/>
  <c r="W95" i="2"/>
  <c r="R92" i="2"/>
  <c r="N294" i="2"/>
  <c r="N293" i="2"/>
  <c r="N295" i="2"/>
  <c r="AA318" i="2"/>
  <c r="AA317" i="2"/>
  <c r="AA296" i="2" s="1"/>
  <c r="V69" i="2"/>
  <c r="AB138" i="2"/>
  <c r="AB110" i="2"/>
  <c r="AB140" i="2"/>
  <c r="AB62" i="2"/>
  <c r="Z110" i="2"/>
  <c r="Z140" i="2"/>
  <c r="Z138" i="2"/>
  <c r="Z62" i="2"/>
  <c r="Z123" i="2"/>
  <c r="Z82" i="2"/>
  <c r="Z15" i="2"/>
  <c r="Z95" i="2" s="1"/>
  <c r="S138" i="2"/>
  <c r="S140" i="2"/>
  <c r="S106" i="2"/>
  <c r="S62" i="2"/>
  <c r="AA87" i="2"/>
  <c r="S173" i="2"/>
  <c r="S74" i="2"/>
  <c r="Y85" i="2"/>
  <c r="AA156" i="2"/>
  <c r="AA83" i="2"/>
  <c r="AB123" i="2"/>
  <c r="AB82" i="2"/>
  <c r="AB15" i="2"/>
  <c r="AB310" i="2" s="1"/>
  <c r="W149" i="2"/>
  <c r="P314" i="2"/>
  <c r="P218" i="2"/>
  <c r="P95" i="2"/>
  <c r="AC123" i="2"/>
  <c r="AC82" i="2"/>
  <c r="AC15" i="2"/>
  <c r="X179" i="2"/>
  <c r="X76" i="2" s="1"/>
  <c r="Q156" i="2"/>
  <c r="Q83" i="2"/>
  <c r="V156" i="2"/>
  <c r="V83" i="2"/>
  <c r="AB185" i="2"/>
  <c r="AB84" i="2"/>
  <c r="N138" i="2"/>
  <c r="N106" i="2"/>
  <c r="N62" i="2"/>
  <c r="AB156" i="2"/>
  <c r="AB83" i="2"/>
  <c r="W92" i="2"/>
  <c r="AA151" i="2"/>
  <c r="AA69" i="2"/>
  <c r="Q123" i="2"/>
  <c r="Q82" i="2"/>
  <c r="Q15" i="2"/>
  <c r="Y88" i="2"/>
  <c r="Z151" i="2"/>
  <c r="Z69" i="2"/>
  <c r="AB176" i="2"/>
  <c r="AB74" i="2"/>
  <c r="X314" i="2"/>
  <c r="X218" i="2"/>
  <c r="U130" i="2"/>
  <c r="U127" i="2"/>
  <c r="U134" i="2" s="1"/>
  <c r="P88" i="2"/>
  <c r="N166" i="2"/>
  <c r="AC203" i="2"/>
  <c r="AC84" i="2"/>
  <c r="DZ356" i="2"/>
  <c r="DZ340" i="2"/>
  <c r="DZ54" i="2"/>
  <c r="DZ56" i="2" s="1"/>
  <c r="DZ99" i="2"/>
  <c r="DZ52" i="2"/>
  <c r="DZ1" i="2" s="1"/>
  <c r="DZ50" i="2"/>
  <c r="EG305" i="2"/>
  <c r="DR356" i="2"/>
  <c r="DR340" i="2"/>
  <c r="DR54" i="2"/>
  <c r="DR56" i="2" s="1"/>
  <c r="DR99" i="2"/>
  <c r="DR52" i="2"/>
  <c r="DR1" i="2" s="1"/>
  <c r="DR50" i="2"/>
  <c r="EL256" i="2"/>
  <c r="AA211" i="2"/>
  <c r="AA210" i="2" s="1"/>
  <c r="AB69" i="2"/>
  <c r="V78" i="2"/>
  <c r="Y130" i="2"/>
  <c r="Y127" i="2"/>
  <c r="Y134" i="2" s="1"/>
  <c r="W203" i="2"/>
  <c r="R321" i="2"/>
  <c r="R315" i="2"/>
  <c r="R211" i="2"/>
  <c r="R210" i="2" s="1"/>
  <c r="R320" i="2"/>
  <c r="R317" i="2"/>
  <c r="R296" i="2" s="1"/>
  <c r="CP357" i="2"/>
  <c r="CP339" i="2"/>
  <c r="CP215" i="2"/>
  <c r="CP217" i="2" s="1"/>
  <c r="CP222" i="2" s="1"/>
  <c r="T222" i="2" s="1"/>
  <c r="CP53" i="2"/>
  <c r="CR357" i="2"/>
  <c r="CR339" i="2"/>
  <c r="CR215" i="2"/>
  <c r="CR217" i="2" s="1"/>
  <c r="CR222" i="2" s="1"/>
  <c r="CR53" i="2"/>
  <c r="W164" i="2"/>
  <c r="W161" i="2"/>
  <c r="W168" i="2" s="1"/>
  <c r="EE158" i="2"/>
  <c r="EE19" i="2" s="1"/>
  <c r="EE153" i="2"/>
  <c r="EE147" i="2"/>
  <c r="DI357" i="2"/>
  <c r="DI339" i="2"/>
  <c r="DI215" i="2"/>
  <c r="DI217" i="2" s="1"/>
  <c r="DI222" i="2" s="1"/>
  <c r="DI53" i="2"/>
  <c r="CD357" i="2"/>
  <c r="CD339" i="2"/>
  <c r="CD215" i="2"/>
  <c r="CD217" i="2" s="1"/>
  <c r="CD222" i="2" s="1"/>
  <c r="CD53" i="2"/>
  <c r="M305" i="2"/>
  <c r="N304" i="2"/>
  <c r="EL173" i="2"/>
  <c r="CT357" i="2"/>
  <c r="CT339" i="2"/>
  <c r="CT215" i="2"/>
  <c r="CT217" i="2" s="1"/>
  <c r="CT222" i="2" s="1"/>
  <c r="CT53" i="2"/>
  <c r="CK357" i="2"/>
  <c r="CK339" i="2"/>
  <c r="CK215" i="2"/>
  <c r="CK217" i="2" s="1"/>
  <c r="CK222" i="2" s="1"/>
  <c r="CK53" i="2"/>
  <c r="EJ187" i="2"/>
  <c r="EK202" i="2"/>
  <c r="T82" i="2"/>
  <c r="S192" i="2"/>
  <c r="S189" i="2"/>
  <c r="S196" i="2" s="1"/>
  <c r="O87" i="2"/>
  <c r="Z113" i="2"/>
  <c r="Z64" i="2" s="1"/>
  <c r="AB88" i="2"/>
  <c r="K291" i="2"/>
  <c r="K290" i="2"/>
  <c r="K288" i="2"/>
  <c r="K287" i="2"/>
  <c r="EG281" i="2"/>
  <c r="EG249" i="2"/>
  <c r="EG214" i="2"/>
  <c r="EH7" i="2"/>
  <c r="EG9" i="2"/>
  <c r="EG3" i="2"/>
  <c r="EG4" i="2"/>
  <c r="EG60" i="2"/>
  <c r="DH357" i="2"/>
  <c r="DH339" i="2"/>
  <c r="DH215" i="2"/>
  <c r="DH217" i="2" s="1"/>
  <c r="DH222" i="2" s="1"/>
  <c r="DH53" i="2"/>
  <c r="EL178" i="2"/>
  <c r="EL77" i="2"/>
  <c r="EM75" i="2"/>
  <c r="DV356" i="2"/>
  <c r="DV340" i="2"/>
  <c r="DV54" i="2"/>
  <c r="DV56" i="2" s="1"/>
  <c r="DV99" i="2"/>
  <c r="DV52" i="2"/>
  <c r="DV1" i="2" s="1"/>
  <c r="DV50" i="2"/>
  <c r="DE357" i="2"/>
  <c r="DE339" i="2"/>
  <c r="DE215" i="2"/>
  <c r="DE217" i="2" s="1"/>
  <c r="DE222" i="2" s="1"/>
  <c r="DE53" i="2"/>
  <c r="AA85" i="2"/>
  <c r="U84" i="2"/>
  <c r="W130" i="2"/>
  <c r="W127" i="2"/>
  <c r="W134" i="2" s="1"/>
  <c r="U176" i="2"/>
  <c r="U74" i="2"/>
  <c r="X176" i="2"/>
  <c r="X74" i="2"/>
  <c r="L286" i="2"/>
  <c r="L285" i="2"/>
  <c r="M97" i="2"/>
  <c r="EN272" i="2"/>
  <c r="EM230" i="2"/>
  <c r="R222" i="2"/>
  <c r="DM356" i="2"/>
  <c r="DM340" i="2"/>
  <c r="DM99" i="2"/>
  <c r="DM50" i="2"/>
  <c r="DM54" i="2"/>
  <c r="DM56" i="2" s="1"/>
  <c r="DM52" i="2"/>
  <c r="DM1" i="2" s="1"/>
  <c r="CJ357" i="2"/>
  <c r="CJ339" i="2"/>
  <c r="CJ215" i="2"/>
  <c r="CJ217" i="2" s="1"/>
  <c r="CJ222" i="2" s="1"/>
  <c r="CJ53" i="2"/>
  <c r="Z314" i="2"/>
  <c r="U140" i="2"/>
  <c r="U110" i="2"/>
  <c r="U138" i="2"/>
  <c r="U62" i="2"/>
  <c r="N173" i="2"/>
  <c r="N74" i="2"/>
  <c r="W180" i="2"/>
  <c r="W75" i="2"/>
  <c r="AB63" i="2"/>
  <c r="AB114" i="2"/>
  <c r="Y314" i="2"/>
  <c r="Y218" i="2"/>
  <c r="Z176" i="2"/>
  <c r="Z74" i="2"/>
  <c r="AC317" i="2"/>
  <c r="AC296" i="2" s="1"/>
  <c r="AC318" i="2"/>
  <c r="U150" i="2"/>
  <c r="U70" i="2" s="1"/>
  <c r="AC92" i="2"/>
  <c r="W147" i="2"/>
  <c r="W68" i="2"/>
  <c r="W89" i="2"/>
  <c r="O144" i="2"/>
  <c r="O68" i="2"/>
  <c r="AD90" i="2"/>
  <c r="AC179" i="2"/>
  <c r="W138" i="2"/>
  <c r="W62" i="2"/>
  <c r="W140" i="2"/>
  <c r="W110" i="2"/>
  <c r="AE204" i="2"/>
  <c r="V88" i="2"/>
  <c r="Y156" i="2"/>
  <c r="Y83" i="2"/>
  <c r="Z204" i="2"/>
  <c r="Z203" i="2" s="1"/>
  <c r="T173" i="2"/>
  <c r="T74" i="2"/>
  <c r="S87" i="2"/>
  <c r="Q88" i="2"/>
  <c r="AB204" i="2"/>
  <c r="AB203" i="2" s="1"/>
  <c r="AB91" i="2"/>
  <c r="V185" i="2"/>
  <c r="V84" i="2"/>
  <c r="X22" i="2"/>
  <c r="S164" i="2"/>
  <c r="S161" i="2"/>
  <c r="S168" i="2" s="1"/>
  <c r="X72" i="2"/>
  <c r="EO97" i="2"/>
  <c r="AC189" i="2"/>
  <c r="AC196" i="2" s="1"/>
  <c r="AC192" i="2"/>
  <c r="AA72" i="2"/>
  <c r="DT357" i="2"/>
  <c r="DT339" i="2"/>
  <c r="DT215" i="2"/>
  <c r="DT217" i="2" s="1"/>
  <c r="DT222" i="2" s="1"/>
  <c r="DT53" i="2"/>
  <c r="K222" i="2"/>
  <c r="L359" i="2"/>
  <c r="M354" i="2"/>
  <c r="M355" i="2"/>
  <c r="EB356" i="2"/>
  <c r="EB340" i="2"/>
  <c r="EB52" i="2"/>
  <c r="EB1" i="2" s="1"/>
  <c r="EB50" i="2"/>
  <c r="EB99" i="2"/>
  <c r="EB54" i="2"/>
  <c r="EB56" i="2" s="1"/>
  <c r="EL31" i="2"/>
  <c r="DD357" i="2"/>
  <c r="DD339" i="2"/>
  <c r="DD215" i="2"/>
  <c r="DD217" i="2" s="1"/>
  <c r="DD222" i="2" s="1"/>
  <c r="DD53" i="2"/>
  <c r="U178" i="2"/>
  <c r="R83" i="2"/>
  <c r="Z72" i="2"/>
  <c r="U83" i="2"/>
  <c r="AB72" i="2"/>
  <c r="EL373" i="2"/>
  <c r="EM276" i="2"/>
  <c r="DO357" i="2"/>
  <c r="DO339" i="2"/>
  <c r="DO215" i="2"/>
  <c r="DO217" i="2" s="1"/>
  <c r="DO222" i="2" s="1"/>
  <c r="DO53" i="2"/>
  <c r="EJ238" i="2"/>
  <c r="EK55" i="2"/>
  <c r="EE186" i="2"/>
  <c r="EE20" i="2" s="1"/>
  <c r="EE182" i="2"/>
  <c r="M283" i="2"/>
  <c r="M284" i="2"/>
  <c r="M258" i="2"/>
  <c r="M247" i="2"/>
  <c r="M345" i="2"/>
  <c r="M322" i="2"/>
  <c r="M332" i="2"/>
  <c r="N94" i="2"/>
  <c r="EG307" i="2"/>
  <c r="CB357" i="2"/>
  <c r="CB339" i="2"/>
  <c r="CB215" i="2"/>
  <c r="CB217" i="2" s="1"/>
  <c r="CB222" i="2" s="1"/>
  <c r="P222" i="2" s="1"/>
  <c r="CB53" i="2"/>
  <c r="T130" i="2"/>
  <c r="T127" i="2"/>
  <c r="T134" i="2" s="1"/>
  <c r="X192" i="2"/>
  <c r="X189" i="2"/>
  <c r="X196" i="2" s="1"/>
  <c r="R82" i="2"/>
  <c r="AB87" i="2"/>
  <c r="CZ357" i="2"/>
  <c r="CZ339" i="2"/>
  <c r="CZ215" i="2"/>
  <c r="CZ217" i="2" s="1"/>
  <c r="CZ222" i="2" s="1"/>
  <c r="CZ53" i="2"/>
  <c r="AD218" i="2"/>
  <c r="EG260" i="2"/>
  <c r="AC90" i="2"/>
  <c r="EM14" i="2"/>
  <c r="EL28" i="2"/>
  <c r="DS356" i="2"/>
  <c r="DS340" i="2"/>
  <c r="DS99" i="2"/>
  <c r="DS54" i="2"/>
  <c r="DS56" i="2" s="1"/>
  <c r="DS52" i="2"/>
  <c r="DS1" i="2" s="1"/>
  <c r="DS50" i="2"/>
  <c r="EM259" i="2"/>
  <c r="EL236" i="2"/>
  <c r="L354" i="2"/>
  <c r="DP357" i="2"/>
  <c r="DP339" i="2"/>
  <c r="DP215" i="2"/>
  <c r="DP217" i="2" s="1"/>
  <c r="DP222" i="2" s="1"/>
  <c r="DP53" i="2"/>
  <c r="L357" i="2"/>
  <c r="L339" i="2"/>
  <c r="L215" i="2"/>
  <c r="L217" i="2" s="1"/>
  <c r="L53" i="2"/>
  <c r="U189" i="2"/>
  <c r="U196" i="2" s="1"/>
  <c r="U192" i="2"/>
  <c r="AB178" i="2"/>
  <c r="W82" i="2"/>
  <c r="EM143" i="2"/>
  <c r="CV357" i="2"/>
  <c r="CV339" i="2"/>
  <c r="CV215" i="2"/>
  <c r="CV217" i="2" s="1"/>
  <c r="CV222" i="2" s="1"/>
  <c r="CV53" i="2"/>
  <c r="AS357" i="2"/>
  <c r="AS339" i="2"/>
  <c r="AS215" i="2"/>
  <c r="AS217" i="2" s="1"/>
  <c r="AS222" i="2" s="1"/>
  <c r="G222" i="2" s="1"/>
  <c r="G231" i="2" s="1"/>
  <c r="AS53" i="2"/>
  <c r="DJ357" i="2"/>
  <c r="DJ339" i="2"/>
  <c r="DJ215" i="2"/>
  <c r="DJ217" i="2" s="1"/>
  <c r="DJ222" i="2" s="1"/>
  <c r="DJ53" i="2"/>
  <c r="EL104" i="2"/>
  <c r="EL106" i="2" s="1"/>
  <c r="S314" i="2"/>
  <c r="S218" i="2"/>
  <c r="P87" i="2"/>
  <c r="W185" i="2"/>
  <c r="W84" i="2"/>
  <c r="Q204" i="2"/>
  <c r="Q203" i="2" s="1"/>
  <c r="Q91" i="2"/>
  <c r="U204" i="2"/>
  <c r="U203" i="2" s="1"/>
  <c r="O164" i="2"/>
  <c r="O161" i="2"/>
  <c r="O168" i="2" s="1"/>
  <c r="AC156" i="2"/>
  <c r="AC83" i="2"/>
  <c r="X178" i="2"/>
  <c r="AB314" i="2"/>
  <c r="N38" i="2"/>
  <c r="X90" i="2"/>
  <c r="T92" i="2"/>
  <c r="AA114" i="2"/>
  <c r="AA63" i="2"/>
  <c r="Z90" i="2"/>
  <c r="AA185" i="2"/>
  <c r="AA84" i="2"/>
  <c r="P204" i="2"/>
  <c r="P203" i="2" s="1"/>
  <c r="P91" i="2"/>
  <c r="X138" i="2"/>
  <c r="X140" i="2"/>
  <c r="X110" i="2"/>
  <c r="X62" i="2"/>
  <c r="Y204" i="2"/>
  <c r="Y203" i="2" s="1"/>
  <c r="R185" i="2"/>
  <c r="R84" i="2"/>
  <c r="Y176" i="2"/>
  <c r="Y74" i="2"/>
  <c r="Q90" i="2"/>
  <c r="S90" i="2"/>
  <c r="T85" i="2"/>
  <c r="X151" i="2"/>
  <c r="X69" i="2"/>
  <c r="AD317" i="2"/>
  <c r="AD296" i="2" s="1"/>
  <c r="Y140" i="2"/>
  <c r="Y138" i="2"/>
  <c r="Y110" i="2"/>
  <c r="Y62" i="2"/>
  <c r="O204" i="2"/>
  <c r="O203" i="2" s="1"/>
  <c r="O91" i="2"/>
  <c r="O32" i="2"/>
  <c r="Z87" i="2"/>
  <c r="S144" i="2"/>
  <c r="S68" i="2"/>
  <c r="V140" i="2"/>
  <c r="V110" i="2"/>
  <c r="V138" i="2"/>
  <c r="V62" i="2"/>
  <c r="Z112" i="2"/>
  <c r="V85" i="2"/>
  <c r="AC124" i="2"/>
  <c r="AC113" i="2" s="1"/>
  <c r="AC22" i="2"/>
  <c r="U314" i="2"/>
  <c r="U320" i="2" s="1"/>
  <c r="U15" i="2"/>
  <c r="U95" i="2" s="1"/>
  <c r="R203" i="2"/>
  <c r="X15" i="2"/>
  <c r="X95" i="2" s="1"/>
  <c r="Y72" i="2"/>
  <c r="X113" i="2"/>
  <c r="X64" i="2" s="1"/>
  <c r="X88" i="2"/>
  <c r="W90" i="2"/>
  <c r="AA178" i="2"/>
  <c r="U331" i="2"/>
  <c r="DQ357" i="2"/>
  <c r="DQ339" i="2"/>
  <c r="DQ215" i="2"/>
  <c r="DQ217" i="2" s="1"/>
  <c r="DQ222" i="2" s="1"/>
  <c r="DQ53" i="2"/>
  <c r="W113" i="2"/>
  <c r="W64" i="2" s="1"/>
  <c r="V87" i="2"/>
  <c r="AC87" i="2"/>
  <c r="DL357" i="2"/>
  <c r="DL339" i="2"/>
  <c r="DL215" i="2"/>
  <c r="DL217" i="2" s="1"/>
  <c r="DL222" i="2" s="1"/>
  <c r="DL53" i="2"/>
  <c r="EA357" i="2"/>
  <c r="EA339" i="2"/>
  <c r="EA215" i="2"/>
  <c r="EA217" i="2" s="1"/>
  <c r="EA222" i="2" s="1"/>
  <c r="EA53" i="2"/>
  <c r="DB269" i="2"/>
  <c r="DB300" i="2"/>
  <c r="DB349" i="2"/>
  <c r="EK78" i="2"/>
  <c r="EE140" i="2"/>
  <c r="EE138" i="2"/>
  <c r="EE110" i="2"/>
  <c r="EE109" i="2"/>
  <c r="CN357" i="2"/>
  <c r="CN339" i="2"/>
  <c r="CN215" i="2"/>
  <c r="CN217" i="2" s="1"/>
  <c r="CN222" i="2" s="1"/>
  <c r="S222" i="2" s="1"/>
  <c r="CN53" i="2"/>
  <c r="EK201" i="2"/>
  <c r="EJ159" i="2"/>
  <c r="EO204" i="2"/>
  <c r="EO203" i="2" s="1"/>
  <c r="EP30" i="2"/>
  <c r="O321" i="2"/>
  <c r="O315" i="2"/>
  <c r="O211" i="2"/>
  <c r="O210" i="2" s="1"/>
  <c r="O320" i="2"/>
  <c r="O317" i="2"/>
  <c r="O296" i="2" s="1"/>
  <c r="R164" i="2"/>
  <c r="R161" i="2"/>
  <c r="R168" i="2" s="1"/>
  <c r="Y15" i="2"/>
  <c r="Y95" i="2" s="1"/>
  <c r="U164" i="2"/>
  <c r="U161" i="2"/>
  <c r="U168" i="2" s="1"/>
  <c r="U112" i="2"/>
  <c r="O192" i="2"/>
  <c r="O189" i="2"/>
  <c r="O196" i="2" s="1"/>
  <c r="DG357" i="2"/>
  <c r="DG339" i="2"/>
  <c r="DG215" i="2"/>
  <c r="DG217" i="2" s="1"/>
  <c r="DG222" i="2" s="1"/>
  <c r="DG53" i="2"/>
  <c r="J222" i="2"/>
  <c r="EB269" i="2"/>
  <c r="EC267" i="2"/>
  <c r="EB349" i="2"/>
  <c r="EB300" i="2"/>
  <c r="Y189" i="2"/>
  <c r="Y196" i="2" s="1"/>
  <c r="Y192" i="2"/>
  <c r="DA357" i="2"/>
  <c r="DA339" i="2"/>
  <c r="DA215" i="2"/>
  <c r="DA217" i="2" s="1"/>
  <c r="DA222" i="2" s="1"/>
  <c r="DA53" i="2"/>
  <c r="AE90" i="2"/>
  <c r="M349" i="2"/>
  <c r="M344" i="2"/>
  <c r="M342" i="2"/>
  <c r="M343" i="2"/>
  <c r="M357" i="2"/>
  <c r="EC356" i="2"/>
  <c r="EC340" i="2"/>
  <c r="EC99" i="2"/>
  <c r="EC50" i="2"/>
  <c r="EC54" i="2"/>
  <c r="EC56" i="2" s="1"/>
  <c r="EC52" i="2"/>
  <c r="EC1" i="2" s="1"/>
  <c r="AE173" i="2"/>
  <c r="CY357" i="2"/>
  <c r="CY339" i="2"/>
  <c r="CY215" i="2"/>
  <c r="CY217" i="2" s="1"/>
  <c r="CY222" i="2" s="1"/>
  <c r="CY53" i="2"/>
  <c r="CC357" i="2"/>
  <c r="CC339" i="2"/>
  <c r="CC215" i="2"/>
  <c r="CC217" i="2" s="1"/>
  <c r="CC222" i="2" s="1"/>
  <c r="CC53" i="2"/>
  <c r="X203" i="2"/>
  <c r="R130" i="2"/>
  <c r="R127" i="2"/>
  <c r="R134" i="2" s="1"/>
  <c r="V180" i="2"/>
  <c r="T203" i="2"/>
  <c r="T321" i="2"/>
  <c r="T320" i="2"/>
  <c r="T315" i="2"/>
  <c r="T211" i="2"/>
  <c r="T210" i="2" s="1"/>
  <c r="T317" i="2"/>
  <c r="T296" i="2" s="1"/>
  <c r="ED356" i="2"/>
  <c r="ED340" i="2"/>
  <c r="ED54" i="2"/>
  <c r="ED56" i="2" s="1"/>
  <c r="ED52" i="2"/>
  <c r="ED1" i="2" s="1"/>
  <c r="ED99" i="2"/>
  <c r="ED50" i="2"/>
  <c r="EM284" i="2"/>
  <c r="EN36" i="2" s="1"/>
  <c r="EN268" i="2"/>
  <c r="O222" i="2"/>
  <c r="EG211" i="2"/>
  <c r="EG317" i="2"/>
  <c r="EG296" i="2" s="1"/>
  <c r="BA357" i="2"/>
  <c r="BA339" i="2"/>
  <c r="BA215" i="2"/>
  <c r="BA217" i="2" s="1"/>
  <c r="BA222" i="2" s="1"/>
  <c r="I222" i="2" s="1"/>
  <c r="I231" i="2" s="1"/>
  <c r="BA53" i="2"/>
  <c r="EK180" i="2"/>
  <c r="AO357" i="2"/>
  <c r="AO339" i="2"/>
  <c r="AO215" i="2"/>
  <c r="AO217" i="2" s="1"/>
  <c r="AO222" i="2" s="1"/>
  <c r="F222" i="2" s="1"/>
  <c r="F231" i="2" s="1"/>
  <c r="AO53" i="2"/>
  <c r="CF357" i="2"/>
  <c r="CF339" i="2"/>
  <c r="CF215" i="2"/>
  <c r="CF217" i="2" s="1"/>
  <c r="CF222" i="2" s="1"/>
  <c r="CF53" i="2"/>
  <c r="K357" i="2"/>
  <c r="K339" i="2"/>
  <c r="K215" i="2"/>
  <c r="K217" i="2" s="1"/>
  <c r="K231" i="2" s="1"/>
  <c r="K233" i="2" s="1"/>
  <c r="K244" i="2" s="1"/>
  <c r="K246" i="2" s="1"/>
  <c r="K247" i="2" s="1"/>
  <c r="K53" i="2"/>
  <c r="K360" i="2"/>
  <c r="E222" i="2"/>
  <c r="E231" i="2" s="1"/>
  <c r="E233" i="2" s="1"/>
  <c r="E244" i="2" s="1"/>
  <c r="E246" i="2" s="1"/>
  <c r="U113" i="2"/>
  <c r="U64" i="2" s="1"/>
  <c r="S203" i="2"/>
  <c r="R89" i="2"/>
  <c r="EJ66" i="2"/>
  <c r="Y91" i="2" l="1"/>
  <c r="N311" i="2"/>
  <c r="U91" i="2"/>
  <c r="EP108" i="2"/>
  <c r="EM112" i="2"/>
  <c r="AB95" i="2"/>
  <c r="V151" i="2"/>
  <c r="AA91" i="2"/>
  <c r="EM113" i="2"/>
  <c r="EN145" i="2"/>
  <c r="U92" i="2"/>
  <c r="Y92" i="2"/>
  <c r="AA92" i="2"/>
  <c r="EL114" i="2"/>
  <c r="EO150" i="2"/>
  <c r="EM151" i="2"/>
  <c r="AB151" i="2"/>
  <c r="AC95" i="2"/>
  <c r="EO140" i="2"/>
  <c r="EO138" i="2"/>
  <c r="I233" i="2"/>
  <c r="I244" i="2" s="1"/>
  <c r="I246" i="2" s="1"/>
  <c r="I247" i="2" s="1"/>
  <c r="I361" i="2"/>
  <c r="EM78" i="2"/>
  <c r="H233" i="2"/>
  <c r="H244" i="2" s="1"/>
  <c r="H246" i="2" s="1"/>
  <c r="H247" i="2" s="1"/>
  <c r="H361" i="2"/>
  <c r="F233" i="2"/>
  <c r="F244" i="2" s="1"/>
  <c r="F246" i="2" s="1"/>
  <c r="F247" i="2" s="1"/>
  <c r="F361" i="2"/>
  <c r="G233" i="2"/>
  <c r="G244" i="2" s="1"/>
  <c r="G246" i="2" s="1"/>
  <c r="G247" i="2" s="1"/>
  <c r="G361" i="2"/>
  <c r="EC357" i="2"/>
  <c r="EC339" i="2"/>
  <c r="EC337" i="2"/>
  <c r="EC215" i="2"/>
  <c r="EC217" i="2" s="1"/>
  <c r="EC222" i="2" s="1"/>
  <c r="EC53" i="2"/>
  <c r="U114" i="2"/>
  <c r="U63" i="2"/>
  <c r="Z114" i="2"/>
  <c r="Z63" i="2"/>
  <c r="Y66" i="2"/>
  <c r="X66" i="2"/>
  <c r="Z92" i="2"/>
  <c r="AA65" i="2"/>
  <c r="N40" i="2"/>
  <c r="N42" i="2" s="1"/>
  <c r="N98" i="2"/>
  <c r="X180" i="2"/>
  <c r="X75" i="2"/>
  <c r="EM104" i="2"/>
  <c r="EM106" i="2" s="1"/>
  <c r="EM110" i="2" s="1"/>
  <c r="EN144" i="2"/>
  <c r="EN143" i="2"/>
  <c r="DS357" i="2"/>
  <c r="DS339" i="2"/>
  <c r="DS215" i="2"/>
  <c r="DS217" i="2" s="1"/>
  <c r="DS222" i="2" s="1"/>
  <c r="DS53" i="2"/>
  <c r="EN14" i="2"/>
  <c r="EM28" i="2"/>
  <c r="EM90" i="2" s="1"/>
  <c r="X193" i="2"/>
  <c r="X194" i="2"/>
  <c r="X195" i="2" s="1"/>
  <c r="EH307" i="2"/>
  <c r="V189" i="2"/>
  <c r="V196" i="2" s="1"/>
  <c r="V192" i="2"/>
  <c r="Z78" i="2"/>
  <c r="Y315" i="2"/>
  <c r="Y211" i="2"/>
  <c r="Y210" i="2" s="1"/>
  <c r="Y317" i="2"/>
  <c r="Y296" i="2" s="1"/>
  <c r="DM357" i="2"/>
  <c r="DM339" i="2"/>
  <c r="DM215" i="2"/>
  <c r="DM217" i="2" s="1"/>
  <c r="DM222" i="2" s="1"/>
  <c r="DM53" i="2"/>
  <c r="EM178" i="2"/>
  <c r="EM77" i="2"/>
  <c r="EN75" i="2"/>
  <c r="EL202" i="2"/>
  <c r="EK187" i="2"/>
  <c r="Q81" i="2"/>
  <c r="Q29" i="2"/>
  <c r="Q318" i="2"/>
  <c r="Q310" i="2"/>
  <c r="Q92" i="2"/>
  <c r="Q95" i="2"/>
  <c r="AA71" i="2"/>
  <c r="Z66" i="2"/>
  <c r="W315" i="2"/>
  <c r="W211" i="2"/>
  <c r="W210" i="2" s="1"/>
  <c r="W317" i="2"/>
  <c r="W296" i="2" s="1"/>
  <c r="Y180" i="2"/>
  <c r="Y75" i="2"/>
  <c r="EE78" i="2"/>
  <c r="EF182" i="2"/>
  <c r="EF185" i="2" s="1"/>
  <c r="EF186" i="2"/>
  <c r="EF20" i="2" s="1"/>
  <c r="M359" i="2"/>
  <c r="N258" i="2"/>
  <c r="N345" i="2"/>
  <c r="N322" i="2"/>
  <c r="N332" i="2"/>
  <c r="O94" i="2"/>
  <c r="N349" i="2"/>
  <c r="N342" i="2"/>
  <c r="N344" i="2"/>
  <c r="N343" i="2"/>
  <c r="W222" i="2"/>
  <c r="X222" i="2"/>
  <c r="AC71" i="2"/>
  <c r="X63" i="2"/>
  <c r="X114" i="2"/>
  <c r="AA78" i="2"/>
  <c r="O130" i="2"/>
  <c r="O127" i="2"/>
  <c r="O134" i="2" s="1"/>
  <c r="S81" i="2"/>
  <c r="S29" i="2"/>
  <c r="S310" i="2"/>
  <c r="S318" i="2"/>
  <c r="S91" i="2"/>
  <c r="U72" i="2"/>
  <c r="ED357" i="2"/>
  <c r="ED339" i="2"/>
  <c r="ED337" i="2"/>
  <c r="ED215" i="2"/>
  <c r="ED53" i="2"/>
  <c r="V77" i="2"/>
  <c r="R166" i="2"/>
  <c r="R167" i="2" s="1"/>
  <c r="R165" i="2"/>
  <c r="EE124" i="2"/>
  <c r="EE18" i="2" s="1"/>
  <c r="EE116" i="2"/>
  <c r="DB279" i="2"/>
  <c r="DB299" i="2"/>
  <c r="DB301" i="2"/>
  <c r="X81" i="2"/>
  <c r="X29" i="2"/>
  <c r="X310" i="2"/>
  <c r="X318" i="2"/>
  <c r="X91" i="2"/>
  <c r="X92" i="2"/>
  <c r="AC64" i="2"/>
  <c r="AC114" i="2"/>
  <c r="V66" i="2"/>
  <c r="Y78" i="2"/>
  <c r="W192" i="2"/>
  <c r="W189" i="2"/>
  <c r="W196" i="2" s="1"/>
  <c r="EL110" i="2"/>
  <c r="EK238" i="2"/>
  <c r="EK372" i="2" s="1"/>
  <c r="EL55" i="2"/>
  <c r="EP97" i="2"/>
  <c r="S166" i="2"/>
  <c r="S167" i="2" s="1"/>
  <c r="S165" i="2"/>
  <c r="Y164" i="2"/>
  <c r="Y161" i="2"/>
  <c r="Y168" i="2" s="1"/>
  <c r="U66" i="2"/>
  <c r="Z315" i="2"/>
  <c r="Z211" i="2"/>
  <c r="Z210" i="2" s="1"/>
  <c r="U78" i="2"/>
  <c r="EH281" i="2"/>
  <c r="EH249" i="2"/>
  <c r="EH214" i="2"/>
  <c r="EH4" i="2"/>
  <c r="EH9" i="2"/>
  <c r="EH3" i="2"/>
  <c r="EH60" i="2"/>
  <c r="EI7" i="2"/>
  <c r="Y131" i="2"/>
  <c r="Y132" i="2"/>
  <c r="Y133" i="2" s="1"/>
  <c r="AB78" i="2"/>
  <c r="Z71" i="2"/>
  <c r="AB192" i="2"/>
  <c r="AB189" i="2"/>
  <c r="AB196" i="2" s="1"/>
  <c r="Q164" i="2"/>
  <c r="Q161" i="2"/>
  <c r="Q168" i="2" s="1"/>
  <c r="AC130" i="2"/>
  <c r="AC127" i="2"/>
  <c r="AC134" i="2" s="1"/>
  <c r="P321" i="2"/>
  <c r="P320" i="2"/>
  <c r="P315" i="2"/>
  <c r="P211" i="2"/>
  <c r="P210" i="2" s="1"/>
  <c r="P317" i="2"/>
  <c r="P296" i="2" s="1"/>
  <c r="AB130" i="2"/>
  <c r="AB127" i="2"/>
  <c r="AB134" i="2" s="1"/>
  <c r="AA164" i="2"/>
  <c r="AA161" i="2"/>
  <c r="AA168" i="2" s="1"/>
  <c r="Z81" i="2"/>
  <c r="Z29" i="2"/>
  <c r="Z317" i="2"/>
  <c r="Z296" i="2" s="1"/>
  <c r="V315" i="2"/>
  <c r="V211" i="2"/>
  <c r="V210" i="2" s="1"/>
  <c r="V317" i="2"/>
  <c r="V296" i="2" s="1"/>
  <c r="DN357" i="2"/>
  <c r="DN339" i="2"/>
  <c r="DN215" i="2"/>
  <c r="DN53" i="2"/>
  <c r="J233" i="2"/>
  <c r="J244" i="2" s="1"/>
  <c r="J246" i="2" s="1"/>
  <c r="J247" i="2" s="1"/>
  <c r="J361" i="2"/>
  <c r="EL200" i="2"/>
  <c r="EK125" i="2"/>
  <c r="N269" i="2"/>
  <c r="N279" i="2" s="1"/>
  <c r="U151" i="2"/>
  <c r="U69" i="2"/>
  <c r="CZ329" i="2"/>
  <c r="CZ320" i="2" s="1"/>
  <c r="CZ321" i="2"/>
  <c r="DA330" i="2"/>
  <c r="X132" i="2"/>
  <c r="X133" i="2" s="1"/>
  <c r="X131" i="2"/>
  <c r="AC315" i="2"/>
  <c r="AC211" i="2"/>
  <c r="AC210" i="2" s="1"/>
  <c r="V72" i="2"/>
  <c r="V130" i="2"/>
  <c r="V127" i="2"/>
  <c r="V134" i="2" s="1"/>
  <c r="Z189" i="2"/>
  <c r="Z196" i="2" s="1"/>
  <c r="Z192" i="2"/>
  <c r="T192" i="2"/>
  <c r="T189" i="2"/>
  <c r="T196" i="2" s="1"/>
  <c r="Z164" i="2"/>
  <c r="Z161" i="2"/>
  <c r="Z168" i="2" s="1"/>
  <c r="S130" i="2"/>
  <c r="S127" i="2"/>
  <c r="S134" i="2" s="1"/>
  <c r="V65" i="2"/>
  <c r="X161" i="2"/>
  <c r="X168" i="2" s="1"/>
  <c r="X164" i="2"/>
  <c r="R86" i="2"/>
  <c r="R32" i="2"/>
  <c r="Y71" i="2"/>
  <c r="K361" i="2"/>
  <c r="EN284" i="2"/>
  <c r="EO268" i="2"/>
  <c r="V222" i="2"/>
  <c r="Y194" i="2"/>
  <c r="Y195" i="2" s="1"/>
  <c r="Y193" i="2"/>
  <c r="ED267" i="2"/>
  <c r="EC269" i="2"/>
  <c r="EC349" i="2"/>
  <c r="EC300" i="2"/>
  <c r="U165" i="2"/>
  <c r="U166" i="2"/>
  <c r="U167" i="2" s="1"/>
  <c r="EE66" i="2"/>
  <c r="Z310" i="2"/>
  <c r="O166" i="2"/>
  <c r="O167" i="2" s="1"/>
  <c r="O165" i="2"/>
  <c r="S321" i="2"/>
  <c r="S315" i="2"/>
  <c r="S211" i="2"/>
  <c r="S210" i="2" s="1"/>
  <c r="S320" i="2"/>
  <c r="S317" i="2"/>
  <c r="S296" i="2" s="1"/>
  <c r="AB180" i="2"/>
  <c r="AB75" i="2"/>
  <c r="L231" i="2"/>
  <c r="L233" i="2" s="1"/>
  <c r="L244" i="2" s="1"/>
  <c r="L246" i="2" s="1"/>
  <c r="L247" i="2" s="1"/>
  <c r="T132" i="2"/>
  <c r="T133" i="2" s="1"/>
  <c r="T131" i="2"/>
  <c r="M301" i="2"/>
  <c r="M299" i="2"/>
  <c r="M262" i="2"/>
  <c r="EE185" i="2"/>
  <c r="EJ372" i="2"/>
  <c r="AE238" i="2"/>
  <c r="AE372" i="2" s="1"/>
  <c r="EM373" i="2"/>
  <c r="EN276" i="2"/>
  <c r="U180" i="2"/>
  <c r="U75" i="2"/>
  <c r="L360" i="2"/>
  <c r="L361" i="2"/>
  <c r="AC194" i="2"/>
  <c r="AC195" i="2" s="1"/>
  <c r="AC193" i="2"/>
  <c r="Z91" i="2"/>
  <c r="W66" i="2"/>
  <c r="AC76" i="2"/>
  <c r="AC180" i="2"/>
  <c r="W72" i="2"/>
  <c r="AB65" i="2"/>
  <c r="W77" i="2"/>
  <c r="EN230" i="2"/>
  <c r="EO272" i="2"/>
  <c r="L291" i="2"/>
  <c r="L290" i="2"/>
  <c r="L288" i="2"/>
  <c r="L287" i="2"/>
  <c r="X78" i="2"/>
  <c r="DV357" i="2"/>
  <c r="DV339" i="2"/>
  <c r="DV215" i="2"/>
  <c r="DV53" i="2"/>
  <c r="EL180" i="2"/>
  <c r="S193" i="2"/>
  <c r="S194" i="2"/>
  <c r="S195" i="2" s="1"/>
  <c r="EL176" i="2"/>
  <c r="Q222" i="2"/>
  <c r="EE72" i="2"/>
  <c r="W166" i="2"/>
  <c r="W167" i="2" s="1"/>
  <c r="W165" i="2"/>
  <c r="AB71" i="2"/>
  <c r="EM256" i="2"/>
  <c r="EH305" i="2"/>
  <c r="U131" i="2"/>
  <c r="U132" i="2"/>
  <c r="U133" i="2" s="1"/>
  <c r="X315" i="2"/>
  <c r="X211" i="2"/>
  <c r="X210" i="2" s="1"/>
  <c r="X317" i="2"/>
  <c r="X296" i="2" s="1"/>
  <c r="Q130" i="2"/>
  <c r="Q127" i="2"/>
  <c r="Q134" i="2" s="1"/>
  <c r="W151" i="2"/>
  <c r="W69" i="2"/>
  <c r="Z318" i="2"/>
  <c r="AB66" i="2"/>
  <c r="V71" i="2"/>
  <c r="AA81" i="2"/>
  <c r="AA29" i="2"/>
  <c r="AA95" i="2"/>
  <c r="AA310" i="2"/>
  <c r="W81" i="2"/>
  <c r="W29" i="2"/>
  <c r="W310" i="2"/>
  <c r="W318" i="2"/>
  <c r="W91" i="2"/>
  <c r="EF124" i="2"/>
  <c r="EF18" i="2" s="1"/>
  <c r="EF116" i="2"/>
  <c r="Z180" i="2"/>
  <c r="Z75" i="2"/>
  <c r="T81" i="2"/>
  <c r="T29" i="2"/>
  <c r="T310" i="2"/>
  <c r="T318" i="2"/>
  <c r="T91" i="2"/>
  <c r="T95" i="2"/>
  <c r="N348" i="2"/>
  <c r="N303" i="2"/>
  <c r="N300" i="2"/>
  <c r="N302" i="2"/>
  <c r="Q315" i="2"/>
  <c r="S92" i="2"/>
  <c r="T161" i="2"/>
  <c r="T168" i="2" s="1"/>
  <c r="T164" i="2"/>
  <c r="P81" i="2"/>
  <c r="P29" i="2"/>
  <c r="P310" i="2"/>
  <c r="P318" i="2"/>
  <c r="R81" i="2"/>
  <c r="EG210" i="2"/>
  <c r="EG208" i="2"/>
  <c r="EG160" i="2" s="1"/>
  <c r="EG209" i="2"/>
  <c r="EG188" i="2" s="1"/>
  <c r="EG207" i="2"/>
  <c r="EG126" i="2" s="1"/>
  <c r="R131" i="2"/>
  <c r="R132" i="2"/>
  <c r="R133" i="2" s="1"/>
  <c r="EB279" i="2"/>
  <c r="EB280" i="2" s="1"/>
  <c r="EB299" i="2"/>
  <c r="EB301" i="2"/>
  <c r="O193" i="2"/>
  <c r="O194" i="2"/>
  <c r="O195" i="2" s="1"/>
  <c r="Y81" i="2"/>
  <c r="Y29" i="2"/>
  <c r="Y310" i="2"/>
  <c r="Y318" i="2"/>
  <c r="EP204" i="2"/>
  <c r="EP203" i="2" s="1"/>
  <c r="AF30" i="2"/>
  <c r="EL201" i="2"/>
  <c r="EK159" i="2"/>
  <c r="AA180" i="2"/>
  <c r="AA75" i="2"/>
  <c r="U81" i="2"/>
  <c r="U29" i="2"/>
  <c r="U310" i="2"/>
  <c r="U318" i="2"/>
  <c r="U315" i="2"/>
  <c r="U211" i="2"/>
  <c r="U210" i="2" s="1"/>
  <c r="U317" i="2"/>
  <c r="U296" i="2" s="1"/>
  <c r="U321" i="2"/>
  <c r="O294" i="2"/>
  <c r="O293" i="2"/>
  <c r="O34" i="2"/>
  <c r="O93" i="2"/>
  <c r="X71" i="2"/>
  <c r="R189" i="2"/>
  <c r="R196" i="2" s="1"/>
  <c r="R192" i="2"/>
  <c r="AA192" i="2"/>
  <c r="AA189" i="2"/>
  <c r="AA196" i="2" s="1"/>
  <c r="AB315" i="2"/>
  <c r="AB211" i="2"/>
  <c r="AB210" i="2" s="1"/>
  <c r="AB317" i="2"/>
  <c r="AB296" i="2" s="1"/>
  <c r="AC164" i="2"/>
  <c r="AC161" i="2"/>
  <c r="AC168" i="2" s="1"/>
  <c r="Y222" i="2"/>
  <c r="EM144" i="2"/>
  <c r="U194" i="2"/>
  <c r="U195" i="2" s="1"/>
  <c r="U193" i="2"/>
  <c r="EM236" i="2"/>
  <c r="EN259" i="2"/>
  <c r="EL90" i="2"/>
  <c r="EG345" i="2"/>
  <c r="EG322" i="2"/>
  <c r="EG271" i="2"/>
  <c r="EG221" i="2" s="1"/>
  <c r="AD221" i="2" s="1"/>
  <c r="EH33" i="2"/>
  <c r="M286" i="2"/>
  <c r="M285" i="2"/>
  <c r="EM31" i="2"/>
  <c r="EB357" i="2"/>
  <c r="EB339" i="2"/>
  <c r="EB215" i="2"/>
  <c r="EB217" i="2" s="1"/>
  <c r="EB222" i="2" s="1"/>
  <c r="EB53" i="2"/>
  <c r="W131" i="2"/>
  <c r="W132" i="2"/>
  <c r="W133" i="2" s="1"/>
  <c r="EG175" i="2"/>
  <c r="EG109" i="2"/>
  <c r="AD109" i="2" s="1"/>
  <c r="AD108" i="2" s="1"/>
  <c r="EG146" i="2"/>
  <c r="U222" i="2"/>
  <c r="EE156" i="2"/>
  <c r="DR357" i="2"/>
  <c r="DR339" i="2"/>
  <c r="DR215" i="2"/>
  <c r="DR53" i="2"/>
  <c r="DZ357" i="2"/>
  <c r="DZ339" i="2"/>
  <c r="DZ215" i="2"/>
  <c r="DZ53" i="2"/>
  <c r="AB161" i="2"/>
  <c r="AB168" i="2" s="1"/>
  <c r="AB164" i="2"/>
  <c r="V164" i="2"/>
  <c r="V161" i="2"/>
  <c r="V168" i="2" s="1"/>
  <c r="AC81" i="2"/>
  <c r="AC29" i="2"/>
  <c r="AC310" i="2"/>
  <c r="AC91" i="2"/>
  <c r="AB81" i="2"/>
  <c r="AB29" i="2"/>
  <c r="AB318" i="2"/>
  <c r="AB92" i="2"/>
  <c r="Z130" i="2"/>
  <c r="Z127" i="2"/>
  <c r="Z134" i="2" s="1"/>
  <c r="AA130" i="2"/>
  <c r="AA127" i="2"/>
  <c r="AA134" i="2" s="1"/>
  <c r="DU357" i="2"/>
  <c r="DU339" i="2"/>
  <c r="DU215" i="2"/>
  <c r="DU217" i="2" s="1"/>
  <c r="DU222" i="2" s="1"/>
  <c r="DU53" i="2"/>
  <c r="DY357" i="2"/>
  <c r="DY339" i="2"/>
  <c r="DY215" i="2"/>
  <c r="DY217" i="2" s="1"/>
  <c r="DY222" i="2" s="1"/>
  <c r="DY53" i="2"/>
  <c r="EF158" i="2"/>
  <c r="EF19" i="2" s="1"/>
  <c r="EF153" i="2"/>
  <c r="EF156" i="2" s="1"/>
  <c r="EF147" i="2"/>
  <c r="AD211" i="2"/>
  <c r="EN371" i="2"/>
  <c r="EO273" i="2"/>
  <c r="EH303" i="2"/>
  <c r="EN171" i="2"/>
  <c r="EN173" i="2"/>
  <c r="EN176" i="2" s="1"/>
  <c r="O278" i="2"/>
  <c r="O276" i="2"/>
  <c r="O373" i="2" s="1"/>
  <c r="O274" i="2"/>
  <c r="O272" i="2"/>
  <c r="O270" i="2"/>
  <c r="O268" i="2"/>
  <c r="O266" i="2"/>
  <c r="O309" i="2" s="1"/>
  <c r="O261" i="2"/>
  <c r="O260" i="2"/>
  <c r="O259" i="2"/>
  <c r="O257" i="2"/>
  <c r="O308" i="2" s="1"/>
  <c r="O256" i="2"/>
  <c r="O255" i="2"/>
  <c r="O254" i="2"/>
  <c r="O304" i="2" s="1"/>
  <c r="O253" i="2"/>
  <c r="O252" i="2"/>
  <c r="O251" i="2"/>
  <c r="O277" i="2"/>
  <c r="O275" i="2"/>
  <c r="O273" i="2"/>
  <c r="O271" i="2"/>
  <c r="O311" i="2" s="1"/>
  <c r="O267" i="2"/>
  <c r="O265" i="2"/>
  <c r="P4" i="2"/>
  <c r="N305" i="2"/>
  <c r="N284" i="2"/>
  <c r="N283" i="2"/>
  <c r="EM334" i="2"/>
  <c r="EM336" i="2"/>
  <c r="V29" i="2"/>
  <c r="V81" i="2"/>
  <c r="V310" i="2"/>
  <c r="V318" i="2"/>
  <c r="V92" i="2"/>
  <c r="P192" i="2"/>
  <c r="P189" i="2"/>
  <c r="P196" i="2" s="1"/>
  <c r="Y114" i="2"/>
  <c r="Y63" i="2"/>
  <c r="Q189" i="2"/>
  <c r="Q196" i="2" s="1"/>
  <c r="Q192" i="2"/>
  <c r="P161" i="2"/>
  <c r="P168" i="2" s="1"/>
  <c r="P164" i="2"/>
  <c r="W114" i="2"/>
  <c r="P130" i="2"/>
  <c r="P127" i="2"/>
  <c r="P134" i="2" s="1"/>
  <c r="EF22" i="2" l="1"/>
  <c r="EP150" i="2"/>
  <c r="EO149" i="2"/>
  <c r="EO71" i="2"/>
  <c r="EM114" i="2"/>
  <c r="EP138" i="2"/>
  <c r="EP140" i="2"/>
  <c r="EN113" i="2"/>
  <c r="EN112" i="2"/>
  <c r="EN65" i="2"/>
  <c r="EO145" i="2"/>
  <c r="EN149" i="2"/>
  <c r="EN71" i="2"/>
  <c r="EM65" i="2"/>
  <c r="AD138" i="2"/>
  <c r="AD110" i="2"/>
  <c r="AD140" i="2"/>
  <c r="AD62" i="2"/>
  <c r="V86" i="2"/>
  <c r="V32" i="2"/>
  <c r="O350" i="2"/>
  <c r="O351" i="2" s="1"/>
  <c r="O295" i="2"/>
  <c r="O38" i="2"/>
  <c r="O96" i="2"/>
  <c r="Z77" i="2"/>
  <c r="AA86" i="2"/>
  <c r="AA32" i="2"/>
  <c r="EI305" i="2"/>
  <c r="EN373" i="2"/>
  <c r="EO276" i="2"/>
  <c r="X165" i="2"/>
  <c r="X166" i="2"/>
  <c r="X167" i="2" s="1"/>
  <c r="V330" i="2"/>
  <c r="V321" i="2" s="1"/>
  <c r="DA329" i="2"/>
  <c r="DA321" i="2"/>
  <c r="DB330" i="2"/>
  <c r="Z86" i="2"/>
  <c r="Z32" i="2"/>
  <c r="Q165" i="2"/>
  <c r="Q166" i="2"/>
  <c r="Q167" i="2" s="1"/>
  <c r="EH175" i="2"/>
  <c r="EH109" i="2"/>
  <c r="EH146" i="2"/>
  <c r="AC65" i="2"/>
  <c r="EE22" i="2"/>
  <c r="S86" i="2"/>
  <c r="S32" i="2"/>
  <c r="EM202" i="2"/>
  <c r="EL187" i="2"/>
  <c r="EI307" i="2"/>
  <c r="EN28" i="2"/>
  <c r="EO14" i="2"/>
  <c r="O258" i="2"/>
  <c r="O345" i="2"/>
  <c r="O322" i="2"/>
  <c r="O332" i="2"/>
  <c r="P94" i="2"/>
  <c r="O349" i="2"/>
  <c r="O344" i="2"/>
  <c r="O343" i="2"/>
  <c r="O342" i="2"/>
  <c r="EF161" i="2"/>
  <c r="EF168" i="2" s="1"/>
  <c r="EF164" i="2"/>
  <c r="EF12" i="2"/>
  <c r="AB32" i="2"/>
  <c r="AB86" i="2"/>
  <c r="AB165" i="2"/>
  <c r="AB166" i="2"/>
  <c r="AB167" i="2" s="1"/>
  <c r="P132" i="2"/>
  <c r="P133" i="2" s="1"/>
  <c r="P131" i="2"/>
  <c r="Q194" i="2"/>
  <c r="Q195" i="2" s="1"/>
  <c r="Q193" i="2"/>
  <c r="Y65" i="2"/>
  <c r="P278" i="2"/>
  <c r="P276" i="2"/>
  <c r="P373" i="2" s="1"/>
  <c r="P274" i="2"/>
  <c r="P272" i="2"/>
  <c r="P270" i="2"/>
  <c r="P268" i="2"/>
  <c r="P266" i="2"/>
  <c r="P309" i="2" s="1"/>
  <c r="P261" i="2"/>
  <c r="P260" i="2"/>
  <c r="P259" i="2"/>
  <c r="P257" i="2"/>
  <c r="P308" i="2" s="1"/>
  <c r="P256" i="2"/>
  <c r="P255" i="2"/>
  <c r="P254" i="2"/>
  <c r="P304" i="2" s="1"/>
  <c r="P253" i="2"/>
  <c r="P252" i="2"/>
  <c r="P251" i="2"/>
  <c r="P277" i="2"/>
  <c r="P275" i="2"/>
  <c r="P273" i="2"/>
  <c r="P271" i="2"/>
  <c r="P311" i="2" s="1"/>
  <c r="P267" i="2"/>
  <c r="P265" i="2"/>
  <c r="Q4" i="2"/>
  <c r="O371" i="2"/>
  <c r="EI303" i="2"/>
  <c r="Z131" i="2"/>
  <c r="Z132" i="2"/>
  <c r="Z133" i="2" s="1"/>
  <c r="EG147" i="2"/>
  <c r="EG158" i="2"/>
  <c r="EG19" i="2" s="1"/>
  <c r="EG153" i="2"/>
  <c r="AD146" i="2"/>
  <c r="AD145" i="2" s="1"/>
  <c r="M291" i="2"/>
  <c r="M290" i="2"/>
  <c r="M288" i="2"/>
  <c r="M287" i="2"/>
  <c r="AC165" i="2"/>
  <c r="AC166" i="2"/>
  <c r="AC167" i="2" s="1"/>
  <c r="U86" i="2"/>
  <c r="U32" i="2"/>
  <c r="EM201" i="2"/>
  <c r="EL159" i="2"/>
  <c r="T165" i="2"/>
  <c r="T166" i="2"/>
  <c r="T167" i="2" s="1"/>
  <c r="N359" i="2"/>
  <c r="EF123" i="2"/>
  <c r="EF119" i="2"/>
  <c r="EF120" i="2" s="1"/>
  <c r="Q131" i="2"/>
  <c r="Q132" i="2"/>
  <c r="Q133" i="2" s="1"/>
  <c r="DV217" i="2"/>
  <c r="AB215" i="2"/>
  <c r="EE192" i="2"/>
  <c r="EE189" i="2"/>
  <c r="EE196" i="2" s="1"/>
  <c r="EE13" i="2"/>
  <c r="S131" i="2"/>
  <c r="S132" i="2"/>
  <c r="S133" i="2" s="1"/>
  <c r="T193" i="2"/>
  <c r="T194" i="2"/>
  <c r="T195" i="2" s="1"/>
  <c r="V131" i="2"/>
  <c r="V132" i="2"/>
  <c r="V133" i="2" s="1"/>
  <c r="U71" i="2"/>
  <c r="EM200" i="2"/>
  <c r="EL125" i="2"/>
  <c r="Z215" i="2"/>
  <c r="DN217" i="2"/>
  <c r="AA166" i="2"/>
  <c r="AA167" i="2" s="1"/>
  <c r="AA165" i="2"/>
  <c r="Y165" i="2"/>
  <c r="Y166" i="2"/>
  <c r="Y167" i="2" s="1"/>
  <c r="EO36" i="2"/>
  <c r="EL238" i="2"/>
  <c r="EM55" i="2"/>
  <c r="EL66" i="2"/>
  <c r="O131" i="2"/>
  <c r="O132" i="2"/>
  <c r="O133" i="2" s="1"/>
  <c r="X65" i="2"/>
  <c r="N355" i="2"/>
  <c r="EF189" i="2"/>
  <c r="EF196" i="2" s="1"/>
  <c r="EF192" i="2"/>
  <c r="EF13" i="2"/>
  <c r="EN178" i="2"/>
  <c r="EO75" i="2"/>
  <c r="EN77" i="2"/>
  <c r="EN106" i="2"/>
  <c r="EN104" i="2"/>
  <c r="X77" i="2"/>
  <c r="Z65" i="2"/>
  <c r="U65" i="2"/>
  <c r="O269" i="2"/>
  <c r="O279" i="2" s="1"/>
  <c r="P306" i="2"/>
  <c r="P307" i="2" s="1"/>
  <c r="O348" i="2"/>
  <c r="O303" i="2"/>
  <c r="O300" i="2"/>
  <c r="O302" i="2"/>
  <c r="EN78" i="2"/>
  <c r="EO371" i="2"/>
  <c r="EP273" i="2"/>
  <c r="AC86" i="2"/>
  <c r="AC32" i="2"/>
  <c r="AF204" i="2"/>
  <c r="T32" i="2"/>
  <c r="T86" i="2"/>
  <c r="EF265" i="2"/>
  <c r="EF254" i="2"/>
  <c r="W86" i="2"/>
  <c r="W32" i="2"/>
  <c r="EN256" i="2"/>
  <c r="EP272" i="2"/>
  <c r="EP230" i="2" s="1"/>
  <c r="EO230" i="2"/>
  <c r="AC77" i="2"/>
  <c r="EC279" i="2"/>
  <c r="EC280" i="2" s="1"/>
  <c r="EC301" i="2"/>
  <c r="EC299" i="2"/>
  <c r="R294" i="2"/>
  <c r="R293" i="2"/>
  <c r="R93" i="2"/>
  <c r="R34" i="2"/>
  <c r="Z194" i="2"/>
  <c r="Z195" i="2" s="1"/>
  <c r="Z193" i="2"/>
  <c r="O306" i="2"/>
  <c r="O307" i="2" s="1"/>
  <c r="AC131" i="2"/>
  <c r="AC132" i="2"/>
  <c r="AC133" i="2" s="1"/>
  <c r="AB193" i="2"/>
  <c r="AB194" i="2"/>
  <c r="AB195" i="2" s="1"/>
  <c r="EI281" i="2"/>
  <c r="EI249" i="2"/>
  <c r="EI214" i="2"/>
  <c r="EI9" i="2"/>
  <c r="EI3" i="2"/>
  <c r="EJ7" i="2"/>
  <c r="EI60" i="2"/>
  <c r="EI4" i="2"/>
  <c r="X86" i="2"/>
  <c r="X32" i="2"/>
  <c r="N354" i="2"/>
  <c r="Y77" i="2"/>
  <c r="Q86" i="2"/>
  <c r="Q32" i="2"/>
  <c r="V194" i="2"/>
  <c r="V195" i="2" s="1"/>
  <c r="V193" i="2"/>
  <c r="EO143" i="2"/>
  <c r="EM66" i="2"/>
  <c r="W65" i="2"/>
  <c r="N286" i="2"/>
  <c r="N285" i="2"/>
  <c r="EG124" i="2"/>
  <c r="EG18" i="2" s="1"/>
  <c r="EG22" i="2" s="1"/>
  <c r="EG116" i="2"/>
  <c r="EN31" i="2"/>
  <c r="EN236" i="2"/>
  <c r="EO259" i="2"/>
  <c r="AA193" i="2"/>
  <c r="AA194" i="2"/>
  <c r="AA195" i="2" s="1"/>
  <c r="P165" i="2"/>
  <c r="P166" i="2"/>
  <c r="P167" i="2" s="1"/>
  <c r="P193" i="2"/>
  <c r="P194" i="2"/>
  <c r="P195" i="2" s="1"/>
  <c r="EN336" i="2"/>
  <c r="O305" i="2"/>
  <c r="O284" i="2"/>
  <c r="O97" i="2" s="1"/>
  <c r="O283" i="2"/>
  <c r="EO171" i="2"/>
  <c r="EO173" i="2" s="1"/>
  <c r="EO176" i="2" s="1"/>
  <c r="EF72" i="2"/>
  <c r="AA131" i="2"/>
  <c r="AA132" i="2"/>
  <c r="AA133" i="2" s="1"/>
  <c r="V166" i="2"/>
  <c r="V167" i="2" s="1"/>
  <c r="V165" i="2"/>
  <c r="DZ217" i="2"/>
  <c r="AC215" i="2"/>
  <c r="AA215" i="2"/>
  <c r="DR217" i="2"/>
  <c r="EE164" i="2"/>
  <c r="EE161" i="2"/>
  <c r="EE168" i="2" s="1"/>
  <c r="EE12" i="2"/>
  <c r="EG182" i="2"/>
  <c r="EG186" i="2"/>
  <c r="EG20" i="2" s="1"/>
  <c r="AD175" i="2"/>
  <c r="AD174" i="2" s="1"/>
  <c r="EH314" i="2"/>
  <c r="EH218" i="2"/>
  <c r="R194" i="2"/>
  <c r="R195" i="2" s="1"/>
  <c r="R193" i="2"/>
  <c r="AA77" i="2"/>
  <c r="Y86" i="2"/>
  <c r="Y32" i="2"/>
  <c r="P86" i="2"/>
  <c r="P32" i="2"/>
  <c r="W71" i="2"/>
  <c r="EL78" i="2"/>
  <c r="U77" i="2"/>
  <c r="AB77" i="2"/>
  <c r="ED269" i="2"/>
  <c r="EE267" i="2"/>
  <c r="EF267" i="2" s="1"/>
  <c r="EG267" i="2" s="1"/>
  <c r="EH267" i="2" s="1"/>
  <c r="EI267" i="2" s="1"/>
  <c r="EJ267" i="2" s="1"/>
  <c r="EK267" i="2" s="1"/>
  <c r="EL267" i="2" s="1"/>
  <c r="EM267" i="2" s="1"/>
  <c r="EN267" i="2" s="1"/>
  <c r="EO267" i="2" s="1"/>
  <c r="EP267" i="2" s="1"/>
  <c r="ED349" i="2"/>
  <c r="ED300" i="2"/>
  <c r="EO284" i="2"/>
  <c r="EP36" i="2" s="1"/>
  <c r="AF36" i="2" s="1"/>
  <c r="EP268" i="2"/>
  <c r="Z166" i="2"/>
  <c r="Z167" i="2" s="1"/>
  <c r="Z165" i="2"/>
  <c r="AB132" i="2"/>
  <c r="AB133" i="2" s="1"/>
  <c r="AB131" i="2"/>
  <c r="W193" i="2"/>
  <c r="W194" i="2"/>
  <c r="W195" i="2" s="1"/>
  <c r="EE123" i="2"/>
  <c r="EE119" i="2"/>
  <c r="AD116" i="2"/>
  <c r="AD112" i="2" s="1"/>
  <c r="ED217" i="2"/>
  <c r="N299" i="2"/>
  <c r="N301" i="2"/>
  <c r="N262" i="2"/>
  <c r="M360" i="2"/>
  <c r="M361" i="2"/>
  <c r="EM180" i="2"/>
  <c r="N356" i="2"/>
  <c r="N340" i="2"/>
  <c r="N99" i="2"/>
  <c r="N50" i="2"/>
  <c r="N54" i="2"/>
  <c r="N56" i="2" s="1"/>
  <c r="N52" i="2"/>
  <c r="N1" i="2" s="1"/>
  <c r="N97" i="2"/>
  <c r="EN114" i="2" l="1"/>
  <c r="EO113" i="2"/>
  <c r="EO151" i="2"/>
  <c r="EP149" i="2"/>
  <c r="EP71" i="2"/>
  <c r="EN151" i="2"/>
  <c r="EO112" i="2"/>
  <c r="EP145" i="2"/>
  <c r="AD63" i="2"/>
  <c r="P294" i="2"/>
  <c r="P293" i="2"/>
  <c r="P93" i="2"/>
  <c r="P34" i="2"/>
  <c r="EO336" i="2"/>
  <c r="EO334" i="2" s="1"/>
  <c r="EG265" i="2"/>
  <c r="EG306" i="2" s="1"/>
  <c r="EG254" i="2"/>
  <c r="EG225" i="2" s="1"/>
  <c r="EP143" i="2"/>
  <c r="Q294" i="2"/>
  <c r="Q293" i="2"/>
  <c r="Q93" i="2"/>
  <c r="Q34" i="2"/>
  <c r="EP371" i="2"/>
  <c r="O359" i="2"/>
  <c r="EO178" i="2"/>
  <c r="EP75" i="2"/>
  <c r="EO77" i="2"/>
  <c r="EE120" i="2"/>
  <c r="EP284" i="2"/>
  <c r="EE166" i="2"/>
  <c r="EE167" i="2" s="1"/>
  <c r="EE165" i="2"/>
  <c r="DZ222" i="2"/>
  <c r="AC222" i="2" s="1"/>
  <c r="AC217" i="2"/>
  <c r="AC231" i="2" s="1"/>
  <c r="AC233" i="2" s="1"/>
  <c r="EP171" i="2"/>
  <c r="EP173" i="2" s="1"/>
  <c r="EO31" i="2"/>
  <c r="EO144" i="2"/>
  <c r="X294" i="2"/>
  <c r="X293" i="2"/>
  <c r="X93" i="2"/>
  <c r="X34" i="2"/>
  <c r="AE230" i="2"/>
  <c r="AF230" i="2"/>
  <c r="EO104" i="2"/>
  <c r="EN180" i="2"/>
  <c r="EM238" i="2"/>
  <c r="EM372" i="2" s="1"/>
  <c r="EN55" i="2"/>
  <c r="DN222" i="2"/>
  <c r="Z222" i="2" s="1"/>
  <c r="Z217" i="2"/>
  <c r="Z231" i="2" s="1"/>
  <c r="Z233" i="2" s="1"/>
  <c r="Z244" i="2" s="1"/>
  <c r="Z246" i="2" s="1"/>
  <c r="EE194" i="2"/>
  <c r="EE195" i="2" s="1"/>
  <c r="EE193" i="2"/>
  <c r="N360" i="2"/>
  <c r="EN201" i="2"/>
  <c r="EM159" i="2"/>
  <c r="EG72" i="2"/>
  <c r="P269" i="2"/>
  <c r="P279" i="2" s="1"/>
  <c r="P348" i="2"/>
  <c r="P303" i="2"/>
  <c r="P300" i="2"/>
  <c r="P302" i="2"/>
  <c r="AB294" i="2"/>
  <c r="AB293" i="2"/>
  <c r="AB93" i="2"/>
  <c r="AB34" i="2"/>
  <c r="O301" i="2"/>
  <c r="O299" i="2"/>
  <c r="O262" i="2"/>
  <c r="EJ307" i="2"/>
  <c r="EH186" i="2"/>
  <c r="EH20" i="2" s="1"/>
  <c r="EH182" i="2"/>
  <c r="O40" i="2"/>
  <c r="O42" i="2" s="1"/>
  <c r="O98" i="2"/>
  <c r="U294" i="2"/>
  <c r="U293" i="2"/>
  <c r="U93" i="2"/>
  <c r="U34" i="2"/>
  <c r="AD147" i="2"/>
  <c r="AD68" i="2"/>
  <c r="EJ303" i="2"/>
  <c r="P305" i="2"/>
  <c r="P284" i="2"/>
  <c r="P283" i="2"/>
  <c r="EF83" i="2"/>
  <c r="EF26" i="2"/>
  <c r="EF88" i="2" s="1"/>
  <c r="EP14" i="2"/>
  <c r="EO28" i="2"/>
  <c r="EO90" i="2" s="1"/>
  <c r="AD18" i="2"/>
  <c r="DB329" i="2"/>
  <c r="DB320" i="2" s="1"/>
  <c r="DB321" i="2"/>
  <c r="DC330" i="2"/>
  <c r="EE127" i="2"/>
  <c r="EE134" i="2" s="1"/>
  <c r="EE130" i="2"/>
  <c r="EE11" i="2"/>
  <c r="Y294" i="2"/>
  <c r="Y293" i="2"/>
  <c r="Y93" i="2"/>
  <c r="Y34" i="2"/>
  <c r="EH260" i="2"/>
  <c r="EG185" i="2"/>
  <c r="AD182" i="2"/>
  <c r="AD178" i="2" s="1"/>
  <c r="DR222" i="2"/>
  <c r="AA222" i="2" s="1"/>
  <c r="AA217" i="2"/>
  <c r="EO78" i="2"/>
  <c r="N291" i="2"/>
  <c r="N290" i="2"/>
  <c r="N288" i="2"/>
  <c r="N287" i="2"/>
  <c r="EJ281" i="2"/>
  <c r="EJ249" i="2"/>
  <c r="EJ214" i="2"/>
  <c r="EJ60" i="2"/>
  <c r="EJ4" i="2"/>
  <c r="EJ3" i="2"/>
  <c r="EK7" i="2"/>
  <c r="EJ9" i="2"/>
  <c r="AC294" i="2"/>
  <c r="AC293" i="2"/>
  <c r="AC93" i="2"/>
  <c r="AC34" i="2"/>
  <c r="EN110" i="2"/>
  <c r="EF84" i="2"/>
  <c r="EF27" i="2"/>
  <c r="EF89" i="2" s="1"/>
  <c r="N357" i="2"/>
  <c r="N339" i="2"/>
  <c r="N215" i="2"/>
  <c r="N217" i="2" s="1"/>
  <c r="N231" i="2" s="1"/>
  <c r="N233" i="2" s="1"/>
  <c r="N244" i="2" s="1"/>
  <c r="N246" i="2" s="1"/>
  <c r="N247" i="2" s="1"/>
  <c r="N53" i="2"/>
  <c r="ED222" i="2"/>
  <c r="AD222" i="2" s="1"/>
  <c r="ED279" i="2"/>
  <c r="ED280" i="2" s="1"/>
  <c r="ED299" i="2"/>
  <c r="ED301" i="2"/>
  <c r="EH211" i="2"/>
  <c r="EH317" i="2"/>
  <c r="EH296" i="2" s="1"/>
  <c r="EE83" i="2"/>
  <c r="EE26" i="2"/>
  <c r="EN334" i="2"/>
  <c r="EP259" i="2"/>
  <c r="EP236" i="2" s="1"/>
  <c r="EO236" i="2"/>
  <c r="EG119" i="2"/>
  <c r="EG120" i="2" s="1"/>
  <c r="EG123" i="2"/>
  <c r="EI175" i="2"/>
  <c r="EI146" i="2"/>
  <c r="EI109" i="2"/>
  <c r="R350" i="2"/>
  <c r="R351" i="2" s="1"/>
  <c r="R295" i="2"/>
  <c r="R96" i="2"/>
  <c r="R38" i="2"/>
  <c r="EO256" i="2"/>
  <c r="T294" i="2"/>
  <c r="T293" i="2"/>
  <c r="T93" i="2"/>
  <c r="T34" i="2"/>
  <c r="EF193" i="2"/>
  <c r="EF194" i="2"/>
  <c r="EF195" i="2" s="1"/>
  <c r="EL372" i="2"/>
  <c r="EE84" i="2"/>
  <c r="EE27" i="2"/>
  <c r="DV222" i="2"/>
  <c r="AB222" i="2" s="1"/>
  <c r="AB217" i="2"/>
  <c r="EF130" i="2"/>
  <c r="EF127" i="2"/>
  <c r="EF134" i="2" s="1"/>
  <c r="EF11" i="2"/>
  <c r="EG156" i="2"/>
  <c r="AD153" i="2"/>
  <c r="AD149" i="2" s="1"/>
  <c r="P258" i="2"/>
  <c r="P345" i="2"/>
  <c r="P322" i="2"/>
  <c r="P332" i="2"/>
  <c r="Q94" i="2"/>
  <c r="P349" i="2"/>
  <c r="P344" i="2"/>
  <c r="P343" i="2"/>
  <c r="P342" i="2"/>
  <c r="EF165" i="2"/>
  <c r="EF166" i="2"/>
  <c r="EF167" i="2" s="1"/>
  <c r="EN90" i="2"/>
  <c r="AF28" i="2"/>
  <c r="EM187" i="2"/>
  <c r="EN202" i="2"/>
  <c r="EE306" i="2"/>
  <c r="EE265" i="2"/>
  <c r="EF227" i="2" s="1"/>
  <c r="EE254" i="2"/>
  <c r="EE304" i="2" s="1"/>
  <c r="EH158" i="2"/>
  <c r="EH19" i="2" s="1"/>
  <c r="EH153" i="2"/>
  <c r="EH147" i="2"/>
  <c r="EJ305" i="2"/>
  <c r="O355" i="2"/>
  <c r="O352" i="2"/>
  <c r="AD66" i="2"/>
  <c r="AD176" i="2"/>
  <c r="AD74" i="2"/>
  <c r="O286" i="2"/>
  <c r="O285" i="2"/>
  <c r="P97" i="2"/>
  <c r="W294" i="2"/>
  <c r="W293" i="2"/>
  <c r="W93" i="2"/>
  <c r="W34" i="2"/>
  <c r="EN200" i="2"/>
  <c r="EM125" i="2"/>
  <c r="O354" i="2"/>
  <c r="Q261" i="2"/>
  <c r="Q260" i="2"/>
  <c r="Q259" i="2"/>
  <c r="Q257" i="2"/>
  <c r="Q308" i="2" s="1"/>
  <c r="Q256" i="2"/>
  <c r="Q255" i="2"/>
  <c r="Q254" i="2"/>
  <c r="Q304" i="2" s="1"/>
  <c r="Q253" i="2"/>
  <c r="Q252" i="2"/>
  <c r="Q251" i="2"/>
  <c r="Q277" i="2"/>
  <c r="Q275" i="2"/>
  <c r="Q273" i="2"/>
  <c r="Q371" i="2" s="1"/>
  <c r="Q271" i="2"/>
  <c r="Q311" i="2" s="1"/>
  <c r="Q267" i="2"/>
  <c r="Q265" i="2"/>
  <c r="Q278" i="2"/>
  <c r="Q276" i="2"/>
  <c r="Q373" i="2" s="1"/>
  <c r="Q274" i="2"/>
  <c r="Q272" i="2"/>
  <c r="Q270" i="2"/>
  <c r="Q268" i="2"/>
  <c r="Q266" i="2"/>
  <c r="Q309" i="2" s="1"/>
  <c r="R4" i="2"/>
  <c r="P371" i="2"/>
  <c r="S294" i="2"/>
  <c r="S293" i="2"/>
  <c r="S34" i="2"/>
  <c r="S93" i="2"/>
  <c r="EH124" i="2"/>
  <c r="EH18" i="2" s="1"/>
  <c r="EH116" i="2"/>
  <c r="Z294" i="2"/>
  <c r="Z293" i="2"/>
  <c r="Z93" i="2"/>
  <c r="Z34" i="2"/>
  <c r="V329" i="2"/>
  <c r="DA320" i="2"/>
  <c r="EO373" i="2"/>
  <c r="EP276" i="2"/>
  <c r="EP373" i="2" s="1"/>
  <c r="AA294" i="2"/>
  <c r="AA293" i="2"/>
  <c r="AA93" i="2"/>
  <c r="AA34" i="2"/>
  <c r="V294" i="2"/>
  <c r="V293" i="2"/>
  <c r="V93" i="2"/>
  <c r="V34" i="2"/>
  <c r="EG304" i="2" l="1"/>
  <c r="AC244" i="2"/>
  <c r="AC246" i="2" s="1"/>
  <c r="EO114" i="2"/>
  <c r="EO65" i="2"/>
  <c r="EP151" i="2"/>
  <c r="EP113" i="2"/>
  <c r="EP112" i="2"/>
  <c r="EP65" i="2"/>
  <c r="EH22" i="2"/>
  <c r="Q284" i="2"/>
  <c r="Q283" i="2"/>
  <c r="Q258" i="2"/>
  <c r="Q345" i="2"/>
  <c r="Q332" i="2"/>
  <c r="Q322" i="2"/>
  <c r="R94" i="2"/>
  <c r="EH156" i="2"/>
  <c r="EF82" i="2"/>
  <c r="EF15" i="2"/>
  <c r="EF25" i="2"/>
  <c r="EF87" i="2" s="1"/>
  <c r="EP256" i="2"/>
  <c r="R352" i="2"/>
  <c r="EG130" i="2"/>
  <c r="EG127" i="2"/>
  <c r="EG134" i="2" s="1"/>
  <c r="EG11" i="2"/>
  <c r="AD75" i="2"/>
  <c r="Y350" i="2"/>
  <c r="Y351" i="2" s="1"/>
  <c r="Y295" i="2"/>
  <c r="Y96" i="2"/>
  <c r="Y38" i="2"/>
  <c r="EE82" i="2"/>
  <c r="EE25" i="2"/>
  <c r="EE15" i="2"/>
  <c r="AD11" i="2"/>
  <c r="AD72" i="2"/>
  <c r="EH185" i="2"/>
  <c r="EO201" i="2"/>
  <c r="EN159" i="2"/>
  <c r="EN238" i="2"/>
  <c r="EO55" i="2"/>
  <c r="O360" i="2"/>
  <c r="P350" i="2"/>
  <c r="P351" i="2" s="1"/>
  <c r="P295" i="2"/>
  <c r="P96" i="2"/>
  <c r="P38" i="2"/>
  <c r="V331" i="2"/>
  <c r="V320" i="2"/>
  <c r="Q343" i="2"/>
  <c r="Q349" i="2"/>
  <c r="Q344" i="2"/>
  <c r="Q342" i="2"/>
  <c r="EO200" i="2"/>
  <c r="EN125" i="2"/>
  <c r="EK305" i="2"/>
  <c r="P301" i="2"/>
  <c r="P299" i="2"/>
  <c r="P262" i="2"/>
  <c r="T350" i="2"/>
  <c r="T351" i="2" s="1"/>
  <c r="T295" i="2"/>
  <c r="T96" i="2"/>
  <c r="T38" i="2"/>
  <c r="R40" i="2"/>
  <c r="R42" i="2" s="1"/>
  <c r="R98" i="2"/>
  <c r="EI124" i="2"/>
  <c r="EI18" i="2" s="1"/>
  <c r="EI116" i="2"/>
  <c r="EH209" i="2"/>
  <c r="EH188" i="2" s="1"/>
  <c r="EH207" i="2"/>
  <c r="EH126" i="2" s="1"/>
  <c r="EH210" i="2"/>
  <c r="EH208" i="2"/>
  <c r="EH160" i="2" s="1"/>
  <c r="EN66" i="2"/>
  <c r="EK281" i="2"/>
  <c r="EK249" i="2"/>
  <c r="EK214" i="2"/>
  <c r="EK60" i="2"/>
  <c r="EL7" i="2"/>
  <c r="EK9" i="2"/>
  <c r="EK4" i="2"/>
  <c r="EK3" i="2"/>
  <c r="EG189" i="2"/>
  <c r="EG196" i="2" s="1"/>
  <c r="EG192" i="2"/>
  <c r="EG13" i="2"/>
  <c r="EE132" i="2"/>
  <c r="EE133" i="2" s="1"/>
  <c r="EE131" i="2"/>
  <c r="EP28" i="2"/>
  <c r="EP90" i="2" s="1"/>
  <c r="AF14" i="2"/>
  <c r="AF85" i="2" s="1"/>
  <c r="P286" i="2"/>
  <c r="P285" i="2"/>
  <c r="Q97" i="2"/>
  <c r="EK303" i="2"/>
  <c r="U350" i="2"/>
  <c r="U351" i="2" s="1"/>
  <c r="U295" i="2"/>
  <c r="U96" i="2"/>
  <c r="U38" i="2"/>
  <c r="N361" i="2"/>
  <c r="EP106" i="2"/>
  <c r="EP104" i="2"/>
  <c r="EP178" i="2"/>
  <c r="EP77" i="2"/>
  <c r="EP144" i="2"/>
  <c r="V350" i="2"/>
  <c r="V351" i="2" s="1"/>
  <c r="V295" i="2"/>
  <c r="V96" i="2"/>
  <c r="V38" i="2"/>
  <c r="AA350" i="2"/>
  <c r="AA351" i="2" s="1"/>
  <c r="AA295" i="2"/>
  <c r="AA38" i="2"/>
  <c r="AA96" i="2"/>
  <c r="Z350" i="2"/>
  <c r="Z351" i="2" s="1"/>
  <c r="Z295" i="2"/>
  <c r="Z96" i="2"/>
  <c r="Z38" i="2"/>
  <c r="S350" i="2"/>
  <c r="S351" i="2" s="1"/>
  <c r="S295" i="2"/>
  <c r="S96" i="2"/>
  <c r="S38" i="2"/>
  <c r="R277" i="2"/>
  <c r="R275" i="2"/>
  <c r="R273" i="2"/>
  <c r="R271" i="2"/>
  <c r="R267" i="2"/>
  <c r="R265" i="2"/>
  <c r="R278" i="2"/>
  <c r="R276" i="2"/>
  <c r="R373" i="2" s="1"/>
  <c r="R274" i="2"/>
  <c r="R272" i="2"/>
  <c r="R270" i="2"/>
  <c r="R268" i="2"/>
  <c r="R266" i="2"/>
  <c r="R309" i="2" s="1"/>
  <c r="R261" i="2"/>
  <c r="R260" i="2"/>
  <c r="R259" i="2"/>
  <c r="R257" i="2"/>
  <c r="R308" i="2" s="1"/>
  <c r="R256" i="2"/>
  <c r="R255" i="2"/>
  <c r="R254" i="2"/>
  <c r="R304" i="2" s="1"/>
  <c r="R253" i="2"/>
  <c r="R252" i="2"/>
  <c r="R251" i="2"/>
  <c r="S4" i="2"/>
  <c r="Q269" i="2"/>
  <c r="Q279" i="2" s="1"/>
  <c r="R306" i="2"/>
  <c r="R307" i="2" s="1"/>
  <c r="Q348" i="2"/>
  <c r="Q303" i="2"/>
  <c r="Q300" i="2"/>
  <c r="Q302" i="2"/>
  <c r="W350" i="2"/>
  <c r="W351" i="2" s="1"/>
  <c r="W295" i="2"/>
  <c r="W96" i="2"/>
  <c r="W38" i="2"/>
  <c r="EE225" i="2"/>
  <c r="EF304" i="2"/>
  <c r="EN187" i="2"/>
  <c r="EO202" i="2"/>
  <c r="AD69" i="2"/>
  <c r="EF131" i="2"/>
  <c r="EF132" i="2"/>
  <c r="EF133" i="2" s="1"/>
  <c r="EE89" i="2"/>
  <c r="EI158" i="2"/>
  <c r="EI19" i="2" s="1"/>
  <c r="EI153" i="2"/>
  <c r="EI156" i="2" s="1"/>
  <c r="EI147" i="2"/>
  <c r="EE88" i="2"/>
  <c r="AC350" i="2"/>
  <c r="AC351" i="2" s="1"/>
  <c r="AC295" i="2"/>
  <c r="AC96" i="2"/>
  <c r="AC38" i="2"/>
  <c r="EF225" i="2"/>
  <c r="EJ175" i="2"/>
  <c r="EJ146" i="2"/>
  <c r="EJ109" i="2"/>
  <c r="AA231" i="2"/>
  <c r="AA233" i="2" s="1"/>
  <c r="AA244" i="2" s="1"/>
  <c r="AA246" i="2" s="1"/>
  <c r="EH345" i="2"/>
  <c r="EH322" i="2"/>
  <c r="EH271" i="2"/>
  <c r="EH221" i="2" s="1"/>
  <c r="EI33" i="2"/>
  <c r="AD124" i="2"/>
  <c r="AD113" i="2" s="1"/>
  <c r="O356" i="2"/>
  <c r="O340" i="2"/>
  <c r="O99" i="2"/>
  <c r="O54" i="2"/>
  <c r="O56" i="2" s="1"/>
  <c r="O52" i="2"/>
  <c r="O1" i="2" s="1"/>
  <c r="O50" i="2"/>
  <c r="P359" i="2"/>
  <c r="EO106" i="2"/>
  <c r="EO110" i="2" s="1"/>
  <c r="X350" i="2"/>
  <c r="X351" i="2" s="1"/>
  <c r="X295" i="2"/>
  <c r="X96" i="2"/>
  <c r="X38" i="2"/>
  <c r="AD119" i="2"/>
  <c r="EO180" i="2"/>
  <c r="EH123" i="2"/>
  <c r="EH119" i="2"/>
  <c r="Q305" i="2"/>
  <c r="O291" i="2"/>
  <c r="O290" i="2"/>
  <c r="O288" i="2"/>
  <c r="O287" i="2"/>
  <c r="AD78" i="2"/>
  <c r="EH72" i="2"/>
  <c r="EE227" i="2"/>
  <c r="EF306" i="2"/>
  <c r="EG164" i="2"/>
  <c r="EG161" i="2"/>
  <c r="EG168" i="2" s="1"/>
  <c r="EG12" i="2"/>
  <c r="AB231" i="2"/>
  <c r="AB233" i="2" s="1"/>
  <c r="AB244" i="2" s="1"/>
  <c r="AB246" i="2" s="1"/>
  <c r="EI186" i="2"/>
  <c r="EI20" i="2" s="1"/>
  <c r="EI182" i="2"/>
  <c r="EI185" i="2" s="1"/>
  <c r="AE236" i="2"/>
  <c r="AF236" i="2"/>
  <c r="DD330" i="2"/>
  <c r="DC321" i="2"/>
  <c r="DC329" i="2"/>
  <c r="DC320" i="2" s="1"/>
  <c r="EK307" i="2"/>
  <c r="AB350" i="2"/>
  <c r="AB351" i="2" s="1"/>
  <c r="AB295" i="2"/>
  <c r="AB96" i="2"/>
  <c r="AB38" i="2"/>
  <c r="Q306" i="2"/>
  <c r="Q307" i="2" s="1"/>
  <c r="EP31" i="2"/>
  <c r="EP176" i="2"/>
  <c r="AC173" i="2"/>
  <c r="AF173" i="2"/>
  <c r="AD120" i="2"/>
  <c r="P354" i="2"/>
  <c r="Q350" i="2"/>
  <c r="Q351" i="2" s="1"/>
  <c r="Q295" i="2"/>
  <c r="Q96" i="2"/>
  <c r="Q38" i="2"/>
  <c r="EG227" i="2"/>
  <c r="EP336" i="2"/>
  <c r="EP334" i="2"/>
  <c r="EP114" i="2" l="1"/>
  <c r="P360" i="2"/>
  <c r="AD64" i="2"/>
  <c r="AD114" i="2"/>
  <c r="EJ158" i="2"/>
  <c r="EJ19" i="2" s="1"/>
  <c r="EJ153" i="2"/>
  <c r="EJ156" i="2" s="1"/>
  <c r="EJ147" i="2"/>
  <c r="R348" i="2"/>
  <c r="R303" i="2"/>
  <c r="R300" i="2"/>
  <c r="R302" i="2"/>
  <c r="S352" i="2"/>
  <c r="Z352" i="2"/>
  <c r="AA352" i="2"/>
  <c r="V352" i="2"/>
  <c r="EP110" i="2"/>
  <c r="AE106" i="2"/>
  <c r="AF106" i="2"/>
  <c r="EL303" i="2"/>
  <c r="EG84" i="2"/>
  <c r="EG27" i="2"/>
  <c r="AD13" i="2"/>
  <c r="EK175" i="2"/>
  <c r="EK109" i="2"/>
  <c r="EK146" i="2"/>
  <c r="AE146" i="2" s="1"/>
  <c r="AE145" i="2" s="1"/>
  <c r="AD123" i="2"/>
  <c r="AD82" i="2"/>
  <c r="Y40" i="2"/>
  <c r="Y42" i="2" s="1"/>
  <c r="Y98" i="2"/>
  <c r="Q355" i="2"/>
  <c r="Q352" i="2"/>
  <c r="AC176" i="2"/>
  <c r="AB352" i="2"/>
  <c r="EG83" i="2"/>
  <c r="EG26" i="2"/>
  <c r="AD12" i="2"/>
  <c r="AD15" i="2" s="1"/>
  <c r="AD227" i="2"/>
  <c r="X352" i="2"/>
  <c r="O357" i="2"/>
  <c r="O339" i="2"/>
  <c r="O215" i="2"/>
  <c r="O217" i="2" s="1"/>
  <c r="O231" i="2" s="1"/>
  <c r="O53" i="2"/>
  <c r="EI314" i="2"/>
  <c r="EI218" i="2"/>
  <c r="EJ182" i="2"/>
  <c r="EJ185" i="2" s="1"/>
  <c r="EJ186" i="2"/>
  <c r="EJ20" i="2" s="1"/>
  <c r="EI72" i="2"/>
  <c r="S278" i="2"/>
  <c r="S276" i="2"/>
  <c r="S373" i="2" s="1"/>
  <c r="S274" i="2"/>
  <c r="S272" i="2"/>
  <c r="S270" i="2"/>
  <c r="S268" i="2"/>
  <c r="S266" i="2"/>
  <c r="S309" i="2" s="1"/>
  <c r="S261" i="2"/>
  <c r="S260" i="2"/>
  <c r="S259" i="2"/>
  <c r="S257" i="2"/>
  <c r="S308" i="2" s="1"/>
  <c r="S256" i="2"/>
  <c r="S255" i="2"/>
  <c r="S254" i="2"/>
  <c r="S253" i="2"/>
  <c r="S252" i="2"/>
  <c r="S251" i="2"/>
  <c r="S277" i="2"/>
  <c r="S275" i="2"/>
  <c r="S273" i="2"/>
  <c r="S371" i="2" s="1"/>
  <c r="S271" i="2"/>
  <c r="S311" i="2" s="1"/>
  <c r="S267" i="2"/>
  <c r="S265" i="2"/>
  <c r="S306" i="2" s="1"/>
  <c r="S307" i="2" s="1"/>
  <c r="T4" i="2"/>
  <c r="R305" i="2"/>
  <c r="S304" i="2"/>
  <c r="R284" i="2"/>
  <c r="R283" i="2"/>
  <c r="R311" i="2"/>
  <c r="S40" i="2"/>
  <c r="S42" i="2" s="1"/>
  <c r="S98" i="2"/>
  <c r="Z40" i="2"/>
  <c r="Z42" i="2" s="1"/>
  <c r="Z98" i="2"/>
  <c r="V40" i="2"/>
  <c r="V42" i="2" s="1"/>
  <c r="V98" i="2"/>
  <c r="EP180" i="2"/>
  <c r="EG193" i="2"/>
  <c r="EG194" i="2"/>
  <c r="EG195" i="2" s="1"/>
  <c r="R356" i="2"/>
  <c r="R340" i="2"/>
  <c r="R50" i="2"/>
  <c r="R54" i="2"/>
  <c r="R56" i="2" s="1"/>
  <c r="R52" i="2"/>
  <c r="R1" i="2" s="1"/>
  <c r="R99" i="2"/>
  <c r="T352" i="2"/>
  <c r="EP200" i="2"/>
  <c r="EP125" i="2" s="1"/>
  <c r="EO125" i="2"/>
  <c r="EN372" i="2"/>
  <c r="EH192" i="2"/>
  <c r="EH189" i="2"/>
  <c r="EH196" i="2" s="1"/>
  <c r="EH13" i="2"/>
  <c r="EE257" i="2"/>
  <c r="EE226" i="2" s="1"/>
  <c r="EE266" i="2"/>
  <c r="EE91" i="2"/>
  <c r="EE29" i="2"/>
  <c r="EE81" i="2"/>
  <c r="EE95" i="2"/>
  <c r="EE92" i="2"/>
  <c r="EE318" i="2"/>
  <c r="EE315" i="2"/>
  <c r="EE253" i="2"/>
  <c r="EG131" i="2"/>
  <c r="EG132" i="2"/>
  <c r="EG133" i="2" s="1"/>
  <c r="AF90" i="2"/>
  <c r="Q301" i="2"/>
  <c r="Q299" i="2"/>
  <c r="Q262" i="2"/>
  <c r="EH265" i="2"/>
  <c r="EH306" i="2" s="1"/>
  <c r="EH254" i="2"/>
  <c r="EH225" i="2" s="1"/>
  <c r="AE334" i="2"/>
  <c r="AF334" i="2"/>
  <c r="Q40" i="2"/>
  <c r="Q42" i="2" s="1"/>
  <c r="Q98" i="2"/>
  <c r="EP78" i="2"/>
  <c r="AB40" i="2"/>
  <c r="AB42" i="2" s="1"/>
  <c r="AB98" i="2"/>
  <c r="EI192" i="2"/>
  <c r="EI13" i="2"/>
  <c r="EH120" i="2"/>
  <c r="X40" i="2"/>
  <c r="X42" i="2" s="1"/>
  <c r="X98" i="2"/>
  <c r="EO66" i="2"/>
  <c r="AC352" i="2"/>
  <c r="EI164" i="2"/>
  <c r="EI12" i="2"/>
  <c r="AD225" i="2"/>
  <c r="W352" i="2"/>
  <c r="Q359" i="2"/>
  <c r="R354" i="2"/>
  <c r="R258" i="2"/>
  <c r="R345" i="2"/>
  <c r="R322" i="2"/>
  <c r="R332" i="2"/>
  <c r="S94" i="2"/>
  <c r="R343" i="2"/>
  <c r="R349" i="2"/>
  <c r="R342" i="2"/>
  <c r="R344" i="2"/>
  <c r="R371" i="2"/>
  <c r="AA40" i="2"/>
  <c r="AA42" i="2" s="1"/>
  <c r="AA98" i="2"/>
  <c r="U352" i="2"/>
  <c r="P291" i="2"/>
  <c r="P290" i="2"/>
  <c r="P288" i="2"/>
  <c r="P287" i="2"/>
  <c r="EI123" i="2"/>
  <c r="EI119" i="2"/>
  <c r="EI120" i="2" s="1"/>
  <c r="T40" i="2"/>
  <c r="T42" i="2" s="1"/>
  <c r="T98" i="2"/>
  <c r="P352" i="2"/>
  <c r="P355" i="2"/>
  <c r="EE87" i="2"/>
  <c r="AE31" i="2"/>
  <c r="AF31" i="2"/>
  <c r="EL307" i="2"/>
  <c r="DD329" i="2"/>
  <c r="DD320" i="2" s="1"/>
  <c r="DD321" i="2"/>
  <c r="DE330" i="2"/>
  <c r="EG165" i="2"/>
  <c r="EG166" i="2"/>
  <c r="EG167" i="2" s="1"/>
  <c r="EH130" i="2"/>
  <c r="EH127" i="2"/>
  <c r="EH134" i="2" s="1"/>
  <c r="EH11" i="2"/>
  <c r="Q354" i="2"/>
  <c r="EJ124" i="2"/>
  <c r="EJ18" i="2" s="1"/>
  <c r="EJ116" i="2"/>
  <c r="AE109" i="2"/>
  <c r="AE108" i="2" s="1"/>
  <c r="AC40" i="2"/>
  <c r="AC42" i="2" s="1"/>
  <c r="AC98" i="2"/>
  <c r="EP202" i="2"/>
  <c r="EP187" i="2" s="1"/>
  <c r="EO187" i="2"/>
  <c r="W40" i="2"/>
  <c r="W42" i="2" s="1"/>
  <c r="W98" i="2"/>
  <c r="R269" i="2"/>
  <c r="R279" i="2" s="1"/>
  <c r="AC144" i="2"/>
  <c r="AC147" i="2" s="1"/>
  <c r="AF144" i="2"/>
  <c r="U40" i="2"/>
  <c r="U42" i="2" s="1"/>
  <c r="U98" i="2"/>
  <c r="EL249" i="2"/>
  <c r="EL281" i="2"/>
  <c r="EL214" i="2"/>
  <c r="EL4" i="2"/>
  <c r="EM7" i="2"/>
  <c r="EL9" i="2"/>
  <c r="EL3" i="2"/>
  <c r="EL60" i="2"/>
  <c r="EI22" i="2"/>
  <c r="EL305" i="2"/>
  <c r="P40" i="2"/>
  <c r="P42" i="2" s="1"/>
  <c r="P98" i="2"/>
  <c r="EO238" i="2"/>
  <c r="EO372" i="2" s="1"/>
  <c r="EP55" i="2"/>
  <c r="EP201" i="2"/>
  <c r="EP159" i="2" s="1"/>
  <c r="EO159" i="2"/>
  <c r="Y352" i="2"/>
  <c r="EG15" i="2"/>
  <c r="EG25" i="2"/>
  <c r="EG87" i="2" s="1"/>
  <c r="EG82" i="2"/>
  <c r="R355" i="2"/>
  <c r="EF266" i="2"/>
  <c r="EF257" i="2"/>
  <c r="EF226" i="2" s="1"/>
  <c r="EF91" i="2"/>
  <c r="EF81" i="2"/>
  <c r="EF29" i="2"/>
  <c r="EF318" i="2"/>
  <c r="EF92" i="2"/>
  <c r="EF95" i="2"/>
  <c r="EF315" i="2"/>
  <c r="EF253" i="2"/>
  <c r="EH164" i="2"/>
  <c r="EH161" i="2"/>
  <c r="EH168" i="2" s="1"/>
  <c r="EH12" i="2"/>
  <c r="Q286" i="2"/>
  <c r="Q285" i="2"/>
  <c r="R97" i="2"/>
  <c r="EH304" i="2" l="1"/>
  <c r="EE348" i="2"/>
  <c r="EE300" i="2"/>
  <c r="EE224" i="2"/>
  <c r="EE228" i="2"/>
  <c r="EE269" i="2"/>
  <c r="EH84" i="2"/>
  <c r="EH27" i="2"/>
  <c r="R357" i="2"/>
  <c r="R339" i="2"/>
  <c r="R215" i="2"/>
  <c r="R217" i="2" s="1"/>
  <c r="R231" i="2" s="1"/>
  <c r="R233" i="2" s="1"/>
  <c r="R244" i="2" s="1"/>
  <c r="R246" i="2" s="1"/>
  <c r="R247" i="2" s="1"/>
  <c r="R53" i="2"/>
  <c r="Z340" i="2"/>
  <c r="Z50" i="2"/>
  <c r="Z99" i="2"/>
  <c r="Z54" i="2"/>
  <c r="Z56" i="2" s="1"/>
  <c r="Z52" i="2"/>
  <c r="T278" i="2"/>
  <c r="T276" i="2"/>
  <c r="T373" i="2" s="1"/>
  <c r="T274" i="2"/>
  <c r="T272" i="2"/>
  <c r="T270" i="2"/>
  <c r="T268" i="2"/>
  <c r="T266" i="2"/>
  <c r="T309" i="2" s="1"/>
  <c r="T261" i="2"/>
  <c r="T260" i="2"/>
  <c r="T259" i="2"/>
  <c r="T257" i="2"/>
  <c r="T308" i="2" s="1"/>
  <c r="T256" i="2"/>
  <c r="T255" i="2"/>
  <c r="T254" i="2"/>
  <c r="T253" i="2"/>
  <c r="T252" i="2"/>
  <c r="T251" i="2"/>
  <c r="T277" i="2"/>
  <c r="T275" i="2"/>
  <c r="T273" i="2"/>
  <c r="T371" i="2" s="1"/>
  <c r="T271" i="2"/>
  <c r="T311" i="2" s="1"/>
  <c r="T267" i="2"/>
  <c r="T265" i="2"/>
  <c r="U4" i="2"/>
  <c r="AD185" i="2"/>
  <c r="AD84" i="2"/>
  <c r="EM303" i="2"/>
  <c r="AE147" i="2"/>
  <c r="AE68" i="2"/>
  <c r="AD65" i="2"/>
  <c r="EH83" i="2"/>
  <c r="EH26" i="2"/>
  <c r="EF86" i="2"/>
  <c r="EF32" i="2"/>
  <c r="EF228" i="2"/>
  <c r="EF269" i="2"/>
  <c r="EI265" i="2"/>
  <c r="EI254" i="2"/>
  <c r="EI225" i="2" s="1"/>
  <c r="EL175" i="2"/>
  <c r="EL109" i="2"/>
  <c r="EL146" i="2"/>
  <c r="U340" i="2"/>
  <c r="U99" i="2"/>
  <c r="U50" i="2"/>
  <c r="U54" i="2"/>
  <c r="U56" i="2" s="1"/>
  <c r="U52" i="2"/>
  <c r="U1" i="2" s="1"/>
  <c r="W340" i="2"/>
  <c r="W99" i="2"/>
  <c r="W54" i="2"/>
  <c r="W56" i="2" s="1"/>
  <c r="W52" i="2"/>
  <c r="W1" i="2" s="1"/>
  <c r="W50" i="2"/>
  <c r="AC340" i="2"/>
  <c r="AC99" i="2"/>
  <c r="AC50" i="2"/>
  <c r="AC54" i="2"/>
  <c r="AC56" i="2" s="1"/>
  <c r="AC52" i="2"/>
  <c r="DE329" i="2"/>
  <c r="DE320" i="2" s="1"/>
  <c r="DE321" i="2"/>
  <c r="DF330" i="2"/>
  <c r="EM307" i="2"/>
  <c r="AD25" i="2"/>
  <c r="EI130" i="2"/>
  <c r="EI11" i="2"/>
  <c r="Q360" i="2"/>
  <c r="EI83" i="2"/>
  <c r="EI26" i="2"/>
  <c r="EI88" i="2" s="1"/>
  <c r="EI27" i="2"/>
  <c r="EI89" i="2" s="1"/>
  <c r="EI84" i="2"/>
  <c r="AB340" i="2"/>
  <c r="AB99" i="2"/>
  <c r="AB50" i="2"/>
  <c r="AB54" i="2"/>
  <c r="AB56" i="2" s="1"/>
  <c r="AB52" i="2"/>
  <c r="Q356" i="2"/>
  <c r="Q340" i="2"/>
  <c r="Q99" i="2"/>
  <c r="Q50" i="2"/>
  <c r="Q54" i="2"/>
  <c r="Q56" i="2" s="1"/>
  <c r="Q52" i="2"/>
  <c r="Q1" i="2" s="1"/>
  <c r="R286" i="2"/>
  <c r="R285" i="2"/>
  <c r="S269" i="2"/>
  <c r="S279" i="2" s="1"/>
  <c r="T306" i="2"/>
  <c r="T307" i="2" s="1"/>
  <c r="S348" i="2"/>
  <c r="S303" i="2"/>
  <c r="S300" i="2"/>
  <c r="S302" i="2"/>
  <c r="O233" i="2"/>
  <c r="O244" i="2" s="1"/>
  <c r="O246" i="2" s="1"/>
  <c r="O247" i="2" s="1"/>
  <c r="O361" i="2"/>
  <c r="AC78" i="2"/>
  <c r="EK147" i="2"/>
  <c r="EK158" i="2"/>
  <c r="EK19" i="2" s="1"/>
  <c r="EK153" i="2"/>
  <c r="EG89" i="2"/>
  <c r="AD27" i="2"/>
  <c r="EJ72" i="2"/>
  <c r="P356" i="2"/>
  <c r="P340" i="2"/>
  <c r="P99" i="2"/>
  <c r="P50" i="2"/>
  <c r="P54" i="2"/>
  <c r="P56" i="2" s="1"/>
  <c r="P52" i="2"/>
  <c r="P1" i="2" s="1"/>
  <c r="EG88" i="2"/>
  <c r="AD26" i="2"/>
  <c r="AD81" i="2"/>
  <c r="AD91" i="2"/>
  <c r="AD92" i="2"/>
  <c r="AD95" i="2"/>
  <c r="AD310" i="2"/>
  <c r="AD318" i="2"/>
  <c r="AD315" i="2"/>
  <c r="EF302" i="2"/>
  <c r="AE138" i="2"/>
  <c r="AE140" i="2"/>
  <c r="AE62" i="2"/>
  <c r="AE110" i="2"/>
  <c r="EH132" i="2"/>
  <c r="EH133" i="2" s="1"/>
  <c r="EH131" i="2"/>
  <c r="R299" i="2"/>
  <c r="R301" i="2"/>
  <c r="R262" i="2"/>
  <c r="X340" i="2"/>
  <c r="X99" i="2"/>
  <c r="X50" i="2"/>
  <c r="X54" i="2"/>
  <c r="X56" i="2" s="1"/>
  <c r="X52" i="2"/>
  <c r="EH227" i="2"/>
  <c r="EE86" i="2"/>
  <c r="EE32" i="2"/>
  <c r="EE302" i="2"/>
  <c r="EH194" i="2"/>
  <c r="EH195" i="2" s="1"/>
  <c r="EH193" i="2"/>
  <c r="AD125" i="2"/>
  <c r="AD200" i="2" s="1"/>
  <c r="AE125" i="2"/>
  <c r="AE200" i="2" s="1"/>
  <c r="AF125" i="2"/>
  <c r="AF200" i="2" s="1"/>
  <c r="V340" i="2"/>
  <c r="V50" i="2"/>
  <c r="V54" i="2"/>
  <c r="V56" i="2" s="1"/>
  <c r="V52" i="2"/>
  <c r="V1" i="2" s="1"/>
  <c r="V99" i="2"/>
  <c r="S356" i="2"/>
  <c r="S340" i="2"/>
  <c r="S99" i="2"/>
  <c r="S54" i="2"/>
  <c r="S56" i="2" s="1"/>
  <c r="S52" i="2"/>
  <c r="S1" i="2" s="1"/>
  <c r="S50" i="2"/>
  <c r="S305" i="2"/>
  <c r="T304" i="2"/>
  <c r="S284" i="2"/>
  <c r="S97" i="2" s="1"/>
  <c r="S283" i="2"/>
  <c r="EI260" i="2"/>
  <c r="Y340" i="2"/>
  <c r="Y99" i="2"/>
  <c r="Y50" i="2"/>
  <c r="Y54" i="2"/>
  <c r="Y56" i="2" s="1"/>
  <c r="Y52" i="2"/>
  <c r="AD130" i="2"/>
  <c r="EK124" i="2"/>
  <c r="EK18" i="2" s="1"/>
  <c r="EK116" i="2"/>
  <c r="EJ164" i="2"/>
  <c r="EJ12" i="2"/>
  <c r="EF348" i="2"/>
  <c r="EF359" i="2" s="1"/>
  <c r="EF300" i="2"/>
  <c r="EF224" i="2"/>
  <c r="EP238" i="2"/>
  <c r="AE55" i="2"/>
  <c r="AF55" i="2"/>
  <c r="EM305" i="2"/>
  <c r="EJ22" i="2"/>
  <c r="AE18" i="2"/>
  <c r="EH15" i="2"/>
  <c r="EH25" i="2"/>
  <c r="EH82" i="2"/>
  <c r="AA340" i="2"/>
  <c r="AA99" i="2"/>
  <c r="AA54" i="2"/>
  <c r="AA56" i="2" s="1"/>
  <c r="AA52" i="2"/>
  <c r="AA1" i="2" s="1"/>
  <c r="AA50" i="2"/>
  <c r="Q291" i="2"/>
  <c r="Q290" i="2"/>
  <c r="Q288" i="2"/>
  <c r="Q287" i="2"/>
  <c r="EH166" i="2"/>
  <c r="EH167" i="2" s="1"/>
  <c r="EH165" i="2"/>
  <c r="EG257" i="2"/>
  <c r="EG226" i="2" s="1"/>
  <c r="AD226" i="2" s="1"/>
  <c r="EG266" i="2"/>
  <c r="EG81" i="2"/>
  <c r="EG91" i="2"/>
  <c r="EG29" i="2"/>
  <c r="EG318" i="2"/>
  <c r="EG92" i="2"/>
  <c r="EG95" i="2"/>
  <c r="EG315" i="2"/>
  <c r="EG253" i="2"/>
  <c r="AD159" i="2"/>
  <c r="AD201" i="2" s="1"/>
  <c r="AE159" i="2"/>
  <c r="AE201" i="2" s="1"/>
  <c r="AF159" i="2"/>
  <c r="AF201" i="2" s="1"/>
  <c r="EM249" i="2"/>
  <c r="EM281" i="2"/>
  <c r="EM214" i="2"/>
  <c r="EM9" i="2"/>
  <c r="EM3" i="2"/>
  <c r="EN7" i="2"/>
  <c r="EM4" i="2"/>
  <c r="EM60" i="2"/>
  <c r="AC72" i="2"/>
  <c r="AD187" i="2"/>
  <c r="AD202" i="2" s="1"/>
  <c r="AE187" i="2"/>
  <c r="AE202" i="2" s="1"/>
  <c r="AF187" i="2"/>
  <c r="AF202" i="2" s="1"/>
  <c r="EJ123" i="2"/>
  <c r="EJ119" i="2"/>
  <c r="EJ120" i="2" s="1"/>
  <c r="T356" i="2"/>
  <c r="T340" i="2"/>
  <c r="T99" i="2"/>
  <c r="T50" i="2"/>
  <c r="T54" i="2"/>
  <c r="T56" i="2" s="1"/>
  <c r="T52" i="2"/>
  <c r="T1" i="2" s="1"/>
  <c r="EI166" i="2"/>
  <c r="EI167" i="2" s="1"/>
  <c r="EI165" i="2"/>
  <c r="EI194" i="2"/>
  <c r="EI195" i="2" s="1"/>
  <c r="EI193" i="2"/>
  <c r="S258" i="2"/>
  <c r="S345" i="2"/>
  <c r="S322" i="2"/>
  <c r="S332" i="2"/>
  <c r="T94" i="2"/>
  <c r="S349" i="2"/>
  <c r="S344" i="2"/>
  <c r="S343" i="2"/>
  <c r="S342" i="2"/>
  <c r="EJ192" i="2"/>
  <c r="EJ13" i="2"/>
  <c r="EI211" i="2"/>
  <c r="EI317" i="2"/>
  <c r="EI296" i="2" s="1"/>
  <c r="AD156" i="2"/>
  <c r="AD83" i="2"/>
  <c r="EK182" i="2"/>
  <c r="EK185" i="2" s="1"/>
  <c r="EK186" i="2"/>
  <c r="EK20" i="2" s="1"/>
  <c r="EP66" i="2"/>
  <c r="R359" i="2"/>
  <c r="S354" i="2"/>
  <c r="EM175" i="2" l="1"/>
  <c r="EM109" i="2"/>
  <c r="EM146" i="2"/>
  <c r="EG348" i="2"/>
  <c r="EG359" i="2" s="1"/>
  <c r="EG300" i="2"/>
  <c r="EG224" i="2"/>
  <c r="EG228" i="2"/>
  <c r="EG269" i="2"/>
  <c r="AA339" i="2"/>
  <c r="AA53" i="2"/>
  <c r="EH87" i="2"/>
  <c r="EK119" i="2"/>
  <c r="EK123" i="2"/>
  <c r="EJ84" i="2"/>
  <c r="EJ27" i="2"/>
  <c r="EJ89" i="2" s="1"/>
  <c r="T357" i="2"/>
  <c r="T339" i="2"/>
  <c r="T215" i="2"/>
  <c r="T217" i="2" s="1"/>
  <c r="T231" i="2" s="1"/>
  <c r="T233" i="2" s="1"/>
  <c r="T244" i="2" s="1"/>
  <c r="T246" i="2" s="1"/>
  <c r="T247" i="2" s="1"/>
  <c r="T53" i="2"/>
  <c r="EJ130" i="2"/>
  <c r="EJ11" i="2"/>
  <c r="EG86" i="2"/>
  <c r="EG32" i="2"/>
  <c r="EH257" i="2"/>
  <c r="EH226" i="2" s="1"/>
  <c r="EH266" i="2"/>
  <c r="EH29" i="2"/>
  <c r="EH81" i="2"/>
  <c r="EH91" i="2"/>
  <c r="EH318" i="2"/>
  <c r="EH92" i="2"/>
  <c r="EH253" i="2"/>
  <c r="EH95" i="2"/>
  <c r="EH315" i="2"/>
  <c r="EN305" i="2"/>
  <c r="EP372" i="2"/>
  <c r="AF238" i="2"/>
  <c r="AF372" i="2" s="1"/>
  <c r="EJ83" i="2"/>
  <c r="EJ26" i="2"/>
  <c r="EJ88" i="2" s="1"/>
  <c r="EK22" i="2"/>
  <c r="Y1" i="2"/>
  <c r="S357" i="2"/>
  <c r="S339" i="2"/>
  <c r="S215" i="2"/>
  <c r="S217" i="2" s="1"/>
  <c r="S231" i="2" s="1"/>
  <c r="S233" i="2" s="1"/>
  <c r="S244" i="2" s="1"/>
  <c r="S246" i="2" s="1"/>
  <c r="S247" i="2" s="1"/>
  <c r="S53" i="2"/>
  <c r="AF203" i="2"/>
  <c r="X1" i="2"/>
  <c r="AB1" i="2"/>
  <c r="EI82" i="2"/>
  <c r="EI25" i="2"/>
  <c r="EI87" i="2" s="1"/>
  <c r="EI15" i="2"/>
  <c r="AC339" i="2"/>
  <c r="AC53" i="2"/>
  <c r="W339" i="2"/>
  <c r="W215" i="2"/>
  <c r="W217" i="2" s="1"/>
  <c r="W231" i="2" s="1"/>
  <c r="W233" i="2" s="1"/>
  <c r="W244" i="2" s="1"/>
  <c r="W246" i="2" s="1"/>
  <c r="W53" i="2"/>
  <c r="U339" i="2"/>
  <c r="U215" i="2"/>
  <c r="U217" i="2" s="1"/>
  <c r="U231" i="2" s="1"/>
  <c r="U233" i="2" s="1"/>
  <c r="U244" i="2" s="1"/>
  <c r="U246" i="2" s="1"/>
  <c r="U53" i="2"/>
  <c r="EL158" i="2"/>
  <c r="EL19" i="2" s="1"/>
  <c r="EL153" i="2"/>
  <c r="EL147" i="2"/>
  <c r="EI227" i="2"/>
  <c r="EH88" i="2"/>
  <c r="EN303" i="2"/>
  <c r="U261" i="2"/>
  <c r="U260" i="2"/>
  <c r="U259" i="2"/>
  <c r="U257" i="2"/>
  <c r="U308" i="2" s="1"/>
  <c r="U256" i="2"/>
  <c r="U255" i="2"/>
  <c r="U254" i="2"/>
  <c r="U253" i="2"/>
  <c r="U252" i="2"/>
  <c r="U251" i="2"/>
  <c r="U277" i="2"/>
  <c r="U275" i="2"/>
  <c r="U273" i="2"/>
  <c r="U271" i="2"/>
  <c r="U311" i="2" s="1"/>
  <c r="U267" i="2"/>
  <c r="U265" i="2"/>
  <c r="U306" i="2" s="1"/>
  <c r="U307" i="2" s="1"/>
  <c r="U278" i="2"/>
  <c r="U276" i="2"/>
  <c r="U373" i="2" s="1"/>
  <c r="U274" i="2"/>
  <c r="U272" i="2"/>
  <c r="U270" i="2"/>
  <c r="U268" i="2"/>
  <c r="U266" i="2"/>
  <c r="U309" i="2" s="1"/>
  <c r="V4" i="2"/>
  <c r="Z339" i="2"/>
  <c r="Z53" i="2"/>
  <c r="EH89" i="2"/>
  <c r="AD224" i="2"/>
  <c r="S301" i="2"/>
  <c r="S299" i="2"/>
  <c r="S262" i="2"/>
  <c r="R360" i="2"/>
  <c r="R361" i="2"/>
  <c r="EG302" i="2"/>
  <c r="AE124" i="2"/>
  <c r="AE113" i="2" s="1"/>
  <c r="AE64" i="2" s="1"/>
  <c r="EJ165" i="2"/>
  <c r="EJ166" i="2"/>
  <c r="EJ167" i="2" s="1"/>
  <c r="S286" i="2"/>
  <c r="S285" i="2"/>
  <c r="V339" i="2"/>
  <c r="V215" i="2"/>
  <c r="V217" i="2" s="1"/>
  <c r="V231" i="2" s="1"/>
  <c r="V233" i="2" s="1"/>
  <c r="V244" i="2" s="1"/>
  <c r="V246" i="2" s="1"/>
  <c r="V53" i="2"/>
  <c r="AE203" i="2"/>
  <c r="AE66" i="2"/>
  <c r="AD89" i="2"/>
  <c r="EK72" i="2"/>
  <c r="S359" i="2"/>
  <c r="S355" i="2"/>
  <c r="R291" i="2"/>
  <c r="R290" i="2"/>
  <c r="R288" i="2"/>
  <c r="R287" i="2"/>
  <c r="EI132" i="2"/>
  <c r="EI133" i="2" s="1"/>
  <c r="EI131" i="2"/>
  <c r="EN307" i="2"/>
  <c r="EL124" i="2"/>
  <c r="EL18" i="2" s="1"/>
  <c r="EL116" i="2"/>
  <c r="EI306" i="2"/>
  <c r="EF293" i="2"/>
  <c r="EF294" i="2"/>
  <c r="EF93" i="2"/>
  <c r="EF34" i="2"/>
  <c r="T269" i="2"/>
  <c r="T279" i="2" s="1"/>
  <c r="T348" i="2"/>
  <c r="T354" i="2" s="1"/>
  <c r="T303" i="2"/>
  <c r="T300" i="2"/>
  <c r="T302" i="2"/>
  <c r="Z1" i="2"/>
  <c r="EK192" i="2"/>
  <c r="EK13" i="2"/>
  <c r="EJ193" i="2"/>
  <c r="EJ194" i="2"/>
  <c r="EJ195" i="2" s="1"/>
  <c r="EI209" i="2"/>
  <c r="EI188" i="2" s="1"/>
  <c r="EI189" i="2" s="1"/>
  <c r="EI196" i="2" s="1"/>
  <c r="EI207" i="2"/>
  <c r="EI126" i="2" s="1"/>
  <c r="EI127" i="2" s="1"/>
  <c r="EI134" i="2" s="1"/>
  <c r="EI208" i="2"/>
  <c r="EI160" i="2" s="1"/>
  <c r="EI161" i="2" s="1"/>
  <c r="EI168" i="2" s="1"/>
  <c r="EI210" i="2"/>
  <c r="EN281" i="2"/>
  <c r="EN249" i="2"/>
  <c r="EN214" i="2"/>
  <c r="EN60" i="2"/>
  <c r="EN4" i="2"/>
  <c r="EO7" i="2"/>
  <c r="EN9" i="2"/>
  <c r="EN3" i="2"/>
  <c r="EG354" i="2"/>
  <c r="EJ304" i="2"/>
  <c r="EJ254" i="2"/>
  <c r="EJ225" i="2" s="1"/>
  <c r="EJ265" i="2"/>
  <c r="AD131" i="2"/>
  <c r="AD132" i="2"/>
  <c r="AD133" i="2" s="1"/>
  <c r="Y339" i="2"/>
  <c r="Y215" i="2"/>
  <c r="Y217" i="2" s="1"/>
  <c r="Y231" i="2" s="1"/>
  <c r="Y233" i="2" s="1"/>
  <c r="Y244" i="2" s="1"/>
  <c r="Y246" i="2" s="1"/>
  <c r="Y53" i="2"/>
  <c r="EI345" i="2"/>
  <c r="EI322" i="2"/>
  <c r="EI271" i="2"/>
  <c r="EI221" i="2" s="1"/>
  <c r="EJ33" i="2"/>
  <c r="AD203" i="2"/>
  <c r="X339" i="2"/>
  <c r="X215" i="2"/>
  <c r="X217" i="2" s="1"/>
  <c r="X53" i="2"/>
  <c r="AB339" i="2"/>
  <c r="AB53" i="2"/>
  <c r="DF329" i="2"/>
  <c r="DF320" i="2" s="1"/>
  <c r="DF321" i="2"/>
  <c r="DG330" i="2"/>
  <c r="AC1" i="2"/>
  <c r="EL186" i="2"/>
  <c r="EL20" i="2" s="1"/>
  <c r="EL182" i="2"/>
  <c r="EI304" i="2"/>
  <c r="AE72" i="2"/>
  <c r="T305" i="2"/>
  <c r="U304" i="2"/>
  <c r="T283" i="2"/>
  <c r="T284" i="2"/>
  <c r="EE359" i="2"/>
  <c r="EE354" i="2"/>
  <c r="EF354" i="2"/>
  <c r="EE294" i="2"/>
  <c r="EE293" i="2"/>
  <c r="EE93" i="2"/>
  <c r="EE34" i="2"/>
  <c r="AD88" i="2"/>
  <c r="P357" i="2"/>
  <c r="P339" i="2"/>
  <c r="P215" i="2"/>
  <c r="P217" i="2" s="1"/>
  <c r="P231" i="2" s="1"/>
  <c r="P53" i="2"/>
  <c r="EK156" i="2"/>
  <c r="AE153" i="2"/>
  <c r="AE149" i="2" s="1"/>
  <c r="Q357" i="2"/>
  <c r="Q339" i="2"/>
  <c r="Q215" i="2"/>
  <c r="Q217" i="2" s="1"/>
  <c r="Q231" i="2" s="1"/>
  <c r="Q53" i="2"/>
  <c r="AD87" i="2"/>
  <c r="T258" i="2"/>
  <c r="T345" i="2"/>
  <c r="T322" i="2"/>
  <c r="T332" i="2"/>
  <c r="U94" i="2"/>
  <c r="T349" i="2"/>
  <c r="T344" i="2"/>
  <c r="T343" i="2"/>
  <c r="T342" i="2"/>
  <c r="AE13" i="2"/>
  <c r="AD228" i="2"/>
  <c r="DH330" i="2" l="1"/>
  <c r="DG329" i="2"/>
  <c r="DG320" i="2" s="1"/>
  <c r="DG321" i="2"/>
  <c r="EJ314" i="2"/>
  <c r="EJ218" i="2"/>
  <c r="EJ260" i="2" s="1"/>
  <c r="EJ227" i="2"/>
  <c r="EL22" i="2"/>
  <c r="AE185" i="2"/>
  <c r="AE84" i="2"/>
  <c r="EJ306" i="2"/>
  <c r="EO281" i="2"/>
  <c r="EO249" i="2"/>
  <c r="EO214" i="2"/>
  <c r="EP7" i="2"/>
  <c r="EO9" i="2"/>
  <c r="EO3" i="2"/>
  <c r="EO60" i="2"/>
  <c r="EO4" i="2"/>
  <c r="EL123" i="2"/>
  <c r="EL119" i="2"/>
  <c r="T355" i="2"/>
  <c r="S291" i="2"/>
  <c r="S290" i="2"/>
  <c r="S288" i="2"/>
  <c r="S287" i="2"/>
  <c r="U349" i="2"/>
  <c r="U344" i="2"/>
  <c r="U342" i="2"/>
  <c r="U343" i="2"/>
  <c r="U356" i="2"/>
  <c r="U371" i="2"/>
  <c r="EL72" i="2"/>
  <c r="EK254" i="2"/>
  <c r="EK225" i="2" s="1"/>
  <c r="EK265" i="2"/>
  <c r="EK306" i="2" s="1"/>
  <c r="EM158" i="2"/>
  <c r="EM19" i="2" s="1"/>
  <c r="EM153" i="2"/>
  <c r="EM156" i="2" s="1"/>
  <c r="EM147" i="2"/>
  <c r="EL156" i="2"/>
  <c r="EH348" i="2"/>
  <c r="EH300" i="2"/>
  <c r="EH224" i="2"/>
  <c r="EJ82" i="2"/>
  <c r="EJ15" i="2"/>
  <c r="EJ25" i="2"/>
  <c r="EJ87" i="2" s="1"/>
  <c r="EM124" i="2"/>
  <c r="EM18" i="2" s="1"/>
  <c r="EM116" i="2"/>
  <c r="AE69" i="2"/>
  <c r="EN175" i="2"/>
  <c r="EN146" i="2"/>
  <c r="EN109" i="2"/>
  <c r="EK84" i="2"/>
  <c r="EK27" i="2"/>
  <c r="EF350" i="2"/>
  <c r="EF351" i="2" s="1"/>
  <c r="EF295" i="2"/>
  <c r="EF96" i="2"/>
  <c r="U305" i="2"/>
  <c r="EO303" i="2"/>
  <c r="U357" i="2"/>
  <c r="EI257" i="2"/>
  <c r="EI226" i="2" s="1"/>
  <c r="EI266" i="2"/>
  <c r="EI29" i="2"/>
  <c r="EI81" i="2"/>
  <c r="EI91" i="2"/>
  <c r="EI318" i="2"/>
  <c r="EI92" i="2"/>
  <c r="EI253" i="2"/>
  <c r="EI95" i="2"/>
  <c r="EI315" i="2"/>
  <c r="EO305" i="2"/>
  <c r="EH32" i="2"/>
  <c r="EH86" i="2"/>
  <c r="EK130" i="2"/>
  <c r="EK11" i="2"/>
  <c r="EM186" i="2"/>
  <c r="EM20" i="2" s="1"/>
  <c r="EM182" i="2"/>
  <c r="EM185" i="2" s="1"/>
  <c r="T301" i="2"/>
  <c r="T299" i="2"/>
  <c r="T262" i="2"/>
  <c r="P233" i="2"/>
  <c r="P244" i="2" s="1"/>
  <c r="P246" i="2" s="1"/>
  <c r="P247" i="2" s="1"/>
  <c r="P361" i="2"/>
  <c r="EE350" i="2"/>
  <c r="EE351" i="2" s="1"/>
  <c r="EE360" i="2" s="1"/>
  <c r="EE295" i="2"/>
  <c r="EE38" i="2"/>
  <c r="EE96" i="2"/>
  <c r="T286" i="2"/>
  <c r="T285" i="2"/>
  <c r="U97" i="2"/>
  <c r="EL185" i="2"/>
  <c r="EO307" i="2"/>
  <c r="V277" i="2"/>
  <c r="V275" i="2"/>
  <c r="V273" i="2"/>
  <c r="V271" i="2"/>
  <c r="V267" i="2"/>
  <c r="V265" i="2"/>
  <c r="V278" i="2"/>
  <c r="V356" i="2" s="1"/>
  <c r="V276" i="2"/>
  <c r="V373" i="2" s="1"/>
  <c r="V274" i="2"/>
  <c r="V272" i="2"/>
  <c r="V270" i="2"/>
  <c r="V268" i="2"/>
  <c r="V266" i="2"/>
  <c r="V309" i="2" s="1"/>
  <c r="V261" i="2"/>
  <c r="V260" i="2"/>
  <c r="V259" i="2"/>
  <c r="V257" i="2"/>
  <c r="V308" i="2" s="1"/>
  <c r="V256" i="2"/>
  <c r="V255" i="2"/>
  <c r="V254" i="2"/>
  <c r="V253" i="2"/>
  <c r="V252" i="2"/>
  <c r="V251" i="2"/>
  <c r="W4" i="2"/>
  <c r="U269" i="2"/>
  <c r="U279" i="2" s="1"/>
  <c r="V306" i="2"/>
  <c r="V307" i="2" s="1"/>
  <c r="U348" i="2"/>
  <c r="U355" i="2" s="1"/>
  <c r="U303" i="2"/>
  <c r="U300" i="2"/>
  <c r="U302" i="2"/>
  <c r="EH302" i="2"/>
  <c r="Q233" i="2"/>
  <c r="Q244" i="2" s="1"/>
  <c r="Q246" i="2" s="1"/>
  <c r="Q247" i="2" s="1"/>
  <c r="Q361" i="2"/>
  <c r="EK164" i="2"/>
  <c r="EK12" i="2"/>
  <c r="EK193" i="2"/>
  <c r="EK194" i="2"/>
  <c r="EK195" i="2" s="1"/>
  <c r="T359" i="2"/>
  <c r="S361" i="2"/>
  <c r="S360" i="2"/>
  <c r="T97" i="2"/>
  <c r="U283" i="2"/>
  <c r="U284" i="2"/>
  <c r="U258" i="2"/>
  <c r="U247" i="2"/>
  <c r="U345" i="2"/>
  <c r="U322" i="2"/>
  <c r="V94" i="2"/>
  <c r="U332" i="2"/>
  <c r="EH228" i="2"/>
  <c r="EH269" i="2"/>
  <c r="EG294" i="2"/>
  <c r="EG293" i="2"/>
  <c r="EG34" i="2"/>
  <c r="EG93" i="2"/>
  <c r="EJ131" i="2"/>
  <c r="EJ132" i="2"/>
  <c r="EJ133" i="2" s="1"/>
  <c r="EK120" i="2"/>
  <c r="AE119" i="2"/>
  <c r="V311" i="2" l="1"/>
  <c r="U354" i="2"/>
  <c r="EK304" i="2"/>
  <c r="U301" i="2"/>
  <c r="U299" i="2"/>
  <c r="U262" i="2"/>
  <c r="W336" i="2"/>
  <c r="W329" i="2"/>
  <c r="W330" i="2"/>
  <c r="W321" i="2" s="1"/>
  <c r="W278" i="2"/>
  <c r="W356" i="2" s="1"/>
  <c r="W276" i="2"/>
  <c r="W373" i="2" s="1"/>
  <c r="W274" i="2"/>
  <c r="W272" i="2"/>
  <c r="W270" i="2"/>
  <c r="W268" i="2"/>
  <c r="W266" i="2"/>
  <c r="W309" i="2" s="1"/>
  <c r="W261" i="2"/>
  <c r="W260" i="2"/>
  <c r="W259" i="2"/>
  <c r="W257" i="2"/>
  <c r="W308" i="2" s="1"/>
  <c r="W256" i="2"/>
  <c r="W255" i="2"/>
  <c r="W254" i="2"/>
  <c r="W304" i="2" s="1"/>
  <c r="W253" i="2"/>
  <c r="W252" i="2"/>
  <c r="W251" i="2"/>
  <c r="W277" i="2"/>
  <c r="W275" i="2"/>
  <c r="W273" i="2"/>
  <c r="W371" i="2" s="1"/>
  <c r="W271" i="2"/>
  <c r="W311" i="2" s="1"/>
  <c r="W267" i="2"/>
  <c r="W265" i="2"/>
  <c r="X4" i="2"/>
  <c r="V284" i="2"/>
  <c r="V97" i="2" s="1"/>
  <c r="V283" i="2"/>
  <c r="V348" i="2"/>
  <c r="V355" i="2" s="1"/>
  <c r="V300" i="2"/>
  <c r="V303" i="2"/>
  <c r="V302" i="2"/>
  <c r="EL192" i="2"/>
  <c r="EL13" i="2"/>
  <c r="EE355" i="2"/>
  <c r="EE352" i="2"/>
  <c r="EI348" i="2"/>
  <c r="EI300" i="2"/>
  <c r="EI224" i="2"/>
  <c r="EI302" i="2"/>
  <c r="EK89" i="2"/>
  <c r="AE27" i="2"/>
  <c r="EN182" i="2"/>
  <c r="EN186" i="2"/>
  <c r="EN20" i="2" s="1"/>
  <c r="AF175" i="2"/>
  <c r="AF174" i="2" s="1"/>
  <c r="EL164" i="2"/>
  <c r="EL12" i="2"/>
  <c r="EL120" i="2"/>
  <c r="EP281" i="2"/>
  <c r="EP249" i="2"/>
  <c r="EP214" i="2"/>
  <c r="EP60" i="2"/>
  <c r="EP4" i="2"/>
  <c r="EP9" i="2"/>
  <c r="EP3" i="2"/>
  <c r="EJ315" i="2"/>
  <c r="EJ211" i="2"/>
  <c r="EJ317" i="2"/>
  <c r="EJ296" i="2" s="1"/>
  <c r="V305" i="2"/>
  <c r="EK131" i="2"/>
  <c r="EK132" i="2"/>
  <c r="EK133" i="2" s="1"/>
  <c r="EP305" i="2"/>
  <c r="EI86" i="2"/>
  <c r="EI32" i="2"/>
  <c r="EP303" i="2"/>
  <c r="EM72" i="2"/>
  <c r="EK227" i="2"/>
  <c r="EL130" i="2"/>
  <c r="EL11" i="2"/>
  <c r="EG350" i="2"/>
  <c r="EG351" i="2" s="1"/>
  <c r="EG295" i="2"/>
  <c r="EG96" i="2"/>
  <c r="U286" i="2"/>
  <c r="U285" i="2"/>
  <c r="T360" i="2"/>
  <c r="T361" i="2"/>
  <c r="U359" i="2"/>
  <c r="V247" i="2"/>
  <c r="V258" i="2"/>
  <c r="V322" i="2"/>
  <c r="V345" i="2"/>
  <c r="W94" i="2"/>
  <c r="V332" i="2"/>
  <c r="V349" i="2"/>
  <c r="V344" i="2"/>
  <c r="V342" i="2"/>
  <c r="V343" i="2"/>
  <c r="W357" i="2"/>
  <c r="V357" i="2"/>
  <c r="V371" i="2"/>
  <c r="EP307" i="2"/>
  <c r="T291" i="2"/>
  <c r="T290" i="2"/>
  <c r="T288" i="2"/>
  <c r="T287" i="2"/>
  <c r="EE39" i="2"/>
  <c r="EE40" i="2" s="1"/>
  <c r="EE42" i="2" s="1"/>
  <c r="EM192" i="2"/>
  <c r="EM13" i="2"/>
  <c r="EI228" i="2"/>
  <c r="EI269" i="2"/>
  <c r="V304" i="2"/>
  <c r="EN124" i="2"/>
  <c r="EN18" i="2" s="1"/>
  <c r="EN116" i="2"/>
  <c r="EM123" i="2"/>
  <c r="EM119" i="2"/>
  <c r="EM120" i="2" s="1"/>
  <c r="EJ266" i="2"/>
  <c r="EJ257" i="2"/>
  <c r="EJ226" i="2" s="1"/>
  <c r="EJ81" i="2"/>
  <c r="EJ29" i="2"/>
  <c r="EJ318" i="2"/>
  <c r="EJ91" i="2"/>
  <c r="EJ92" i="2"/>
  <c r="EJ253" i="2"/>
  <c r="EH359" i="2"/>
  <c r="EH354" i="2"/>
  <c r="EM164" i="2"/>
  <c r="EM12" i="2"/>
  <c r="EO175" i="2"/>
  <c r="EO109" i="2"/>
  <c r="EO146" i="2"/>
  <c r="EJ95" i="2"/>
  <c r="EK83" i="2"/>
  <c r="EK26" i="2"/>
  <c r="EK88" i="2" s="1"/>
  <c r="EK165" i="2"/>
  <c r="EK166" i="2"/>
  <c r="EK167" i="2" s="1"/>
  <c r="V269" i="2"/>
  <c r="V279" i="2" s="1"/>
  <c r="W306" i="2"/>
  <c r="W307" i="2" s="1"/>
  <c r="EK82" i="2"/>
  <c r="EK15" i="2"/>
  <c r="EK25" i="2"/>
  <c r="EK87" i="2" s="1"/>
  <c r="EH293" i="2"/>
  <c r="EH294" i="2"/>
  <c r="EH93" i="2"/>
  <c r="EH34" i="2"/>
  <c r="EF355" i="2"/>
  <c r="EF352" i="2"/>
  <c r="EF360" i="2"/>
  <c r="EN158" i="2"/>
  <c r="EN19" i="2" s="1"/>
  <c r="EN153" i="2"/>
  <c r="EN147" i="2"/>
  <c r="EM22" i="2"/>
  <c r="EL265" i="2"/>
  <c r="EL306" i="2" s="1"/>
  <c r="EL254" i="2"/>
  <c r="EL225" i="2" s="1"/>
  <c r="EJ345" i="2"/>
  <c r="EJ322" i="2"/>
  <c r="EJ271" i="2"/>
  <c r="EJ221" i="2" s="1"/>
  <c r="EK33" i="2"/>
  <c r="DH329" i="2"/>
  <c r="DH320" i="2" s="1"/>
  <c r="DH321" i="2"/>
  <c r="DI330" i="2"/>
  <c r="EN22" i="2" l="1"/>
  <c r="EN72" i="2"/>
  <c r="EO147" i="2"/>
  <c r="EO158" i="2"/>
  <c r="EO19" i="2" s="1"/>
  <c r="EO153" i="2"/>
  <c r="EO156" i="2" s="1"/>
  <c r="EN156" i="2"/>
  <c r="AF153" i="2"/>
  <c r="EO124" i="2"/>
  <c r="EO18" i="2" s="1"/>
  <c r="EO116" i="2"/>
  <c r="EM83" i="2"/>
  <c r="EM26" i="2"/>
  <c r="EM88" i="2" s="1"/>
  <c r="EJ228" i="2"/>
  <c r="EJ269" i="2"/>
  <c r="EM130" i="2"/>
  <c r="EM11" i="2"/>
  <c r="EM194" i="2"/>
  <c r="EM195" i="2" s="1"/>
  <c r="EM193" i="2"/>
  <c r="AF176" i="2"/>
  <c r="AF74" i="2"/>
  <c r="EI359" i="2"/>
  <c r="EI354" i="2"/>
  <c r="EL194" i="2"/>
  <c r="EL195" i="2" s="1"/>
  <c r="EL193" i="2"/>
  <c r="V359" i="2"/>
  <c r="X336" i="2"/>
  <c r="X330" i="2"/>
  <c r="X321" i="2" s="1"/>
  <c r="X278" i="2"/>
  <c r="X276" i="2"/>
  <c r="X373" i="2" s="1"/>
  <c r="X274" i="2"/>
  <c r="X272" i="2"/>
  <c r="X270" i="2"/>
  <c r="X268" i="2"/>
  <c r="X266" i="2"/>
  <c r="X309" i="2" s="1"/>
  <c r="X261" i="2"/>
  <c r="X260" i="2"/>
  <c r="X259" i="2"/>
  <c r="X257" i="2"/>
  <c r="X308" i="2" s="1"/>
  <c r="X256" i="2"/>
  <c r="X255" i="2"/>
  <c r="X254" i="2"/>
  <c r="X253" i="2"/>
  <c r="X252" i="2"/>
  <c r="X251" i="2"/>
  <c r="X277" i="2"/>
  <c r="X275" i="2"/>
  <c r="X273" i="2"/>
  <c r="X371" i="2" s="1"/>
  <c r="X271" i="2"/>
  <c r="X311" i="2" s="1"/>
  <c r="X267" i="2"/>
  <c r="X265" i="2"/>
  <c r="Y4" i="2"/>
  <c r="EG355" i="2"/>
  <c r="EG352" i="2"/>
  <c r="EG360" i="2"/>
  <c r="EI294" i="2"/>
  <c r="EI293" i="2"/>
  <c r="EI93" i="2"/>
  <c r="EI34" i="2"/>
  <c r="EL83" i="2"/>
  <c r="EL26" i="2"/>
  <c r="EL88" i="2" s="1"/>
  <c r="EK314" i="2"/>
  <c r="EK218" i="2"/>
  <c r="EK260" i="2" s="1"/>
  <c r="EK95" i="2"/>
  <c r="EL304" i="2"/>
  <c r="EH350" i="2"/>
  <c r="EH351" i="2" s="1"/>
  <c r="EH295" i="2"/>
  <c r="EH96" i="2"/>
  <c r="EO182" i="2"/>
  <c r="EO185" i="2" s="1"/>
  <c r="EO186" i="2"/>
  <c r="EO20" i="2" s="1"/>
  <c r="EJ348" i="2"/>
  <c r="EJ300" i="2"/>
  <c r="EJ224" i="2"/>
  <c r="EJ86" i="2"/>
  <c r="EJ32" i="2"/>
  <c r="EJ302" i="2"/>
  <c r="EN123" i="2"/>
  <c r="EN119" i="2"/>
  <c r="EN120" i="2" s="1"/>
  <c r="AF116" i="2"/>
  <c r="V354" i="2"/>
  <c r="EL132" i="2"/>
  <c r="EL133" i="2" s="1"/>
  <c r="EL131" i="2"/>
  <c r="W269" i="2"/>
  <c r="W279" i="2" s="1"/>
  <c r="X306" i="2"/>
  <c r="X307" i="2" s="1"/>
  <c r="W348" i="2"/>
  <c r="W354" i="2" s="1"/>
  <c r="W303" i="2"/>
  <c r="W300" i="2"/>
  <c r="W302" i="2"/>
  <c r="W320" i="2"/>
  <c r="W331" i="2"/>
  <c r="W332" i="2" s="1"/>
  <c r="DI329" i="2"/>
  <c r="DI320" i="2" s="1"/>
  <c r="DI321" i="2"/>
  <c r="DJ330" i="2"/>
  <c r="EM254" i="2"/>
  <c r="EM225" i="2" s="1"/>
  <c r="EM265" i="2"/>
  <c r="EM306" i="2" s="1"/>
  <c r="EK257" i="2"/>
  <c r="EK226" i="2" s="1"/>
  <c r="EK266" i="2"/>
  <c r="EK81" i="2"/>
  <c r="EK29" i="2"/>
  <c r="EK318" i="2"/>
  <c r="EK91" i="2"/>
  <c r="EK92" i="2"/>
  <c r="EK253" i="2"/>
  <c r="EM166" i="2"/>
  <c r="EM167" i="2" s="1"/>
  <c r="EM165" i="2"/>
  <c r="EN265" i="2"/>
  <c r="EN254" i="2"/>
  <c r="EM84" i="2"/>
  <c r="EM27" i="2"/>
  <c r="EM89" i="2" s="1"/>
  <c r="V301" i="2"/>
  <c r="V299" i="2"/>
  <c r="V262" i="2"/>
  <c r="U360" i="2"/>
  <c r="U361" i="2"/>
  <c r="U291" i="2"/>
  <c r="U290" i="2"/>
  <c r="U288" i="2"/>
  <c r="U287" i="2"/>
  <c r="EL166" i="2"/>
  <c r="EL167" i="2" s="1"/>
  <c r="EL165" i="2"/>
  <c r="EN185" i="2"/>
  <c r="AF182" i="2"/>
  <c r="AF178" i="2" s="1"/>
  <c r="EL84" i="2"/>
  <c r="EL27" i="2"/>
  <c r="W305" i="2"/>
  <c r="X304" i="2"/>
  <c r="W284" i="2"/>
  <c r="W283" i="2"/>
  <c r="EL227" i="2"/>
  <c r="EE340" i="2"/>
  <c r="EE99" i="2"/>
  <c r="EE50" i="2"/>
  <c r="EL82" i="2"/>
  <c r="EL15" i="2"/>
  <c r="EL25" i="2"/>
  <c r="EJ210" i="2"/>
  <c r="EJ208" i="2"/>
  <c r="EJ160" i="2" s="1"/>
  <c r="EJ161" i="2" s="1"/>
  <c r="EJ168" i="2" s="1"/>
  <c r="EJ209" i="2"/>
  <c r="EJ188" i="2" s="1"/>
  <c r="EJ189" i="2" s="1"/>
  <c r="EJ196" i="2" s="1"/>
  <c r="EJ207" i="2"/>
  <c r="EJ126" i="2" s="1"/>
  <c r="EJ127" i="2" s="1"/>
  <c r="EJ134" i="2" s="1"/>
  <c r="EP175" i="2"/>
  <c r="EP109" i="2"/>
  <c r="EP146" i="2"/>
  <c r="AE89" i="2"/>
  <c r="V286" i="2"/>
  <c r="V285" i="2"/>
  <c r="W247" i="2"/>
  <c r="W258" i="2"/>
  <c r="W345" i="2"/>
  <c r="W322" i="2"/>
  <c r="X94" i="2"/>
  <c r="W349" i="2"/>
  <c r="W344" i="2"/>
  <c r="W343" i="2"/>
  <c r="W342" i="2"/>
  <c r="X356" i="2"/>
  <c r="X357" i="2"/>
  <c r="EN306" i="2" l="1"/>
  <c r="EM304" i="2"/>
  <c r="AF75" i="2"/>
  <c r="EL257" i="2"/>
  <c r="EL226" i="2" s="1"/>
  <c r="EL266" i="2"/>
  <c r="EL81" i="2"/>
  <c r="EL29" i="2"/>
  <c r="EL318" i="2"/>
  <c r="EL91" i="2"/>
  <c r="EL92" i="2"/>
  <c r="EL253" i="2"/>
  <c r="W286" i="2"/>
  <c r="W285" i="2"/>
  <c r="EL89" i="2"/>
  <c r="X305" i="2"/>
  <c r="X284" i="2"/>
  <c r="X283" i="2"/>
  <c r="EM132" i="2"/>
  <c r="EM133" i="2" s="1"/>
  <c r="EM131" i="2"/>
  <c r="EO22" i="2"/>
  <c r="EK345" i="2"/>
  <c r="EK322" i="2"/>
  <c r="EK271" i="2"/>
  <c r="EK221" i="2" s="1"/>
  <c r="EL33" i="2"/>
  <c r="EM82" i="2"/>
  <c r="EM25" i="2"/>
  <c r="EM87" i="2" s="1"/>
  <c r="EM15" i="2"/>
  <c r="V291" i="2"/>
  <c r="V290" i="2"/>
  <c r="V288" i="2"/>
  <c r="V287" i="2"/>
  <c r="EN227" i="2"/>
  <c r="DJ329" i="2"/>
  <c r="DJ320" i="2" s="1"/>
  <c r="DJ321" i="2"/>
  <c r="DK330" i="2"/>
  <c r="W359" i="2"/>
  <c r="W301" i="2"/>
  <c r="W299" i="2"/>
  <c r="W262" i="2"/>
  <c r="W280" i="2" s="1"/>
  <c r="EP158" i="2"/>
  <c r="EP19" i="2" s="1"/>
  <c r="EP153" i="2"/>
  <c r="EP156" i="2" s="1"/>
  <c r="EP147" i="2"/>
  <c r="AF146" i="2"/>
  <c r="AF145" i="2" s="1"/>
  <c r="EN304" i="2"/>
  <c r="EK348" i="2"/>
  <c r="EK300" i="2"/>
  <c r="EK224" i="2"/>
  <c r="EK86" i="2"/>
  <c r="EK32" i="2"/>
  <c r="EK302" i="2"/>
  <c r="EJ293" i="2"/>
  <c r="EJ294" i="2"/>
  <c r="EJ93" i="2"/>
  <c r="EJ34" i="2"/>
  <c r="EJ359" i="2"/>
  <c r="EJ354" i="2"/>
  <c r="X258" i="2"/>
  <c r="X247" i="2"/>
  <c r="X2" i="2"/>
  <c r="X345" i="2"/>
  <c r="X322" i="2"/>
  <c r="Y94" i="2"/>
  <c r="X349" i="2"/>
  <c r="X344" i="2"/>
  <c r="X343" i="2"/>
  <c r="X342" i="2"/>
  <c r="W355" i="2"/>
  <c r="EO72" i="2"/>
  <c r="EP124" i="2"/>
  <c r="EP18" i="2" s="1"/>
  <c r="EP116" i="2"/>
  <c r="AF109" i="2"/>
  <c r="AF108" i="2" s="1"/>
  <c r="Y336" i="2"/>
  <c r="Y261" i="2"/>
  <c r="Y260" i="2"/>
  <c r="Y259" i="2"/>
  <c r="Y257" i="2"/>
  <c r="Y308" i="2" s="1"/>
  <c r="Y256" i="2"/>
  <c r="Y255" i="2"/>
  <c r="Y254" i="2"/>
  <c r="Y253" i="2"/>
  <c r="Y252" i="2"/>
  <c r="Y251" i="2"/>
  <c r="Y277" i="2"/>
  <c r="Y275" i="2"/>
  <c r="Y273" i="2"/>
  <c r="Y371" i="2" s="1"/>
  <c r="Y271" i="2"/>
  <c r="Y311" i="2" s="1"/>
  <c r="Y267" i="2"/>
  <c r="Y265" i="2"/>
  <c r="Y278" i="2"/>
  <c r="Y356" i="2" s="1"/>
  <c r="Y276" i="2"/>
  <c r="Y373" i="2" s="1"/>
  <c r="Y274" i="2"/>
  <c r="Y272" i="2"/>
  <c r="Y270" i="2"/>
  <c r="Y268" i="2"/>
  <c r="Y266" i="2"/>
  <c r="Y309" i="2" s="1"/>
  <c r="Z4" i="2"/>
  <c r="X329" i="2"/>
  <c r="AF78" i="2"/>
  <c r="EN164" i="2"/>
  <c r="EN12" i="2"/>
  <c r="W97" i="2"/>
  <c r="EP186" i="2"/>
  <c r="EP20" i="2" s="1"/>
  <c r="EP182" i="2"/>
  <c r="AE175" i="2"/>
  <c r="AE174" i="2" s="1"/>
  <c r="EL87" i="2"/>
  <c r="EE337" i="2"/>
  <c r="EE335" i="2" s="1"/>
  <c r="EE58" i="2" s="1"/>
  <c r="EE339" i="2"/>
  <c r="EE215" i="2"/>
  <c r="EE100" i="2"/>
  <c r="EN192" i="2"/>
  <c r="EN13" i="2"/>
  <c r="EN225" i="2"/>
  <c r="EK228" i="2"/>
  <c r="EK269" i="2"/>
  <c r="EM227" i="2"/>
  <c r="EN130" i="2"/>
  <c r="EN11" i="2"/>
  <c r="EO192" i="2"/>
  <c r="EO13" i="2"/>
  <c r="EH355" i="2"/>
  <c r="EH352" i="2"/>
  <c r="EK315" i="2"/>
  <c r="EK211" i="2"/>
  <c r="EK317" i="2"/>
  <c r="EK296" i="2" s="1"/>
  <c r="EI350" i="2"/>
  <c r="EI351" i="2" s="1"/>
  <c r="EI360" i="2" s="1"/>
  <c r="EI295" i="2"/>
  <c r="EI96" i="2"/>
  <c r="X269" i="2"/>
  <c r="X279" i="2" s="1"/>
  <c r="X348" i="2"/>
  <c r="X303" i="2"/>
  <c r="X300" i="2"/>
  <c r="X302" i="2"/>
  <c r="V360" i="2"/>
  <c r="V361" i="2"/>
  <c r="EH360" i="2"/>
  <c r="EO119" i="2"/>
  <c r="EO120" i="2" s="1"/>
  <c r="EO123" i="2"/>
  <c r="EO164" i="2"/>
  <c r="EO12" i="2"/>
  <c r="EE53" i="2" l="1"/>
  <c r="Y357" i="2"/>
  <c r="AF149" i="2"/>
  <c r="X359" i="2"/>
  <c r="AF140" i="2"/>
  <c r="AF110" i="2"/>
  <c r="AF138" i="2"/>
  <c r="AF62" i="2"/>
  <c r="W291" i="2"/>
  <c r="W290" i="2"/>
  <c r="W288" i="2"/>
  <c r="W287" i="2"/>
  <c r="EL228" i="2"/>
  <c r="EL269" i="2"/>
  <c r="EN132" i="2"/>
  <c r="EN133" i="2" s="1"/>
  <c r="EN131" i="2"/>
  <c r="Y305" i="2"/>
  <c r="EP123" i="2"/>
  <c r="EP119" i="2"/>
  <c r="AE116" i="2"/>
  <c r="AE112" i="2" s="1"/>
  <c r="AF69" i="2"/>
  <c r="EK294" i="2"/>
  <c r="EK293" i="2"/>
  <c r="EK93" i="2"/>
  <c r="EK34" i="2"/>
  <c r="EK359" i="2"/>
  <c r="EK354" i="2"/>
  <c r="EP164" i="2"/>
  <c r="EP12" i="2"/>
  <c r="DL330" i="2"/>
  <c r="DK321" i="2"/>
  <c r="DK329" i="2"/>
  <c r="DK320" i="2" s="1"/>
  <c r="EL314" i="2"/>
  <c r="EL218" i="2"/>
  <c r="EL95" i="2"/>
  <c r="AD20" i="2"/>
  <c r="AD186" i="2" s="1"/>
  <c r="AE20" i="2"/>
  <c r="AE186" i="2" s="1"/>
  <c r="AF20" i="2"/>
  <c r="AF186" i="2" s="1"/>
  <c r="AF179" i="2" s="1"/>
  <c r="Z336" i="2"/>
  <c r="Z277" i="2"/>
  <c r="Z275" i="2"/>
  <c r="Z273" i="2"/>
  <c r="Z371" i="2" s="1"/>
  <c r="Z271" i="2"/>
  <c r="Z267" i="2"/>
  <c r="Z265" i="2"/>
  <c r="Z306" i="2" s="1"/>
  <c r="Z307" i="2" s="1"/>
  <c r="Z278" i="2"/>
  <c r="Z276" i="2"/>
  <c r="Z373" i="2" s="1"/>
  <c r="Z274" i="2"/>
  <c r="Z272" i="2"/>
  <c r="Z270" i="2"/>
  <c r="Z268" i="2"/>
  <c r="Z266" i="2"/>
  <c r="Z309" i="2" s="1"/>
  <c r="Z261" i="2"/>
  <c r="Z260" i="2"/>
  <c r="Z259" i="2"/>
  <c r="Z257" i="2"/>
  <c r="Z308" i="2" s="1"/>
  <c r="Z256" i="2"/>
  <c r="Z255" i="2"/>
  <c r="Z254" i="2"/>
  <c r="Z304" i="2" s="1"/>
  <c r="Z253" i="2"/>
  <c r="Z252" i="2"/>
  <c r="Z251" i="2"/>
  <c r="Z143" i="2"/>
  <c r="Z104" i="2"/>
  <c r="AA4" i="2"/>
  <c r="Y269" i="2"/>
  <c r="Y279" i="2" s="1"/>
  <c r="Y348" i="2"/>
  <c r="Y354" i="2" s="1"/>
  <c r="Y303" i="2"/>
  <c r="Y300" i="2"/>
  <c r="Y302" i="2"/>
  <c r="X301" i="2"/>
  <c r="X299" i="2"/>
  <c r="X262" i="2"/>
  <c r="X280" i="2" s="1"/>
  <c r="EP72" i="2"/>
  <c r="W361" i="2"/>
  <c r="W360" i="2"/>
  <c r="EO165" i="2"/>
  <c r="EO166" i="2"/>
  <c r="EO167" i="2" s="1"/>
  <c r="Y306" i="2"/>
  <c r="Y307" i="2" s="1"/>
  <c r="EO193" i="2"/>
  <c r="EO194" i="2"/>
  <c r="EO195" i="2" s="1"/>
  <c r="EO130" i="2"/>
  <c r="EO11" i="2"/>
  <c r="EI355" i="2"/>
  <c r="EI352" i="2"/>
  <c r="EE52" i="2"/>
  <c r="EE54" i="2"/>
  <c r="EE56" i="2" s="1"/>
  <c r="AE176" i="2"/>
  <c r="AE74" i="2"/>
  <c r="EN83" i="2"/>
  <c r="EN26" i="2"/>
  <c r="EN88" i="2" s="1"/>
  <c r="AF12" i="2"/>
  <c r="Y284" i="2"/>
  <c r="Y283" i="2"/>
  <c r="Y258" i="2"/>
  <c r="Y247" i="2"/>
  <c r="Y2" i="2"/>
  <c r="Y345" i="2"/>
  <c r="Y322" i="2"/>
  <c r="Z94" i="2"/>
  <c r="EP22" i="2"/>
  <c r="AF18" i="2"/>
  <c r="AD19" i="2"/>
  <c r="AE19" i="2"/>
  <c r="AF19" i="2"/>
  <c r="AF158" i="2" s="1"/>
  <c r="AF150" i="2" s="1"/>
  <c r="AF70" i="2" s="1"/>
  <c r="X355" i="2"/>
  <c r="EM257" i="2"/>
  <c r="EM226" i="2" s="1"/>
  <c r="EM266" i="2"/>
  <c r="EM29" i="2"/>
  <c r="EM81" i="2"/>
  <c r="EM318" i="2"/>
  <c r="EM91" i="2"/>
  <c r="EM92" i="2"/>
  <c r="EM253" i="2"/>
  <c r="EO254" i="2"/>
  <c r="EO225" i="2" s="1"/>
  <c r="EO265" i="2"/>
  <c r="EO306" i="2" s="1"/>
  <c r="X286" i="2"/>
  <c r="X285" i="2"/>
  <c r="Y97" i="2"/>
  <c r="EL300" i="2"/>
  <c r="EL224" i="2"/>
  <c r="EL32" i="2"/>
  <c r="EL86" i="2"/>
  <c r="EL302" i="2"/>
  <c r="EK210" i="2"/>
  <c r="EK208" i="2"/>
  <c r="EK160" i="2" s="1"/>
  <c r="EK161" i="2" s="1"/>
  <c r="EK168" i="2" s="1"/>
  <c r="EK207" i="2"/>
  <c r="EK126" i="2" s="1"/>
  <c r="EK127" i="2" s="1"/>
  <c r="EK134" i="2" s="1"/>
  <c r="EK209" i="2"/>
  <c r="EK188" i="2" s="1"/>
  <c r="EK189" i="2" s="1"/>
  <c r="EK196" i="2" s="1"/>
  <c r="EO84" i="2"/>
  <c r="EO27" i="2"/>
  <c r="EO89" i="2" s="1"/>
  <c r="EN193" i="2"/>
  <c r="EN194" i="2"/>
  <c r="EN195" i="2" s="1"/>
  <c r="EE275" i="2"/>
  <c r="EE217" i="2"/>
  <c r="EO26" i="2"/>
  <c r="EO88" i="2" s="1"/>
  <c r="EO83" i="2"/>
  <c r="EN82" i="2"/>
  <c r="EN15" i="2"/>
  <c r="EN25" i="2"/>
  <c r="EN87" i="2" s="1"/>
  <c r="AF11" i="2"/>
  <c r="EN84" i="2"/>
  <c r="EN27" i="2"/>
  <c r="AF13" i="2"/>
  <c r="EP185" i="2"/>
  <c r="AE182" i="2"/>
  <c r="AE178" i="2" s="1"/>
  <c r="EN165" i="2"/>
  <c r="EN166" i="2"/>
  <c r="EN167" i="2" s="1"/>
  <c r="X331" i="2"/>
  <c r="X332" i="2" s="1"/>
  <c r="X320" i="2"/>
  <c r="Y343" i="2"/>
  <c r="Y349" i="2"/>
  <c r="Y344" i="2"/>
  <c r="Y342" i="2"/>
  <c r="Z357" i="2"/>
  <c r="EJ350" i="2"/>
  <c r="EJ351" i="2" s="1"/>
  <c r="EJ295" i="2"/>
  <c r="EJ96" i="2"/>
  <c r="AF112" i="2"/>
  <c r="AF68" i="2"/>
  <c r="AF147" i="2"/>
  <c r="X354" i="2"/>
  <c r="Y304" i="2"/>
  <c r="X97" i="2"/>
  <c r="AF151" i="2" l="1"/>
  <c r="AF123" i="2"/>
  <c r="AF15" i="2"/>
  <c r="EE278" i="2"/>
  <c r="EE279" i="2"/>
  <c r="EL293" i="2"/>
  <c r="EL294" i="2"/>
  <c r="EL93" i="2"/>
  <c r="EL34" i="2"/>
  <c r="EM86" i="2"/>
  <c r="EM32" i="2"/>
  <c r="EP265" i="2"/>
  <c r="EP254" i="2"/>
  <c r="EP225" i="2" s="1"/>
  <c r="Y286" i="2"/>
  <c r="Y285" i="2"/>
  <c r="Z97" i="2"/>
  <c r="Z247" i="2"/>
  <c r="Z258" i="2"/>
  <c r="Z2" i="2"/>
  <c r="Z343" i="2"/>
  <c r="Z344" i="2"/>
  <c r="Z342" i="2"/>
  <c r="Z349" i="2"/>
  <c r="EL260" i="2"/>
  <c r="AF71" i="2"/>
  <c r="AF72" i="2"/>
  <c r="EN89" i="2"/>
  <c r="AF27" i="2"/>
  <c r="AF89" i="2" s="1"/>
  <c r="EN266" i="2"/>
  <c r="EN257" i="2"/>
  <c r="EN226" i="2" s="1"/>
  <c r="EN81" i="2"/>
  <c r="EN29" i="2"/>
  <c r="EN318" i="2"/>
  <c r="EN91" i="2"/>
  <c r="EN92" i="2"/>
  <c r="EN253" i="2"/>
  <c r="Y301" i="2"/>
  <c r="Y299" i="2"/>
  <c r="Y262" i="2"/>
  <c r="Y280" i="2" s="1"/>
  <c r="AE78" i="2"/>
  <c r="EE1" i="2"/>
  <c r="EO131" i="2"/>
  <c r="EO132" i="2"/>
  <c r="EO133" i="2" s="1"/>
  <c r="Y359" i="2"/>
  <c r="Z105" i="2"/>
  <c r="Z348" i="2"/>
  <c r="Z354" i="2" s="1"/>
  <c r="Z303" i="2"/>
  <c r="Z300" i="2"/>
  <c r="Z302" i="2"/>
  <c r="AF76" i="2"/>
  <c r="AF180" i="2"/>
  <c r="EK350" i="2"/>
  <c r="EK351" i="2" s="1"/>
  <c r="EK360" i="2" s="1"/>
  <c r="EK295" i="2"/>
  <c r="EK96" i="2"/>
  <c r="EP120" i="2"/>
  <c r="AF119" i="2"/>
  <c r="EP192" i="2"/>
  <c r="EP13" i="2"/>
  <c r="AD179" i="2"/>
  <c r="AD192" i="2"/>
  <c r="Z356" i="2"/>
  <c r="AF63" i="2"/>
  <c r="EJ355" i="2"/>
  <c r="EJ352" i="2"/>
  <c r="AE75" i="2"/>
  <c r="EE231" i="2"/>
  <c r="EO227" i="2"/>
  <c r="EM300" i="2"/>
  <c r="EM224" i="2"/>
  <c r="EM302" i="2"/>
  <c r="AE158" i="2"/>
  <c r="AE150" i="2" s="1"/>
  <c r="AE22" i="2"/>
  <c r="AF124" i="2"/>
  <c r="AF113" i="2" s="1"/>
  <c r="AF64" i="2" s="1"/>
  <c r="AF22" i="2"/>
  <c r="Z305" i="2"/>
  <c r="Z284" i="2"/>
  <c r="Z283" i="2"/>
  <c r="Z311" i="2"/>
  <c r="AE179" i="2"/>
  <c r="AE76" i="2" s="1"/>
  <c r="AE192" i="2"/>
  <c r="EP166" i="2"/>
  <c r="EP167" i="2" s="1"/>
  <c r="EP165" i="2"/>
  <c r="EP130" i="2"/>
  <c r="EP11" i="2"/>
  <c r="Y355" i="2"/>
  <c r="AD158" i="2"/>
  <c r="AD22" i="2"/>
  <c r="EO15" i="2"/>
  <c r="EO25" i="2"/>
  <c r="EO87" i="2" s="1"/>
  <c r="EO82" i="2"/>
  <c r="Z345" i="2"/>
  <c r="Z322" i="2"/>
  <c r="AA94" i="2"/>
  <c r="DL329" i="2"/>
  <c r="DL320" i="2" s="1"/>
  <c r="DL321" i="2"/>
  <c r="DM330" i="2"/>
  <c r="AF185" i="2"/>
  <c r="AF84" i="2"/>
  <c r="X291" i="2"/>
  <c r="X290" i="2"/>
  <c r="X288" i="2"/>
  <c r="X287" i="2"/>
  <c r="EO304" i="2"/>
  <c r="EM228" i="2"/>
  <c r="EM269" i="2"/>
  <c r="EJ360" i="2"/>
  <c r="AF156" i="2"/>
  <c r="AA336" i="2"/>
  <c r="AA278" i="2"/>
  <c r="AA276" i="2"/>
  <c r="AA373" i="2" s="1"/>
  <c r="AA274" i="2"/>
  <c r="AA272" i="2"/>
  <c r="AA270" i="2"/>
  <c r="AA268" i="2"/>
  <c r="AA266" i="2"/>
  <c r="AA309" i="2" s="1"/>
  <c r="AA261" i="2"/>
  <c r="AA260" i="2"/>
  <c r="AA259" i="2"/>
  <c r="AA257" i="2"/>
  <c r="AA308" i="2" s="1"/>
  <c r="AA256" i="2"/>
  <c r="AA255" i="2"/>
  <c r="AA254" i="2"/>
  <c r="AA304" i="2" s="1"/>
  <c r="AA253" i="2"/>
  <c r="AA252" i="2"/>
  <c r="AA251" i="2"/>
  <c r="AA277" i="2"/>
  <c r="AA275" i="2"/>
  <c r="AA273" i="2"/>
  <c r="AA371" i="2" s="1"/>
  <c r="AA271" i="2"/>
  <c r="AA311" i="2" s="1"/>
  <c r="AA267" i="2"/>
  <c r="AA265" i="2"/>
  <c r="AA306" i="2" s="1"/>
  <c r="AA307" i="2" s="1"/>
  <c r="AA171" i="2"/>
  <c r="AA104" i="2"/>
  <c r="AA143" i="2"/>
  <c r="AB4" i="2"/>
  <c r="Z269" i="2"/>
  <c r="Z279" i="2" s="1"/>
  <c r="EL315" i="2"/>
  <c r="EL211" i="2"/>
  <c r="EL317" i="2"/>
  <c r="EL296" i="2" s="1"/>
  <c r="EP83" i="2"/>
  <c r="EP26" i="2"/>
  <c r="AE12" i="2"/>
  <c r="AF83" i="2" s="1"/>
  <c r="AE114" i="2"/>
  <c r="AE63" i="2"/>
  <c r="AF66" i="2"/>
  <c r="X360" i="2"/>
  <c r="X361" i="2"/>
  <c r="EP304" i="2" l="1"/>
  <c r="DM329" i="2"/>
  <c r="DM321" i="2"/>
  <c r="DN330" i="2"/>
  <c r="Y330" i="2"/>
  <c r="Y321" i="2" s="1"/>
  <c r="AE70" i="2"/>
  <c r="AE151" i="2"/>
  <c r="EE233" i="2"/>
  <c r="EE361" i="2"/>
  <c r="EL345" i="2"/>
  <c r="EL322" i="2"/>
  <c r="EL271" i="2"/>
  <c r="EL348" i="2" s="1"/>
  <c r="EM33" i="2"/>
  <c r="AA105" i="2"/>
  <c r="AA247" i="2"/>
  <c r="AA258" i="2"/>
  <c r="AA2" i="2"/>
  <c r="AA345" i="2"/>
  <c r="AA322" i="2"/>
  <c r="AB94" i="2"/>
  <c r="AA349" i="2"/>
  <c r="AA344" i="2"/>
  <c r="AA343" i="2"/>
  <c r="AA342" i="2"/>
  <c r="AF192" i="2"/>
  <c r="AD150" i="2"/>
  <c r="AD164" i="2"/>
  <c r="EP132" i="2"/>
  <c r="EP133" i="2" s="1"/>
  <c r="EP131" i="2"/>
  <c r="AE193" i="2"/>
  <c r="AE194" i="2"/>
  <c r="AE195" i="2" s="1"/>
  <c r="Z286" i="2"/>
  <c r="Z285" i="2"/>
  <c r="AE180" i="2"/>
  <c r="AF114" i="2"/>
  <c r="AD194" i="2"/>
  <c r="AD195" i="2" s="1"/>
  <c r="AD193" i="2"/>
  <c r="EP194" i="2"/>
  <c r="EP195" i="2" s="1"/>
  <c r="EP193" i="2"/>
  <c r="Z359" i="2"/>
  <c r="Z355" i="2"/>
  <c r="EN300" i="2"/>
  <c r="EN224" i="2"/>
  <c r="EN86" i="2"/>
  <c r="EN32" i="2"/>
  <c r="EN302" i="2"/>
  <c r="AA356" i="2"/>
  <c r="AE225" i="2"/>
  <c r="AF225" i="2"/>
  <c r="EM294" i="2"/>
  <c r="EM293" i="2"/>
  <c r="EM93" i="2"/>
  <c r="EM34" i="2"/>
  <c r="AF164" i="2"/>
  <c r="AD76" i="2"/>
  <c r="AD180" i="2"/>
  <c r="EP227" i="2"/>
  <c r="AB336" i="2"/>
  <c r="AB278" i="2"/>
  <c r="AB357" i="2" s="1"/>
  <c r="AB276" i="2"/>
  <c r="AB373" i="2" s="1"/>
  <c r="AB274" i="2"/>
  <c r="AB272" i="2"/>
  <c r="AB270" i="2"/>
  <c r="AB268" i="2"/>
  <c r="AB266" i="2"/>
  <c r="AB309" i="2" s="1"/>
  <c r="AB261" i="2"/>
  <c r="AB260" i="2"/>
  <c r="AB259" i="2"/>
  <c r="AB257" i="2"/>
  <c r="AB308" i="2" s="1"/>
  <c r="AB256" i="2"/>
  <c r="AB255" i="2"/>
  <c r="AB254" i="2"/>
  <c r="AB253" i="2"/>
  <c r="AB252" i="2"/>
  <c r="AB251" i="2"/>
  <c r="AB277" i="2"/>
  <c r="AB275" i="2"/>
  <c r="AB273" i="2"/>
  <c r="AB371" i="2" s="1"/>
  <c r="AB271" i="2"/>
  <c r="AB311" i="2" s="1"/>
  <c r="AB267" i="2"/>
  <c r="AB265" i="2"/>
  <c r="AB306" i="2" s="1"/>
  <c r="AB307" i="2" s="1"/>
  <c r="AB171" i="2"/>
  <c r="AB104" i="2"/>
  <c r="AB143" i="2"/>
  <c r="AC4" i="2"/>
  <c r="EO257" i="2"/>
  <c r="EO226" i="2" s="1"/>
  <c r="EO266" i="2"/>
  <c r="EO81" i="2"/>
  <c r="EO29" i="2"/>
  <c r="EO318" i="2"/>
  <c r="EO91" i="2"/>
  <c r="EO92" i="2"/>
  <c r="EO253" i="2"/>
  <c r="EP15" i="2"/>
  <c r="EP25" i="2"/>
  <c r="EP82" i="2"/>
  <c r="AE11" i="2"/>
  <c r="EP84" i="2"/>
  <c r="EP27" i="2"/>
  <c r="EP89" i="2" s="1"/>
  <c r="AE120" i="2"/>
  <c r="AF120" i="2"/>
  <c r="EK355" i="2"/>
  <c r="EK352" i="2"/>
  <c r="Y360" i="2"/>
  <c r="Y361" i="2"/>
  <c r="Y291" i="2"/>
  <c r="Y290" i="2"/>
  <c r="Y288" i="2"/>
  <c r="Y287" i="2"/>
  <c r="EP306" i="2"/>
  <c r="EL350" i="2"/>
  <c r="EL351" i="2" s="1"/>
  <c r="EL295" i="2"/>
  <c r="EL96" i="2"/>
  <c r="AF29" i="2"/>
  <c r="AF318" i="2"/>
  <c r="AF310" i="2"/>
  <c r="AF91" i="2"/>
  <c r="AF92" i="2"/>
  <c r="AE156" i="2"/>
  <c r="AE83" i="2"/>
  <c r="EL209" i="2"/>
  <c r="EL188" i="2" s="1"/>
  <c r="EL207" i="2"/>
  <c r="EL126" i="2" s="1"/>
  <c r="EL210" i="2"/>
  <c r="EL208" i="2"/>
  <c r="EL160" i="2" s="1"/>
  <c r="AA269" i="2"/>
  <c r="AA279" i="2" s="1"/>
  <c r="AA348" i="2"/>
  <c r="AA303" i="2"/>
  <c r="AA300" i="2"/>
  <c r="AA302" i="2"/>
  <c r="AE65" i="2"/>
  <c r="EP88" i="2"/>
  <c r="AF26" i="2"/>
  <c r="AF88" i="2" s="1"/>
  <c r="AE26" i="2"/>
  <c r="AA305" i="2"/>
  <c r="AB304" i="2"/>
  <c r="AA284" i="2"/>
  <c r="AA283" i="2"/>
  <c r="AD29" i="2"/>
  <c r="AF77" i="2"/>
  <c r="EN228" i="2"/>
  <c r="EN269" i="2"/>
  <c r="AA357" i="2"/>
  <c r="Z301" i="2"/>
  <c r="Z299" i="2"/>
  <c r="Z262" i="2"/>
  <c r="Z280" i="2" s="1"/>
  <c r="EE344" i="2"/>
  <c r="EE343" i="2"/>
  <c r="EE342" i="2"/>
  <c r="EE283" i="2"/>
  <c r="EE286" i="2" s="1"/>
  <c r="EE356" i="2"/>
  <c r="EE357" i="2"/>
  <c r="AF130" i="2"/>
  <c r="EE244" i="2" l="1"/>
  <c r="EE246" i="2" s="1"/>
  <c r="EE251" i="2" s="1"/>
  <c r="EE258" i="2" s="1"/>
  <c r="EL359" i="2"/>
  <c r="EL354" i="2"/>
  <c r="AA286" i="2"/>
  <c r="AA285" i="2"/>
  <c r="EL189" i="2"/>
  <c r="EL196" i="2" s="1"/>
  <c r="AF86" i="2"/>
  <c r="AF32" i="2"/>
  <c r="EL355" i="2"/>
  <c r="EL352" i="2"/>
  <c r="EN293" i="2"/>
  <c r="EN294" i="2"/>
  <c r="EN93" i="2"/>
  <c r="Z360" i="2"/>
  <c r="Z361" i="2"/>
  <c r="AF193" i="2"/>
  <c r="AF194" i="2"/>
  <c r="AF195" i="2" s="1"/>
  <c r="AA301" i="2"/>
  <c r="AA299" i="2"/>
  <c r="AA262" i="2"/>
  <c r="AA280" i="2" s="1"/>
  <c r="DN329" i="2"/>
  <c r="DN320" i="2" s="1"/>
  <c r="DN321" i="2"/>
  <c r="DO330" i="2"/>
  <c r="EL161" i="2"/>
  <c r="EL168" i="2" s="1"/>
  <c r="AE227" i="2"/>
  <c r="AF227" i="2"/>
  <c r="AF65" i="2"/>
  <c r="AA97" i="2"/>
  <c r="AD166" i="2"/>
  <c r="AD167" i="2" s="1"/>
  <c r="AD165" i="2"/>
  <c r="AE71" i="2"/>
  <c r="AE82" i="2"/>
  <c r="AE123" i="2"/>
  <c r="AE15" i="2"/>
  <c r="AF82" i="2"/>
  <c r="EO300" i="2"/>
  <c r="EO224" i="2"/>
  <c r="EO86" i="2"/>
  <c r="EO32" i="2"/>
  <c r="EO302" i="2"/>
  <c r="AB105" i="2"/>
  <c r="AB258" i="2"/>
  <c r="AB2" i="2"/>
  <c r="AB345" i="2"/>
  <c r="AB322" i="2"/>
  <c r="AC94" i="2"/>
  <c r="AB349" i="2"/>
  <c r="AB344" i="2"/>
  <c r="AB343" i="2"/>
  <c r="AB342" i="2"/>
  <c r="AF165" i="2"/>
  <c r="AF166" i="2"/>
  <c r="AF167" i="2" s="1"/>
  <c r="EM350" i="2"/>
  <c r="EM351" i="2" s="1"/>
  <c r="EM295" i="2"/>
  <c r="EM96" i="2"/>
  <c r="AE88" i="2"/>
  <c r="AA359" i="2"/>
  <c r="EP87" i="2"/>
  <c r="AE25" i="2"/>
  <c r="AF25" i="2"/>
  <c r="AF87" i="2" s="1"/>
  <c r="EO228" i="2"/>
  <c r="EO269" i="2"/>
  <c r="AC336" i="2"/>
  <c r="AC261" i="2"/>
  <c r="AC260" i="2"/>
  <c r="AC259" i="2"/>
  <c r="AC257" i="2"/>
  <c r="AC308" i="2" s="1"/>
  <c r="AC256" i="2"/>
  <c r="AC255" i="2"/>
  <c r="AC254" i="2"/>
  <c r="AC253" i="2"/>
  <c r="AC252" i="2"/>
  <c r="AC251" i="2"/>
  <c r="AC277" i="2"/>
  <c r="AC275" i="2"/>
  <c r="AC273" i="2"/>
  <c r="AC271" i="2"/>
  <c r="AC311" i="2" s="1"/>
  <c r="AC267" i="2"/>
  <c r="AC265" i="2"/>
  <c r="AC278" i="2"/>
  <c r="AC356" i="2" s="1"/>
  <c r="AC276" i="2"/>
  <c r="AC373" i="2" s="1"/>
  <c r="AC274" i="2"/>
  <c r="AC272" i="2"/>
  <c r="AC270" i="2"/>
  <c r="AC268" i="2"/>
  <c r="AC266" i="2"/>
  <c r="AC309" i="2" s="1"/>
  <c r="AC171" i="2"/>
  <c r="AC104" i="2"/>
  <c r="AC143" i="2"/>
  <c r="AD4" i="2"/>
  <c r="AB269" i="2"/>
  <c r="AB279" i="2" s="1"/>
  <c r="AB348" i="2"/>
  <c r="AB354" i="2" s="1"/>
  <c r="AB303" i="2"/>
  <c r="AB300" i="2"/>
  <c r="AB302" i="2"/>
  <c r="AD77" i="2"/>
  <c r="AA355" i="2"/>
  <c r="AE77" i="2"/>
  <c r="Z291" i="2"/>
  <c r="Z290" i="2"/>
  <c r="Z288" i="2"/>
  <c r="Z287" i="2"/>
  <c r="AD70" i="2"/>
  <c r="AD151" i="2"/>
  <c r="AB356" i="2"/>
  <c r="EM314" i="2"/>
  <c r="EM218" i="2"/>
  <c r="EM260" i="2" s="1"/>
  <c r="EM95" i="2"/>
  <c r="DM320" i="2"/>
  <c r="Y329" i="2"/>
  <c r="AF132" i="2"/>
  <c r="AF133" i="2" s="1"/>
  <c r="AF131" i="2"/>
  <c r="AD86" i="2"/>
  <c r="AD32" i="2"/>
  <c r="EL127" i="2"/>
  <c r="EL134" i="2" s="1"/>
  <c r="AE164" i="2"/>
  <c r="EP257" i="2"/>
  <c r="EP226" i="2" s="1"/>
  <c r="EP266" i="2"/>
  <c r="EP29" i="2"/>
  <c r="EP81" i="2"/>
  <c r="EP318" i="2"/>
  <c r="EP91" i="2"/>
  <c r="EP92" i="2"/>
  <c r="EP253" i="2"/>
  <c r="AB305" i="2"/>
  <c r="AB283" i="2"/>
  <c r="AB284" i="2"/>
  <c r="AA354" i="2"/>
  <c r="EL221" i="2"/>
  <c r="EE2" i="2" l="1"/>
  <c r="EF35" i="2"/>
  <c r="EE247" i="2"/>
  <c r="EE349" i="2"/>
  <c r="EE285" i="2"/>
  <c r="EE291" i="2" s="1"/>
  <c r="EP300" i="2"/>
  <c r="EP224" i="2"/>
  <c r="EP302" i="2"/>
  <c r="Y331" i="2"/>
  <c r="Y332" i="2" s="1"/>
  <c r="Y320" i="2"/>
  <c r="EM345" i="2"/>
  <c r="EM322" i="2"/>
  <c r="EM271" i="2"/>
  <c r="EM348" i="2" s="1"/>
  <c r="EM355" i="2" s="1"/>
  <c r="EN33" i="2"/>
  <c r="AC269" i="2"/>
  <c r="AC279" i="2" s="1"/>
  <c r="AC348" i="2"/>
  <c r="AC354" i="2" s="1"/>
  <c r="AC303" i="2"/>
  <c r="AC300" i="2"/>
  <c r="AC302" i="2"/>
  <c r="AB355" i="2"/>
  <c r="EM352" i="2"/>
  <c r="AD336" i="2"/>
  <c r="AD277" i="2"/>
  <c r="AD273" i="2"/>
  <c r="AD271" i="2"/>
  <c r="AD267" i="2"/>
  <c r="AD265" i="2"/>
  <c r="AD276" i="2"/>
  <c r="AD373" i="2" s="1"/>
  <c r="AD274" i="2"/>
  <c r="AD272" i="2"/>
  <c r="AD270" i="2"/>
  <c r="AD268" i="2"/>
  <c r="AD266" i="2"/>
  <c r="AD309" i="2" s="1"/>
  <c r="AD261" i="2"/>
  <c r="AD260" i="2"/>
  <c r="AD259" i="2"/>
  <c r="AD257" i="2"/>
  <c r="AD308" i="2" s="1"/>
  <c r="AD256" i="2"/>
  <c r="AD255" i="2"/>
  <c r="AD254" i="2"/>
  <c r="AD304" i="2" s="1"/>
  <c r="AD253" i="2"/>
  <c r="AD252" i="2"/>
  <c r="AD143" i="2"/>
  <c r="AD171" i="2"/>
  <c r="AD104" i="2"/>
  <c r="AE4" i="2"/>
  <c r="AC305" i="2"/>
  <c r="AF294" i="2"/>
  <c r="AF293" i="2"/>
  <c r="AF93" i="2"/>
  <c r="AB286" i="2"/>
  <c r="AB285" i="2"/>
  <c r="AC97" i="2"/>
  <c r="EP32" i="2"/>
  <c r="EP86" i="2"/>
  <c r="EM315" i="2"/>
  <c r="EM211" i="2"/>
  <c r="EM317" i="2"/>
  <c r="EM296" i="2" s="1"/>
  <c r="AB359" i="2"/>
  <c r="EP228" i="2"/>
  <c r="EP269" i="2"/>
  <c r="AC306" i="2"/>
  <c r="AC307" i="2" s="1"/>
  <c r="AC284" i="2"/>
  <c r="AC283" i="2"/>
  <c r="AC258" i="2"/>
  <c r="AC247" i="2"/>
  <c r="AC2" i="2"/>
  <c r="AC345" i="2"/>
  <c r="AC322" i="2"/>
  <c r="AD94" i="2"/>
  <c r="AE87" i="2"/>
  <c r="AA361" i="2"/>
  <c r="AA360" i="2"/>
  <c r="AB301" i="2"/>
  <c r="AB299" i="2"/>
  <c r="AB262" i="2"/>
  <c r="AB280" i="2" s="1"/>
  <c r="AE81" i="2"/>
  <c r="AE29" i="2"/>
  <c r="AE91" i="2"/>
  <c r="AE310" i="2"/>
  <c r="AE318" i="2"/>
  <c r="AE92" i="2"/>
  <c r="AF81" i="2"/>
  <c r="EE290" i="2"/>
  <c r="EE287" i="2"/>
  <c r="EE288" i="2"/>
  <c r="AB97" i="2"/>
  <c r="AC304" i="2"/>
  <c r="AE226" i="2"/>
  <c r="AF226" i="2"/>
  <c r="AE166" i="2"/>
  <c r="AE167" i="2" s="1"/>
  <c r="AE165" i="2"/>
  <c r="AD294" i="2"/>
  <c r="AD293" i="2"/>
  <c r="AD93" i="2"/>
  <c r="AD34" i="2"/>
  <c r="AD71" i="2"/>
  <c r="AC105" i="2"/>
  <c r="AC349" i="2"/>
  <c r="AC344" i="2"/>
  <c r="AC342" i="2"/>
  <c r="AC343" i="2"/>
  <c r="AC371" i="2"/>
  <c r="AC357" i="2"/>
  <c r="EO294" i="2"/>
  <c r="EO293" i="2"/>
  <c r="EO93" i="2"/>
  <c r="AE130" i="2"/>
  <c r="DP330" i="2"/>
  <c r="DO321" i="2"/>
  <c r="DO329" i="2"/>
  <c r="DO320" i="2" s="1"/>
  <c r="EF38" i="2"/>
  <c r="EE299" i="2"/>
  <c r="EE301" i="2"/>
  <c r="EE262" i="2"/>
  <c r="EE280" i="2" s="1"/>
  <c r="AA291" i="2"/>
  <c r="AA290" i="2"/>
  <c r="AA288" i="2"/>
  <c r="AA287" i="2"/>
  <c r="EL360" i="2"/>
  <c r="AC355" i="2" l="1"/>
  <c r="EF39" i="2"/>
  <c r="EM209" i="2"/>
  <c r="EM188" i="2" s="1"/>
  <c r="EM207" i="2"/>
  <c r="EM126" i="2" s="1"/>
  <c r="EM210" i="2"/>
  <c r="EM208" i="2"/>
  <c r="EM160" i="2" s="1"/>
  <c r="AD348" i="2"/>
  <c r="AD303" i="2"/>
  <c r="AD300" i="2"/>
  <c r="AD302" i="2"/>
  <c r="EN314" i="2"/>
  <c r="EN218" i="2"/>
  <c r="EN260" i="2" s="1"/>
  <c r="EN95" i="2"/>
  <c r="EN34" i="2"/>
  <c r="AE224" i="2"/>
  <c r="AF224" i="2"/>
  <c r="AE86" i="2"/>
  <c r="AE32" i="2"/>
  <c r="AC301" i="2"/>
  <c r="AC299" i="2"/>
  <c r="AC262" i="2"/>
  <c r="AC280" i="2" s="1"/>
  <c r="AE228" i="2"/>
  <c r="AF228" i="2"/>
  <c r="EP293" i="2"/>
  <c r="EP294" i="2"/>
  <c r="EP93" i="2"/>
  <c r="AD269" i="2"/>
  <c r="EM359" i="2"/>
  <c r="EM354" i="2"/>
  <c r="DP329" i="2"/>
  <c r="DP320" i="2" s="1"/>
  <c r="DP321" i="2"/>
  <c r="DQ330" i="2"/>
  <c r="AC286" i="2"/>
  <c r="AC285" i="2"/>
  <c r="AB291" i="2"/>
  <c r="AB290" i="2"/>
  <c r="AB288" i="2"/>
  <c r="AB287" i="2"/>
  <c r="AD305" i="2"/>
  <c r="AD284" i="2"/>
  <c r="AD311" i="2"/>
  <c r="AD105" i="2"/>
  <c r="AD306" i="2"/>
  <c r="AD307" i="2" s="1"/>
  <c r="AE131" i="2"/>
  <c r="AE132" i="2"/>
  <c r="AE133" i="2" s="1"/>
  <c r="AD350" i="2"/>
  <c r="AD351" i="2" s="1"/>
  <c r="AD295" i="2"/>
  <c r="AD96" i="2"/>
  <c r="AB360" i="2"/>
  <c r="AB361" i="2"/>
  <c r="AE336" i="2"/>
  <c r="AE276" i="2"/>
  <c r="AE373" i="2" s="1"/>
  <c r="AE274" i="2"/>
  <c r="AE272" i="2"/>
  <c r="AE270" i="2"/>
  <c r="AE268" i="2"/>
  <c r="AE266" i="2"/>
  <c r="AE309" i="2" s="1"/>
  <c r="AE261" i="2"/>
  <c r="AE260" i="2"/>
  <c r="AE259" i="2"/>
  <c r="AE257" i="2"/>
  <c r="AE308" i="2" s="1"/>
  <c r="AE256" i="2"/>
  <c r="AE255" i="2"/>
  <c r="AE254" i="2"/>
  <c r="AE253" i="2"/>
  <c r="AE252" i="2"/>
  <c r="AE277" i="2"/>
  <c r="AE273" i="2"/>
  <c r="AE371" i="2" s="1"/>
  <c r="AE271" i="2"/>
  <c r="AE267" i="2"/>
  <c r="AE265" i="2"/>
  <c r="AE171" i="2"/>
  <c r="AE143" i="2"/>
  <c r="AE104" i="2"/>
  <c r="AF4" i="2"/>
  <c r="AD345" i="2"/>
  <c r="AD322" i="2"/>
  <c r="AD371" i="2"/>
  <c r="AC359" i="2"/>
  <c r="AD354" i="2"/>
  <c r="EM221" i="2"/>
  <c r="AE311" i="2" l="1"/>
  <c r="AC360" i="2"/>
  <c r="AC361" i="2"/>
  <c r="EN315" i="2"/>
  <c r="EN211" i="2"/>
  <c r="EN317" i="2"/>
  <c r="EN296" i="2" s="1"/>
  <c r="EM127" i="2"/>
  <c r="EM134" i="2" s="1"/>
  <c r="AE345" i="2"/>
  <c r="EM161" i="2"/>
  <c r="EM168" i="2" s="1"/>
  <c r="AF336" i="2"/>
  <c r="AF276" i="2"/>
  <c r="AF373" i="2" s="1"/>
  <c r="AF274" i="2"/>
  <c r="AF272" i="2"/>
  <c r="AF270" i="2"/>
  <c r="AF268" i="2"/>
  <c r="AF266" i="2"/>
  <c r="AF309" i="2" s="1"/>
  <c r="AF261" i="2"/>
  <c r="AF259" i="2"/>
  <c r="AF257" i="2"/>
  <c r="AF308" i="2" s="1"/>
  <c r="AF256" i="2"/>
  <c r="AF255" i="2"/>
  <c r="AF254" i="2"/>
  <c r="AF305" i="2" s="1"/>
  <c r="AF253" i="2"/>
  <c r="AF252" i="2"/>
  <c r="AF277" i="2"/>
  <c r="AF273" i="2"/>
  <c r="AF371" i="2" s="1"/>
  <c r="AF267" i="2"/>
  <c r="AF265" i="2"/>
  <c r="AF269" i="2" s="1"/>
  <c r="AF171" i="2"/>
  <c r="AF104" i="2"/>
  <c r="AF143" i="2"/>
  <c r="AE269" i="2"/>
  <c r="AE348" i="2"/>
  <c r="AE303" i="2"/>
  <c r="AE300" i="2"/>
  <c r="AE302" i="2"/>
  <c r="AD355" i="2"/>
  <c r="AD352" i="2"/>
  <c r="AD97" i="2"/>
  <c r="EM360" i="2"/>
  <c r="AE105" i="2"/>
  <c r="AE305" i="2"/>
  <c r="AE284" i="2"/>
  <c r="AE304" i="2"/>
  <c r="AC291" i="2"/>
  <c r="AC290" i="2"/>
  <c r="AC288" i="2"/>
  <c r="AC287" i="2"/>
  <c r="AE306" i="2"/>
  <c r="AE307" i="2" s="1"/>
  <c r="AE294" i="2"/>
  <c r="AE293" i="2"/>
  <c r="AE93" i="2"/>
  <c r="EN350" i="2"/>
  <c r="EN351" i="2" s="1"/>
  <c r="EN295" i="2"/>
  <c r="EN96" i="2"/>
  <c r="AD359" i="2"/>
  <c r="AE354" i="2"/>
  <c r="EM189" i="2"/>
  <c r="EM196" i="2" s="1"/>
  <c r="DQ329" i="2"/>
  <c r="DQ321" i="2"/>
  <c r="DR330" i="2"/>
  <c r="Z330" i="2"/>
  <c r="Z321" i="2" s="1"/>
  <c r="EN345" i="2"/>
  <c r="EN322" i="2"/>
  <c r="EN271" i="2"/>
  <c r="EN348" i="2" s="1"/>
  <c r="EO33" i="2"/>
  <c r="EF40" i="2"/>
  <c r="EF42" i="2" s="1"/>
  <c r="AF304" i="2" l="1"/>
  <c r="AF306" i="2"/>
  <c r="AF307" i="2" s="1"/>
  <c r="EO314" i="2"/>
  <c r="EO218" i="2"/>
  <c r="EO260" i="2" s="1"/>
  <c r="EO95" i="2"/>
  <c r="EO34" i="2"/>
  <c r="EN355" i="2"/>
  <c r="EN352" i="2"/>
  <c r="EN359" i="2"/>
  <c r="EN354" i="2"/>
  <c r="DQ320" i="2"/>
  <c r="Z329" i="2"/>
  <c r="AD360" i="2"/>
  <c r="AF303" i="2"/>
  <c r="AF300" i="2"/>
  <c r="AF302" i="2"/>
  <c r="EF340" i="2"/>
  <c r="EF99" i="2"/>
  <c r="EF50" i="2"/>
  <c r="EN221" i="2"/>
  <c r="DR329" i="2"/>
  <c r="DR320" i="2" s="1"/>
  <c r="DR321" i="2"/>
  <c r="DS330" i="2"/>
  <c r="AE97" i="2"/>
  <c r="AE359" i="2"/>
  <c r="AF284" i="2"/>
  <c r="AF105" i="2"/>
  <c r="EN210" i="2"/>
  <c r="EN208" i="2"/>
  <c r="EN160" i="2" s="1"/>
  <c r="EN161" i="2" s="1"/>
  <c r="EN168" i="2" s="1"/>
  <c r="EN209" i="2"/>
  <c r="EN188" i="2" s="1"/>
  <c r="EN189" i="2" s="1"/>
  <c r="EN196" i="2" s="1"/>
  <c r="EN207" i="2"/>
  <c r="EN126" i="2" s="1"/>
  <c r="EN127" i="2" s="1"/>
  <c r="EN134" i="2" s="1"/>
  <c r="EF339" i="2" l="1"/>
  <c r="EF337" i="2"/>
  <c r="EF335" i="2" s="1"/>
  <c r="EF58" i="2" s="1"/>
  <c r="EF215" i="2"/>
  <c r="EF100" i="2"/>
  <c r="Z331" i="2"/>
  <c r="Z332" i="2" s="1"/>
  <c r="Z320" i="2"/>
  <c r="EN360" i="2"/>
  <c r="EO350" i="2"/>
  <c r="EO351" i="2" s="1"/>
  <c r="EO295" i="2"/>
  <c r="EO96" i="2"/>
  <c r="DT330" i="2"/>
  <c r="DS321" i="2"/>
  <c r="DS329" i="2"/>
  <c r="DS320" i="2" s="1"/>
  <c r="EO345" i="2"/>
  <c r="EO322" i="2"/>
  <c r="EO271" i="2"/>
  <c r="EP33" i="2"/>
  <c r="AF260" i="2"/>
  <c r="AF97" i="2"/>
  <c r="EO315" i="2"/>
  <c r="EO211" i="2"/>
  <c r="EO317" i="2"/>
  <c r="EO296" i="2" s="1"/>
  <c r="EF53" i="2" l="1"/>
  <c r="AF345" i="2"/>
  <c r="EF217" i="2"/>
  <c r="EF275" i="2"/>
  <c r="EO221" i="2"/>
  <c r="AF271" i="2"/>
  <c r="AF348" i="2" s="1"/>
  <c r="EO348" i="2"/>
  <c r="DT329" i="2"/>
  <c r="DT320" i="2" s="1"/>
  <c r="DT321" i="2"/>
  <c r="DU330" i="2"/>
  <c r="EO355" i="2"/>
  <c r="EO352" i="2"/>
  <c r="EF54" i="2"/>
  <c r="EF56" i="2" s="1"/>
  <c r="EO210" i="2"/>
  <c r="EO208" i="2"/>
  <c r="EO160" i="2" s="1"/>
  <c r="EO161" i="2" s="1"/>
  <c r="EO168" i="2" s="1"/>
  <c r="EO207" i="2"/>
  <c r="EO126" i="2" s="1"/>
  <c r="EO127" i="2" s="1"/>
  <c r="EO134" i="2" s="1"/>
  <c r="EO209" i="2"/>
  <c r="EO188" i="2" s="1"/>
  <c r="EO189" i="2" s="1"/>
  <c r="EO196" i="2" s="1"/>
  <c r="EP314" i="2"/>
  <c r="EP218" i="2"/>
  <c r="EP95" i="2"/>
  <c r="AE33" i="2"/>
  <c r="AF33" i="2"/>
  <c r="EP34" i="2"/>
  <c r="EF52" i="2"/>
  <c r="EF1" i="2" l="1"/>
  <c r="AF359" i="2"/>
  <c r="AF354" i="2"/>
  <c r="EF231" i="2"/>
  <c r="EP350" i="2"/>
  <c r="EP351" i="2" s="1"/>
  <c r="EP295" i="2"/>
  <c r="EP96" i="2"/>
  <c r="AE218" i="2"/>
  <c r="AF218" i="2"/>
  <c r="EP260" i="2"/>
  <c r="AF314" i="2"/>
  <c r="AF95" i="2"/>
  <c r="AF94" i="2"/>
  <c r="AF34" i="2"/>
  <c r="EP315" i="2"/>
  <c r="EP211" i="2"/>
  <c r="EP317" i="2"/>
  <c r="EP296" i="2" s="1"/>
  <c r="EO359" i="2"/>
  <c r="EO354" i="2"/>
  <c r="EF278" i="2"/>
  <c r="EF279" i="2"/>
  <c r="AE314" i="2"/>
  <c r="AE94" i="2"/>
  <c r="AE95" i="2"/>
  <c r="AE34" i="2"/>
  <c r="DU329" i="2"/>
  <c r="DU321" i="2"/>
  <c r="DV330" i="2"/>
  <c r="AA330" i="2"/>
  <c r="AA321" i="2" s="1"/>
  <c r="AF311" i="2"/>
  <c r="DU320" i="2" l="1"/>
  <c r="AA329" i="2"/>
  <c r="AE315" i="2"/>
  <c r="AE211" i="2"/>
  <c r="AE317" i="2"/>
  <c r="AE296" i="2" s="1"/>
  <c r="AE322" i="2"/>
  <c r="EP209" i="2"/>
  <c r="EP188" i="2" s="1"/>
  <c r="EP207" i="2"/>
  <c r="EP126" i="2" s="1"/>
  <c r="EP210" i="2"/>
  <c r="EP208" i="2"/>
  <c r="EP160" i="2" s="1"/>
  <c r="AE350" i="2"/>
  <c r="AE351" i="2" s="1"/>
  <c r="AE295" i="2"/>
  <c r="AE96" i="2"/>
  <c r="AF315" i="2"/>
  <c r="AF211" i="2"/>
  <c r="AF317" i="2"/>
  <c r="AF296" i="2" s="1"/>
  <c r="AF322" i="2"/>
  <c r="DV329" i="2"/>
  <c r="DV320" i="2" s="1"/>
  <c r="DV321" i="2"/>
  <c r="DW330" i="2"/>
  <c r="EF343" i="2"/>
  <c r="EF342" i="2"/>
  <c r="EF344" i="2"/>
  <c r="EF283" i="2"/>
  <c r="EF286" i="2" s="1"/>
  <c r="EF356" i="2"/>
  <c r="EF357" i="2"/>
  <c r="EO360" i="2"/>
  <c r="AF350" i="2"/>
  <c r="AF351" i="2" s="1"/>
  <c r="AF360" i="2" s="1"/>
  <c r="AF295" i="2"/>
  <c r="AF96" i="2"/>
  <c r="EP345" i="2"/>
  <c r="EP322" i="2"/>
  <c r="EP271" i="2"/>
  <c r="EP348" i="2"/>
  <c r="EF233" i="2"/>
  <c r="EF361" i="2"/>
  <c r="EP352" i="2"/>
  <c r="EF244" i="2" l="1"/>
  <c r="EF246" i="2" s="1"/>
  <c r="EF251" i="2" s="1"/>
  <c r="EF247" i="2" s="1"/>
  <c r="EF258" i="2"/>
  <c r="EF2" i="2"/>
  <c r="EF285" i="2"/>
  <c r="AF352" i="2"/>
  <c r="AF355" i="2"/>
  <c r="AD126" i="2"/>
  <c r="AE126" i="2"/>
  <c r="EP127" i="2"/>
  <c r="EP134" i="2" s="1"/>
  <c r="AF126" i="2"/>
  <c r="EP359" i="2"/>
  <c r="EP354" i="2"/>
  <c r="EF349" i="2"/>
  <c r="AE355" i="2"/>
  <c r="AE352" i="2"/>
  <c r="AE360" i="2"/>
  <c r="AD188" i="2"/>
  <c r="AE188" i="2"/>
  <c r="EP189" i="2"/>
  <c r="EP196" i="2" s="1"/>
  <c r="AF188" i="2"/>
  <c r="EP355" i="2"/>
  <c r="EP221" i="2"/>
  <c r="DX330" i="2"/>
  <c r="DW329" i="2"/>
  <c r="DW320" i="2" s="1"/>
  <c r="DW321" i="2"/>
  <c r="AD160" i="2"/>
  <c r="AE160" i="2"/>
  <c r="EP161" i="2"/>
  <c r="EP168" i="2" s="1"/>
  <c r="AF160" i="2"/>
  <c r="AA331" i="2"/>
  <c r="AA332" i="2" s="1"/>
  <c r="AA320" i="2"/>
  <c r="EG35" i="2" l="1"/>
  <c r="AD209" i="2"/>
  <c r="AD189" i="2"/>
  <c r="AD196" i="2" s="1"/>
  <c r="AF207" i="2"/>
  <c r="AF127" i="2"/>
  <c r="AF134" i="2" s="1"/>
  <c r="AE208" i="2"/>
  <c r="AE161" i="2"/>
  <c r="AE168" i="2" s="1"/>
  <c r="DX329" i="2"/>
  <c r="DX320" i="2" s="1"/>
  <c r="DX321" i="2"/>
  <c r="DY330" i="2"/>
  <c r="AF209" i="2"/>
  <c r="AF189" i="2"/>
  <c r="AF196" i="2" s="1"/>
  <c r="EF299" i="2"/>
  <c r="EF301" i="2"/>
  <c r="EF262" i="2"/>
  <c r="EF280" i="2" s="1"/>
  <c r="AD208" i="2"/>
  <c r="AD161" i="2"/>
  <c r="AD168" i="2" s="1"/>
  <c r="EP360" i="2"/>
  <c r="AE207" i="2"/>
  <c r="AE127" i="2"/>
  <c r="AE134" i="2" s="1"/>
  <c r="EG38" i="2"/>
  <c r="AD35" i="2"/>
  <c r="AD38" i="2" s="1"/>
  <c r="AF208" i="2"/>
  <c r="AF161" i="2"/>
  <c r="AF168" i="2" s="1"/>
  <c r="AE221" i="2"/>
  <c r="AF221" i="2"/>
  <c r="AE209" i="2"/>
  <c r="AE189" i="2"/>
  <c r="AE196" i="2" s="1"/>
  <c r="AD207" i="2"/>
  <c r="AD210" i="2" s="1"/>
  <c r="AD127" i="2"/>
  <c r="AD134" i="2" s="1"/>
  <c r="EF291" i="2"/>
  <c r="EF288" i="2"/>
  <c r="EF290" i="2"/>
  <c r="EF287" i="2"/>
  <c r="AE210" i="2" l="1"/>
  <c r="AF210" i="2"/>
  <c r="EG39" i="2"/>
  <c r="EG40" i="2" s="1"/>
  <c r="EG42" i="2" s="1"/>
  <c r="DY329" i="2"/>
  <c r="DY321" i="2"/>
  <c r="DZ330" i="2"/>
  <c r="AB330" i="2"/>
  <c r="AB321" i="2" s="1"/>
  <c r="EG340" i="2" l="1"/>
  <c r="EG99" i="2"/>
  <c r="EG50" i="2"/>
  <c r="DZ329" i="2"/>
  <c r="DZ320" i="2" s="1"/>
  <c r="DZ321" i="2"/>
  <c r="EA330" i="2"/>
  <c r="DY320" i="2"/>
  <c r="AB329" i="2"/>
  <c r="EG337" i="2" l="1"/>
  <c r="EG335" i="2" s="1"/>
  <c r="EG58" i="2" s="1"/>
  <c r="EG54" i="2" s="1"/>
  <c r="EG56" i="2" s="1"/>
  <c r="EG339" i="2"/>
  <c r="EG215" i="2"/>
  <c r="EG53" i="2"/>
  <c r="EG100" i="2"/>
  <c r="AB331" i="2"/>
  <c r="AB332" i="2" s="1"/>
  <c r="AB320" i="2"/>
  <c r="EB330" i="2"/>
  <c r="EA321" i="2"/>
  <c r="EA329" i="2"/>
  <c r="EA320" i="2" s="1"/>
  <c r="EG217" i="2" l="1"/>
  <c r="EG231" i="2" s="1"/>
  <c r="EG275" i="2"/>
  <c r="EB329" i="2"/>
  <c r="EB320" i="2" s="1"/>
  <c r="EB321" i="2"/>
  <c r="EC330" i="2"/>
  <c r="AD100" i="2"/>
  <c r="EG52" i="2"/>
  <c r="EG1" i="2" l="1"/>
  <c r="EC329" i="2"/>
  <c r="EC321" i="2"/>
  <c r="ED330" i="2"/>
  <c r="AC330" i="2"/>
  <c r="AC321" i="2" s="1"/>
  <c r="EG278" i="2"/>
  <c r="EG279" i="2"/>
  <c r="AD275" i="2"/>
  <c r="AD279" i="2" s="1"/>
  <c r="EG233" i="2"/>
  <c r="EG361" i="2"/>
  <c r="EG244" i="2" l="1"/>
  <c r="EG246" i="2" s="1"/>
  <c r="EG251" i="2" s="1"/>
  <c r="ED329" i="2"/>
  <c r="ED321" i="2"/>
  <c r="EE330" i="2"/>
  <c r="EG349" i="2"/>
  <c r="EG342" i="2"/>
  <c r="EG343" i="2"/>
  <c r="EG344" i="2"/>
  <c r="EG283" i="2"/>
  <c r="EG286" i="2" s="1"/>
  <c r="AD278" i="2"/>
  <c r="EG356" i="2"/>
  <c r="EG357" i="2"/>
  <c r="EG258" i="2"/>
  <c r="EG247" i="2"/>
  <c r="EG2" i="2"/>
  <c r="EG285" i="2"/>
  <c r="AD251" i="2"/>
  <c r="EH35" i="2"/>
  <c r="EC320" i="2"/>
  <c r="AC329" i="2"/>
  <c r="EH38" i="2" l="1"/>
  <c r="AD258" i="2"/>
  <c r="AD2" i="2"/>
  <c r="AD285" i="2"/>
  <c r="EG301" i="2"/>
  <c r="EG299" i="2"/>
  <c r="EG262" i="2"/>
  <c r="EG280" i="2" s="1"/>
  <c r="AD349" i="2"/>
  <c r="AD342" i="2"/>
  <c r="AD344" i="2"/>
  <c r="AD343" i="2"/>
  <c r="AD283" i="2"/>
  <c r="AD286" i="2" s="1"/>
  <c r="ED320" i="2"/>
  <c r="EE329" i="2"/>
  <c r="AC331" i="2"/>
  <c r="AC332" i="2" s="1"/>
  <c r="AC320" i="2"/>
  <c r="EG291" i="2"/>
  <c r="EG288" i="2"/>
  <c r="EG290" i="2"/>
  <c r="EG287" i="2"/>
  <c r="EF330" i="2"/>
  <c r="EE321" i="2"/>
  <c r="EF321" i="2" l="1"/>
  <c r="EG330" i="2"/>
  <c r="AD299" i="2"/>
  <c r="AD301" i="2"/>
  <c r="AD262" i="2"/>
  <c r="AD280" i="2" s="1"/>
  <c r="AD291" i="2"/>
  <c r="AD290" i="2"/>
  <c r="AD288" i="2"/>
  <c r="AD287" i="2"/>
  <c r="EH39" i="2"/>
  <c r="EH40" i="2" s="1"/>
  <c r="EH42" i="2" s="1"/>
  <c r="EE320" i="2"/>
  <c r="EF329" i="2"/>
  <c r="EE331" i="2"/>
  <c r="EE332" i="2" s="1"/>
  <c r="EH340" i="2" l="1"/>
  <c r="EH99" i="2"/>
  <c r="EH50" i="2"/>
  <c r="EF320" i="2"/>
  <c r="EG329" i="2"/>
  <c r="EF331" i="2"/>
  <c r="EF332" i="2" s="1"/>
  <c r="EG321" i="2"/>
  <c r="EH330" i="2"/>
  <c r="AD330" i="2"/>
  <c r="AD321" i="2" s="1"/>
  <c r="EH329" i="2" l="1"/>
  <c r="EG331" i="2"/>
  <c r="EG332" i="2" s="1"/>
  <c r="EG320" i="2"/>
  <c r="AD329" i="2"/>
  <c r="EH321" i="2"/>
  <c r="EI330" i="2"/>
  <c r="EH339" i="2"/>
  <c r="EH337" i="2"/>
  <c r="EH335" i="2" s="1"/>
  <c r="EH58" i="2" s="1"/>
  <c r="EH215" i="2"/>
  <c r="EH100" i="2"/>
  <c r="AD331" i="2" l="1"/>
  <c r="AD332" i="2" s="1"/>
  <c r="AD320" i="2"/>
  <c r="EH52" i="2"/>
  <c r="EH53" i="2"/>
  <c r="EH217" i="2"/>
  <c r="EH275" i="2"/>
  <c r="EJ330" i="2"/>
  <c r="EI321" i="2"/>
  <c r="EH54" i="2"/>
  <c r="EH56" i="2" s="1"/>
  <c r="EH331" i="2"/>
  <c r="EH332" i="2" s="1"/>
  <c r="EH320" i="2"/>
  <c r="EI329" i="2"/>
  <c r="EH1" i="2" l="1"/>
  <c r="EH231" i="2"/>
  <c r="EI320" i="2"/>
  <c r="EJ329" i="2"/>
  <c r="EI331" i="2"/>
  <c r="EI332" i="2" s="1"/>
  <c r="EJ321" i="2"/>
  <c r="EK330" i="2"/>
  <c r="EH278" i="2"/>
  <c r="EH279" i="2"/>
  <c r="EJ320" i="2" l="1"/>
  <c r="EK329" i="2"/>
  <c r="EJ331" i="2"/>
  <c r="EJ332" i="2" s="1"/>
  <c r="EK321" i="2"/>
  <c r="EL330" i="2"/>
  <c r="AE330" i="2"/>
  <c r="AE321" i="2" s="1"/>
  <c r="EH344" i="2"/>
  <c r="EH342" i="2"/>
  <c r="EH343" i="2"/>
  <c r="EH283" i="2"/>
  <c r="EH286" i="2" s="1"/>
  <c r="EH356" i="2"/>
  <c r="EH357" i="2"/>
  <c r="EH233" i="2"/>
  <c r="EH361" i="2"/>
  <c r="EH244" i="2" l="1"/>
  <c r="EH246" i="2" s="1"/>
  <c r="EH251" i="2" s="1"/>
  <c r="EH349" i="2" s="1"/>
  <c r="EH247" i="2"/>
  <c r="EH2" i="2"/>
  <c r="EH285" i="2"/>
  <c r="EI35" i="2"/>
  <c r="EL321" i="2"/>
  <c r="EM330" i="2"/>
  <c r="EL329" i="2"/>
  <c r="EK331" i="2"/>
  <c r="EK332" i="2" s="1"/>
  <c r="EK320" i="2"/>
  <c r="AE329" i="2"/>
  <c r="EH258" i="2" l="1"/>
  <c r="EN330" i="2"/>
  <c r="EM321" i="2"/>
  <c r="AE320" i="2"/>
  <c r="AE331" i="2"/>
  <c r="AE332" i="2" s="1"/>
  <c r="EI38" i="2"/>
  <c r="EH301" i="2"/>
  <c r="EH299" i="2"/>
  <c r="EH262" i="2"/>
  <c r="EH280" i="2" s="1"/>
  <c r="EL331" i="2"/>
  <c r="EL332" i="2" s="1"/>
  <c r="EL320" i="2"/>
  <c r="EM329" i="2"/>
  <c r="EH290" i="2"/>
  <c r="EH287" i="2"/>
  <c r="EH291" i="2"/>
  <c r="EH288" i="2"/>
  <c r="EI39" i="2" l="1"/>
  <c r="EM320" i="2"/>
  <c r="EN329" i="2"/>
  <c r="EM331" i="2"/>
  <c r="EM332" i="2" s="1"/>
  <c r="EN321" i="2"/>
  <c r="EO330" i="2"/>
  <c r="EN320" i="2" l="1"/>
  <c r="EO329" i="2"/>
  <c r="EN331" i="2"/>
  <c r="EN332" i="2" s="1"/>
  <c r="EO321" i="2"/>
  <c r="EP330" i="2"/>
  <c r="EP321" i="2" s="1"/>
  <c r="AF330" i="2"/>
  <c r="AF321" i="2" s="1"/>
  <c r="EI40" i="2"/>
  <c r="EI42" i="2" s="1"/>
  <c r="EI340" i="2" l="1"/>
  <c r="EI99" i="2"/>
  <c r="EI50" i="2"/>
  <c r="EP329" i="2"/>
  <c r="EO331" i="2"/>
  <c r="EO332" i="2" s="1"/>
  <c r="EO320" i="2"/>
  <c r="AF329" i="2"/>
  <c r="EP331" i="2" l="1"/>
  <c r="EP332" i="2" s="1"/>
  <c r="EP320" i="2"/>
  <c r="AF331" i="2"/>
  <c r="AF332" i="2" s="1"/>
  <c r="AF320" i="2"/>
  <c r="EI337" i="2"/>
  <c r="EI335" i="2" s="1"/>
  <c r="EI58" i="2" s="1"/>
  <c r="EI339" i="2"/>
  <c r="EI215" i="2"/>
  <c r="EI100" i="2"/>
  <c r="EI217" i="2" l="1"/>
  <c r="EI275" i="2"/>
  <c r="EI54" i="2"/>
  <c r="EI56" i="2" s="1"/>
  <c r="EI52" i="2"/>
  <c r="EI53" i="2"/>
  <c r="EI1" i="2" l="1"/>
  <c r="EI278" i="2"/>
  <c r="EI279" i="2"/>
  <c r="EI231" i="2"/>
  <c r="EI233" i="2" l="1"/>
  <c r="EI361" i="2"/>
  <c r="EI344" i="2"/>
  <c r="EI343" i="2"/>
  <c r="EI342" i="2"/>
  <c r="EI283" i="2"/>
  <c r="EI286" i="2" s="1"/>
  <c r="EI356" i="2"/>
  <c r="EI357" i="2"/>
  <c r="EI244" i="2" l="1"/>
  <c r="EI246" i="2" s="1"/>
  <c r="EI251" i="2" s="1"/>
  <c r="EI349" i="2" s="1"/>
  <c r="EI258" i="2"/>
  <c r="EI285" i="2"/>
  <c r="EJ35" i="2"/>
  <c r="EI2" i="2" l="1"/>
  <c r="EI247" i="2"/>
  <c r="EJ38" i="2"/>
  <c r="EI290" i="2"/>
  <c r="EI287" i="2"/>
  <c r="EI291" i="2"/>
  <c r="EI288" i="2"/>
  <c r="EI299" i="2"/>
  <c r="EI301" i="2"/>
  <c r="EI262" i="2"/>
  <c r="EI280" i="2" s="1"/>
  <c r="EJ39" i="2" l="1"/>
  <c r="EJ40" i="2" s="1"/>
  <c r="EJ42" i="2" s="1"/>
  <c r="EJ340" i="2" l="1"/>
  <c r="EJ99" i="2"/>
  <c r="EJ50" i="2"/>
  <c r="EJ339" i="2" l="1"/>
  <c r="EJ337" i="2"/>
  <c r="EJ335" i="2" s="1"/>
  <c r="EJ58" i="2" s="1"/>
  <c r="EJ54" i="2" s="1"/>
  <c r="EJ56" i="2" s="1"/>
  <c r="EJ215" i="2"/>
  <c r="EJ100" i="2"/>
  <c r="EJ52" i="2" l="1"/>
  <c r="EJ217" i="2"/>
  <c r="EJ275" i="2"/>
  <c r="EJ53" i="2"/>
  <c r="EJ1" i="2" l="1"/>
  <c r="EJ278" i="2"/>
  <c r="EJ279" i="2"/>
  <c r="EJ231" i="2"/>
  <c r="EJ233" i="2" l="1"/>
  <c r="EJ361" i="2"/>
  <c r="EJ343" i="2"/>
  <c r="EJ342" i="2"/>
  <c r="EJ344" i="2"/>
  <c r="EJ283" i="2"/>
  <c r="EJ286" i="2" s="1"/>
  <c r="EJ356" i="2"/>
  <c r="EJ357" i="2"/>
  <c r="EJ244" i="2" l="1"/>
  <c r="EJ246" i="2" s="1"/>
  <c r="EJ251" i="2" s="1"/>
  <c r="EJ349" i="2" s="1"/>
  <c r="EJ247" i="2"/>
  <c r="EK35" i="2"/>
  <c r="EJ285" i="2" l="1"/>
  <c r="EJ290" i="2" s="1"/>
  <c r="EJ2" i="2"/>
  <c r="EJ258" i="2"/>
  <c r="EJ291" i="2"/>
  <c r="EJ288" i="2"/>
  <c r="EJ299" i="2"/>
  <c r="EJ301" i="2"/>
  <c r="EJ262" i="2"/>
  <c r="EJ280" i="2" s="1"/>
  <c r="EK38" i="2"/>
  <c r="EJ287" i="2" l="1"/>
  <c r="EK39" i="2"/>
  <c r="EK40" i="2" s="1"/>
  <c r="EK42" i="2" s="1"/>
  <c r="EK340" i="2" l="1"/>
  <c r="EK99" i="2"/>
  <c r="EK50" i="2"/>
  <c r="EK339" i="2" l="1"/>
  <c r="EK337" i="2"/>
  <c r="EK335" i="2" s="1"/>
  <c r="EK58" i="2" s="1"/>
  <c r="EK54" i="2" s="1"/>
  <c r="EK56" i="2" s="1"/>
  <c r="EK215" i="2"/>
  <c r="EK100" i="2"/>
  <c r="EK53" i="2" s="1"/>
  <c r="EK217" i="2" l="1"/>
  <c r="EK231" i="2" s="1"/>
  <c r="EK275" i="2"/>
  <c r="EK52" i="2"/>
  <c r="EK1" i="2" l="1"/>
  <c r="EK233" i="2"/>
  <c r="EK361" i="2"/>
  <c r="EK278" i="2"/>
  <c r="EK279" i="2"/>
  <c r="AE275" i="2"/>
  <c r="AE279" i="2" s="1"/>
  <c r="EK244" i="2" l="1"/>
  <c r="EK246" i="2" s="1"/>
  <c r="EK251" i="2" s="1"/>
  <c r="EK258" i="2" s="1"/>
  <c r="EK342" i="2"/>
  <c r="EK343" i="2"/>
  <c r="EK349" i="2"/>
  <c r="EK344" i="2"/>
  <c r="EK283" i="2"/>
  <c r="EK286" i="2" s="1"/>
  <c r="AE278" i="2"/>
  <c r="EK356" i="2"/>
  <c r="EK357" i="2"/>
  <c r="EK247" i="2"/>
  <c r="EK2" i="2"/>
  <c r="EK285" i="2"/>
  <c r="AE251" i="2"/>
  <c r="EL35" i="2"/>
  <c r="AE258" i="2" l="1"/>
  <c r="AE2" i="2"/>
  <c r="AE285" i="2"/>
  <c r="EK301" i="2"/>
  <c r="EK299" i="2"/>
  <c r="EK262" i="2"/>
  <c r="EK280" i="2" s="1"/>
  <c r="EK291" i="2"/>
  <c r="EK288" i="2"/>
  <c r="EK290" i="2"/>
  <c r="EK287" i="2"/>
  <c r="AE349" i="2"/>
  <c r="AE344" i="2"/>
  <c r="AE343" i="2"/>
  <c r="AE342" i="2"/>
  <c r="AE283" i="2"/>
  <c r="AE286" i="2" s="1"/>
  <c r="EL38" i="2"/>
  <c r="AE291" i="2" l="1"/>
  <c r="AE290" i="2"/>
  <c r="AE288" i="2"/>
  <c r="AE287" i="2"/>
  <c r="EL39" i="2"/>
  <c r="AE301" i="2"/>
  <c r="AE299" i="2"/>
  <c r="AE262" i="2"/>
  <c r="AE280" i="2" s="1"/>
  <c r="EL40" i="2" l="1"/>
  <c r="EL42" i="2" s="1"/>
  <c r="EL340" i="2" l="1"/>
  <c r="EL99" i="2"/>
  <c r="EL50" i="2"/>
  <c r="EL339" i="2" l="1"/>
  <c r="EL337" i="2"/>
  <c r="EL335" i="2" s="1"/>
  <c r="EL58" i="2" s="1"/>
  <c r="EL215" i="2"/>
  <c r="EL100" i="2"/>
  <c r="EL54" i="2" l="1"/>
  <c r="EL56" i="2" s="1"/>
  <c r="EL52" i="2"/>
  <c r="EL217" i="2"/>
  <c r="EL275" i="2"/>
  <c r="EL53" i="2"/>
  <c r="EL1" i="2" l="1"/>
  <c r="EL278" i="2"/>
  <c r="EL279" i="2"/>
  <c r="EL231" i="2"/>
  <c r="EL233" i="2" l="1"/>
  <c r="EL361" i="2"/>
  <c r="EL344" i="2"/>
  <c r="EL342" i="2"/>
  <c r="EL343" i="2"/>
  <c r="EL283" i="2"/>
  <c r="EL286" i="2" s="1"/>
  <c r="EL356" i="2"/>
  <c r="EL357" i="2"/>
  <c r="EL244" i="2" l="1"/>
  <c r="EL246" i="2" s="1"/>
  <c r="EL251" i="2" s="1"/>
  <c r="EL349" i="2" s="1"/>
  <c r="EL285" i="2" l="1"/>
  <c r="EL290" i="2" s="1"/>
  <c r="EL2" i="2"/>
  <c r="EL247" i="2"/>
  <c r="EM35" i="2"/>
  <c r="EM38" i="2" s="1"/>
  <c r="EL258" i="2"/>
  <c r="EL301" i="2" s="1"/>
  <c r="EL288" i="2" l="1"/>
  <c r="EL262" i="2"/>
  <c r="EL280" i="2" s="1"/>
  <c r="EL299" i="2"/>
  <c r="EL287" i="2"/>
  <c r="EL291" i="2"/>
  <c r="EM39" i="2"/>
  <c r="EM40" i="2" s="1"/>
  <c r="EM42" i="2" s="1"/>
  <c r="EM340" i="2" l="1"/>
  <c r="EM99" i="2"/>
  <c r="EM50" i="2"/>
  <c r="EM337" i="2" l="1"/>
  <c r="EM335" i="2" s="1"/>
  <c r="EM58" i="2" s="1"/>
  <c r="EM54" i="2" s="1"/>
  <c r="EM56" i="2" s="1"/>
  <c r="EM339" i="2"/>
  <c r="EM215" i="2"/>
  <c r="EM100" i="2"/>
  <c r="EM217" i="2" l="1"/>
  <c r="EM275" i="2"/>
  <c r="EM52" i="2"/>
  <c r="EM1" i="2" s="1"/>
  <c r="EM53" i="2"/>
  <c r="EM278" i="2" l="1"/>
  <c r="EM279" i="2"/>
  <c r="EM231" i="2"/>
  <c r="EM233" i="2" l="1"/>
  <c r="EM244" i="2" s="1"/>
  <c r="EM246" i="2" s="1"/>
  <c r="EM251" i="2" s="1"/>
  <c r="EM349" i="2" s="1"/>
  <c r="EM361" i="2"/>
  <c r="EM344" i="2"/>
  <c r="EM343" i="2"/>
  <c r="EM342" i="2"/>
  <c r="EM283" i="2"/>
  <c r="EM286" i="2" s="1"/>
  <c r="EM356" i="2"/>
  <c r="EM357" i="2"/>
  <c r="EM258" i="2" l="1"/>
  <c r="EM247" i="2"/>
  <c r="EM2" i="2"/>
  <c r="EM285" i="2"/>
  <c r="EN35" i="2"/>
  <c r="EN38" i="2" l="1"/>
  <c r="EM290" i="2"/>
  <c r="EM287" i="2"/>
  <c r="EM291" i="2"/>
  <c r="EM288" i="2"/>
  <c r="EM299" i="2"/>
  <c r="EM301" i="2"/>
  <c r="EM262" i="2"/>
  <c r="EM280" i="2" s="1"/>
  <c r="EN39" i="2" l="1"/>
  <c r="EN40" i="2" s="1"/>
  <c r="EN42" i="2" s="1"/>
  <c r="EN340" i="2" l="1"/>
  <c r="EN99" i="2"/>
  <c r="EN50" i="2"/>
  <c r="EN339" i="2" l="1"/>
  <c r="EN337" i="2"/>
  <c r="EN335" i="2" s="1"/>
  <c r="EN58" i="2" s="1"/>
  <c r="EN54" i="2" s="1"/>
  <c r="EN56" i="2" s="1"/>
  <c r="EN215" i="2"/>
  <c r="EN100" i="2"/>
  <c r="EN53" i="2" s="1"/>
  <c r="EN217" i="2" l="1"/>
  <c r="EN231" i="2" s="1"/>
  <c r="EN275" i="2"/>
  <c r="EN52" i="2"/>
  <c r="EN1" i="2" s="1"/>
  <c r="EN278" i="2" l="1"/>
  <c r="EN279" i="2"/>
  <c r="EN233" i="2"/>
  <c r="EN244" i="2" s="1"/>
  <c r="EN246" i="2" s="1"/>
  <c r="EN251" i="2" s="1"/>
  <c r="EN361" i="2"/>
  <c r="EN247" i="2" l="1"/>
  <c r="EN258" i="2"/>
  <c r="EN2" i="2"/>
  <c r="EN285" i="2"/>
  <c r="EO35" i="2"/>
  <c r="EN349" i="2"/>
  <c r="EN343" i="2"/>
  <c r="EN342" i="2"/>
  <c r="EN344" i="2"/>
  <c r="EN283" i="2"/>
  <c r="EN286" i="2" s="1"/>
  <c r="EN356" i="2"/>
  <c r="EN357" i="2"/>
  <c r="EN299" i="2" l="1"/>
  <c r="EN301" i="2"/>
  <c r="EN262" i="2"/>
  <c r="EN280" i="2" s="1"/>
  <c r="EO38" i="2"/>
  <c r="EN291" i="2"/>
  <c r="EN288" i="2"/>
  <c r="EN290" i="2"/>
  <c r="EN287" i="2"/>
  <c r="EO39" i="2" l="1"/>
  <c r="EO40" i="2" s="1"/>
  <c r="EO42" i="2" s="1"/>
  <c r="EO340" i="2" l="1"/>
  <c r="EO99" i="2"/>
  <c r="EO50" i="2"/>
  <c r="EO339" i="2" l="1"/>
  <c r="EO337" i="2"/>
  <c r="EO335" i="2" s="1"/>
  <c r="EO58" i="2" s="1"/>
  <c r="EO54" i="2" s="1"/>
  <c r="EO56" i="2" s="1"/>
  <c r="EO215" i="2"/>
  <c r="EO100" i="2"/>
  <c r="EO52" i="2" l="1"/>
  <c r="EO1" i="2" s="1"/>
  <c r="EO217" i="2"/>
  <c r="EO231" i="2" s="1"/>
  <c r="EO275" i="2"/>
  <c r="EO53" i="2"/>
  <c r="EO233" i="2" l="1"/>
  <c r="EO244" i="2" s="1"/>
  <c r="EO246" i="2" s="1"/>
  <c r="EO251" i="2" s="1"/>
  <c r="EO361" i="2"/>
  <c r="EO278" i="2"/>
  <c r="AF275" i="2"/>
  <c r="AF279" i="2" s="1"/>
  <c r="EO279" i="2"/>
  <c r="EO349" i="2" l="1"/>
  <c r="EO342" i="2"/>
  <c r="EO343" i="2"/>
  <c r="EO344" i="2"/>
  <c r="EO283" i="2"/>
  <c r="EO286" i="2" s="1"/>
  <c r="AF278" i="2"/>
  <c r="EO356" i="2"/>
  <c r="EO357" i="2"/>
  <c r="EO258" i="2"/>
  <c r="EO247" i="2"/>
  <c r="EO2" i="2"/>
  <c r="EO285" i="2"/>
  <c r="AF251" i="2"/>
  <c r="EP35" i="2"/>
  <c r="EO301" i="2" l="1"/>
  <c r="EO299" i="2"/>
  <c r="EO262" i="2"/>
  <c r="EO280" i="2" s="1"/>
  <c r="EO291" i="2"/>
  <c r="EO288" i="2"/>
  <c r="EO290" i="2"/>
  <c r="EO287" i="2"/>
  <c r="AF258" i="2"/>
  <c r="AF285" i="2"/>
  <c r="AF349" i="2"/>
  <c r="AF344" i="2"/>
  <c r="AF343" i="2"/>
  <c r="AF342" i="2"/>
  <c r="AF283" i="2"/>
  <c r="AF286" i="2" s="1"/>
  <c r="EP38" i="2"/>
  <c r="AE35" i="2"/>
  <c r="AE38" i="2" s="1"/>
  <c r="AF35" i="2"/>
  <c r="AF38" i="2" s="1"/>
  <c r="EP39" i="2" l="1"/>
  <c r="AF301" i="2"/>
  <c r="AF299" i="2"/>
  <c r="AF262" i="2"/>
  <c r="AF280" i="2" s="1"/>
  <c r="AF291" i="2"/>
  <c r="AF290" i="2"/>
  <c r="AF288" i="2"/>
  <c r="AF287" i="2"/>
  <c r="AD39" i="2" l="1"/>
  <c r="AE39" i="2"/>
  <c r="AF39" i="2"/>
  <c r="EP40" i="2"/>
  <c r="EP42" i="2" s="1"/>
  <c r="EP340" i="2" l="1"/>
  <c r="EP99" i="2"/>
  <c r="EP50" i="2"/>
  <c r="AF98" i="2"/>
  <c r="AF40" i="2"/>
  <c r="AF42" i="2" s="1"/>
  <c r="AE98" i="2"/>
  <c r="AE40" i="2"/>
  <c r="AE42" i="2" s="1"/>
  <c r="AD98" i="2"/>
  <c r="AD40" i="2"/>
  <c r="AD42" i="2" s="1"/>
  <c r="AD356" i="2" l="1"/>
  <c r="AD340" i="2"/>
  <c r="AD99" i="2"/>
  <c r="AD50" i="2"/>
  <c r="AE356" i="2"/>
  <c r="AE340" i="2"/>
  <c r="AE99" i="2"/>
  <c r="AE50" i="2"/>
  <c r="EP339" i="2"/>
  <c r="EP337" i="2"/>
  <c r="EP335" i="2" s="1"/>
  <c r="EP58" i="2" s="1"/>
  <c r="EP215" i="2"/>
  <c r="EP100" i="2"/>
  <c r="AF356" i="2"/>
  <c r="AF340" i="2"/>
  <c r="AF99" i="2"/>
  <c r="AF50" i="2"/>
  <c r="AD357" i="2" l="1"/>
  <c r="AD339" i="2"/>
  <c r="AD58" i="2"/>
  <c r="AE58" i="2"/>
  <c r="AF58" i="2"/>
  <c r="EP54" i="2"/>
  <c r="EP56" i="2" s="1"/>
  <c r="EP217" i="2"/>
  <c r="AD215" i="2"/>
  <c r="AE215" i="2"/>
  <c r="AF215" i="2"/>
  <c r="EP275" i="2"/>
  <c r="AF357" i="2"/>
  <c r="AF339" i="2"/>
  <c r="AE100" i="2"/>
  <c r="AF100" i="2"/>
  <c r="AF52" i="2" s="1"/>
  <c r="EP52" i="2"/>
  <c r="EP1" i="2" s="1"/>
  <c r="AE357" i="2"/>
  <c r="AE339" i="2"/>
  <c r="EP53" i="2"/>
  <c r="AF1" i="2" l="1"/>
  <c r="AE52" i="2"/>
  <c r="AE1" i="2"/>
  <c r="EP278" i="2"/>
  <c r="EP279" i="2"/>
  <c r="EP231" i="2"/>
  <c r="AD217" i="2"/>
  <c r="AD231" i="2" s="1"/>
  <c r="AE217" i="2"/>
  <c r="AE231" i="2" s="1"/>
  <c r="AF217" i="2"/>
  <c r="AF231" i="2" s="1"/>
  <c r="AD335" i="2"/>
  <c r="AD337" i="2" s="1"/>
  <c r="AD54" i="2"/>
  <c r="AD56" i="2" s="1"/>
  <c r="AD52" i="2"/>
  <c r="AF53" i="2"/>
  <c r="AD53" i="2"/>
  <c r="AE53" i="2"/>
  <c r="AF335" i="2"/>
  <c r="AF337" i="2" s="1"/>
  <c r="AF54" i="2"/>
  <c r="AF56" i="2" s="1"/>
  <c r="AE335" i="2"/>
  <c r="AE337" i="2" s="1"/>
  <c r="AE54" i="2"/>
  <c r="AE56" i="2" s="1"/>
  <c r="AE233" i="2" l="1"/>
  <c r="AE361" i="2"/>
  <c r="EP344" i="2"/>
  <c r="EP342" i="2"/>
  <c r="EP343" i="2"/>
  <c r="EP283" i="2"/>
  <c r="EP286" i="2" s="1"/>
  <c r="EP356" i="2"/>
  <c r="EP357" i="2"/>
  <c r="AD233" i="2"/>
  <c r="AD361" i="2"/>
  <c r="AF233" i="2"/>
  <c r="AF361" i="2"/>
  <c r="AD1" i="2"/>
  <c r="EP233" i="2"/>
  <c r="EP244" i="2" s="1"/>
  <c r="EP246" i="2" s="1"/>
  <c r="EP251" i="2" s="1"/>
  <c r="EP361" i="2"/>
  <c r="AF244" i="2" l="1"/>
  <c r="AF246" i="2" s="1"/>
  <c r="AF247" i="2" s="1"/>
  <c r="AD244" i="2"/>
  <c r="AD246" i="2" s="1"/>
  <c r="AD247" i="2" s="1"/>
  <c r="AE244" i="2"/>
  <c r="AE246" i="2" s="1"/>
  <c r="AE247" i="2" s="1"/>
  <c r="EP258" i="2"/>
  <c r="EP247" i="2"/>
  <c r="EP2" i="2"/>
  <c r="EP285" i="2"/>
  <c r="EP349" i="2"/>
  <c r="EP290" i="2" l="1"/>
  <c r="EP287" i="2"/>
  <c r="EP291" i="2"/>
  <c r="EP288" i="2"/>
  <c r="EP301" i="2"/>
  <c r="EP299" i="2"/>
  <c r="EP262" i="2"/>
  <c r="EP280" i="2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E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F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G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H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I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J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K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L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M11" authorId="0">
      <text>
        <r>
          <rPr>
            <sz val="9"/>
            <color indexed="81"/>
            <rFont val="Tahoma"/>
            <family val="2"/>
          </rPr>
          <t xml:space="preserve">Revenue is arrived  by using average domestic day rate.
</t>
        </r>
      </text>
    </comment>
    <comment ref="AH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I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J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K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L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M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N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O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P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R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S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T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U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V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W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X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Y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AZ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A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B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C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D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E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F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G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H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I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J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K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L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M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N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O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P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Q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R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S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BT11" authorId="0">
      <text>
        <r>
          <rPr>
            <sz val="9"/>
            <color indexed="81"/>
            <rFont val="Tahoma"/>
            <family val="2"/>
          </rPr>
          <t xml:space="preserve">Includes US land and offshore revenue as HP does not report them separately.
</t>
        </r>
      </text>
    </comment>
    <comment ref="DM11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DN11" authorId="0">
      <text>
        <r>
          <rPr>
            <sz val="9"/>
            <color indexed="81"/>
            <rFont val="Tahoma"/>
            <family val="2"/>
          </rPr>
          <t>excludes early terms</t>
        </r>
      </text>
    </comment>
    <comment ref="DR11" authorId="0">
      <text>
        <r>
          <rPr>
            <sz val="9"/>
            <color indexed="81"/>
            <rFont val="Tahoma"/>
            <family val="2"/>
          </rPr>
          <t>excludes 23mm in early terminations</t>
        </r>
      </text>
    </comment>
    <comment ref="DS11" authorId="0">
      <text>
        <r>
          <rPr>
            <sz val="9"/>
            <color indexed="81"/>
            <rFont val="Tahoma"/>
            <family val="2"/>
          </rPr>
          <t>excludes ~71m of early termination revenues</t>
        </r>
      </text>
    </comment>
    <comment ref="DT11" authorId="0">
      <text>
        <r>
          <rPr>
            <sz val="9"/>
            <color indexed="81"/>
            <rFont val="Tahoma"/>
            <family val="2"/>
          </rPr>
          <t>5325/d in early term</t>
        </r>
      </text>
    </comment>
    <comment ref="DU11" authorId="0">
      <text>
        <r>
          <rPr>
            <sz val="9"/>
            <color indexed="81"/>
            <rFont val="Tahoma"/>
            <family val="2"/>
          </rPr>
          <t>2482/d in early term</t>
        </r>
      </text>
    </comment>
    <comment ref="DV11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DW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term.</t>
        </r>
      </text>
    </comment>
    <comment ref="DX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term.</t>
        </r>
      </text>
    </comment>
    <comment ref="DY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 revenues</t>
        </r>
      </text>
    </comment>
    <comment ref="DZ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 revenues</t>
        </r>
      </text>
    </comment>
    <comment ref="EA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</t>
        </r>
      </text>
    </comment>
    <comment ref="EB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</t>
        </r>
      </text>
    </comment>
    <comment ref="EC1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</t>
        </r>
      </text>
    </comment>
    <comment ref="DS13" authorId="0">
      <text>
        <r>
          <rPr>
            <sz val="9"/>
            <color indexed="81"/>
            <rFont val="Tahoma"/>
            <family val="2"/>
          </rPr>
          <t>excludes early terms</t>
        </r>
      </text>
    </comment>
    <comment ref="DZ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termination of ~$4.7mm</t>
        </r>
      </text>
    </comment>
    <comment ref="EB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retroactive adjustment for early termination withdrawal</t>
        </r>
      </text>
    </comment>
    <comment ref="E14" authorId="0">
      <text>
        <r>
          <rPr>
            <sz val="9"/>
            <color indexed="81"/>
            <rFont val="Tahoma"/>
            <family val="2"/>
          </rPr>
          <t>133.653 million from Oil and gas operations.</t>
        </r>
      </text>
    </comment>
    <comment ref="F14" authorId="0">
      <text>
        <r>
          <rPr>
            <sz val="9"/>
            <color indexed="81"/>
            <rFont val="Tahoma"/>
            <family val="2"/>
          </rPr>
          <t>110.773 million from Oil and gas operations.</t>
        </r>
      </text>
    </comment>
    <comment ref="G14" authorId="0">
      <text>
        <r>
          <rPr>
            <sz val="9"/>
            <color indexed="81"/>
            <rFont val="Tahoma"/>
            <family val="2"/>
          </rPr>
          <t>83.287 million from Oil and gas operations.</t>
        </r>
      </text>
    </comment>
    <comment ref="H14" authorId="0">
      <text>
        <r>
          <rPr>
            <sz val="9"/>
            <color indexed="81"/>
            <rFont val="Tahoma"/>
            <family val="2"/>
          </rPr>
          <t>135.150 million from Oil and gas operations.</t>
        </r>
      </text>
    </comment>
    <comment ref="I14" authorId="0">
      <text>
        <r>
          <rPr>
            <sz val="9"/>
            <color indexed="81"/>
            <rFont val="Tahoma"/>
            <family val="2"/>
          </rPr>
          <t>180.527 million from Oil and gas operations.</t>
        </r>
      </text>
    </comment>
    <comment ref="J14" authorId="0">
      <text>
        <r>
          <rPr>
            <sz val="9"/>
            <color indexed="81"/>
            <rFont val="Tahoma"/>
            <family val="2"/>
          </rPr>
          <t>152.195 million from Oil and gas operations.</t>
        </r>
      </text>
    </comment>
    <comment ref="K14" authorId="0">
      <text>
        <r>
          <rPr>
            <sz val="9"/>
            <color indexed="81"/>
            <rFont val="Tahoma"/>
            <family val="2"/>
          </rPr>
          <t>151.212 million from Oil and gas operations.</t>
        </r>
      </text>
    </comment>
    <comment ref="L14" authorId="0">
      <text>
        <r>
          <rPr>
            <sz val="9"/>
            <color indexed="81"/>
            <rFont val="Tahoma"/>
            <family val="2"/>
          </rPr>
          <t>238.490 million from Oil and gas operations.</t>
        </r>
      </text>
    </comment>
    <comment ref="M14" authorId="0">
      <text>
        <r>
          <rPr>
            <sz val="9"/>
            <color indexed="81"/>
            <rFont val="Tahoma"/>
            <family val="2"/>
          </rPr>
          <t>268.561 million from Oil and gas operations.
(86.407+106.309+75.845)</t>
        </r>
      </text>
    </comment>
    <comment ref="AH14" authorId="0">
      <text>
        <r>
          <rPr>
            <sz val="9"/>
            <color indexed="81"/>
            <rFont val="Tahoma"/>
            <family val="2"/>
          </rPr>
          <t>$20.467 Oil and Gas
$18.343 Gas Marketing</t>
        </r>
      </text>
    </comment>
    <comment ref="AI14" authorId="0">
      <text>
        <r>
          <rPr>
            <sz val="9"/>
            <color indexed="81"/>
            <rFont val="Tahoma"/>
            <family val="2"/>
          </rPr>
          <t>$17.881 Oil and Gas
$19.072 Gas Marketing</t>
        </r>
      </text>
    </comment>
    <comment ref="AJ14" authorId="0">
      <text>
        <r>
          <rPr>
            <sz val="9"/>
            <color indexed="81"/>
            <rFont val="Tahoma"/>
            <family val="2"/>
          </rPr>
          <t>$16.357 Oil and Gas
$14.089 Gas Marketing</t>
        </r>
      </text>
    </comment>
    <comment ref="AL14" authorId="0">
      <text>
        <r>
          <rPr>
            <sz val="9"/>
            <color indexed="81"/>
            <rFont val="Tahoma"/>
            <family val="2"/>
          </rPr>
          <t>$16.626 Oil and Gas
$14.820 Gas Marketing</t>
        </r>
      </text>
    </comment>
    <comment ref="AM14" authorId="0">
      <text>
        <r>
          <rPr>
            <sz val="9"/>
            <color indexed="81"/>
            <rFont val="Tahoma"/>
            <family val="2"/>
          </rPr>
          <t>$17.794 Oil and Gas
$15.607 Gas Marketing</t>
        </r>
      </text>
    </comment>
    <comment ref="AN14" authorId="0">
      <text>
        <r>
          <rPr>
            <sz val="9"/>
            <color indexed="81"/>
            <rFont val="Tahoma"/>
            <family val="2"/>
          </rPr>
          <t>$13.147 Oil and Gas
$11.972 Gas Marketing</t>
        </r>
      </text>
    </comment>
    <comment ref="AP14" authorId="0">
      <text>
        <r>
          <rPr>
            <sz val="9"/>
            <color indexed="81"/>
            <rFont val="Tahoma"/>
            <family val="2"/>
          </rPr>
          <t>22.950 million from Oil and gas operations.</t>
        </r>
      </text>
    </comment>
    <comment ref="AQ14" authorId="0">
      <text>
        <r>
          <rPr>
            <sz val="9"/>
            <color indexed="81"/>
            <rFont val="Tahoma"/>
            <family val="2"/>
          </rPr>
          <t>19.985 million from Oil and gas operations.</t>
        </r>
      </text>
    </comment>
    <comment ref="AR14" authorId="0">
      <text>
        <r>
          <rPr>
            <sz val="9"/>
            <color indexed="81"/>
            <rFont val="Tahoma"/>
            <family val="2"/>
          </rPr>
          <t>19.834 million from Oil and gas operations.</t>
        </r>
      </text>
    </comment>
    <comment ref="AT14" authorId="0">
      <text>
        <r>
          <rPr>
            <sz val="9"/>
            <color indexed="81"/>
            <rFont val="Tahoma"/>
            <family val="2"/>
          </rPr>
          <t>28.246 million from Oil and gas operations.</t>
        </r>
      </text>
    </comment>
    <comment ref="AU14" authorId="0">
      <text>
        <r>
          <rPr>
            <sz val="9"/>
            <color indexed="81"/>
            <rFont val="Tahoma"/>
            <family val="2"/>
          </rPr>
          <t>32.114 million from Oil and gas operations.</t>
        </r>
      </text>
    </comment>
    <comment ref="AV14" authorId="0">
      <text>
        <r>
          <rPr>
            <sz val="9"/>
            <color indexed="81"/>
            <rFont val="Tahoma"/>
            <family val="2"/>
          </rPr>
          <t>36.211 million from Oil and gas operations.</t>
        </r>
      </text>
    </comment>
    <comment ref="AW14" authorId="0">
      <text>
        <r>
          <rPr>
            <sz val="9"/>
            <color indexed="81"/>
            <rFont val="Tahoma"/>
            <family val="2"/>
          </rPr>
          <t>38.759 million from Oil and gas operations.
(135.150-28.246-32.114-36.211)</t>
        </r>
      </text>
    </comment>
    <comment ref="AX14" authorId="0">
      <text>
        <r>
          <rPr>
            <sz val="9"/>
            <color indexed="81"/>
            <rFont val="Tahoma"/>
            <family val="2"/>
          </rPr>
          <t>49.005 million from Oil and gas operations.</t>
        </r>
      </text>
    </comment>
    <comment ref="AY14" authorId="0">
      <text>
        <r>
          <rPr>
            <sz val="9"/>
            <color indexed="81"/>
            <rFont val="Tahoma"/>
            <family val="2"/>
          </rPr>
          <t>54.366 million from Oil and gas operations.</t>
        </r>
      </text>
    </comment>
    <comment ref="AZ14" authorId="0">
      <text>
        <r>
          <rPr>
            <sz val="9"/>
            <color indexed="81"/>
            <rFont val="Tahoma"/>
            <family val="2"/>
          </rPr>
          <t>37.272 million from Oil and gas operations.</t>
        </r>
      </text>
    </comment>
    <comment ref="BA14" authorId="0">
      <text>
        <r>
          <rPr>
            <sz val="9"/>
            <color indexed="81"/>
            <rFont val="Tahoma"/>
            <family val="2"/>
          </rPr>
          <t>39.884 million from Oil and gas operations.
(180.527-49.005-54.366-37.272)</t>
        </r>
      </text>
    </comment>
    <comment ref="BB14" authorId="0">
      <text>
        <r>
          <rPr>
            <sz val="9"/>
            <color indexed="81"/>
            <rFont val="Tahoma"/>
            <family val="2"/>
          </rPr>
          <t>48.227 million from Oil and gas operations.</t>
        </r>
      </text>
    </comment>
    <comment ref="BC14" authorId="0">
      <text>
        <r>
          <rPr>
            <sz val="9"/>
            <color indexed="81"/>
            <rFont val="Tahoma"/>
            <family val="2"/>
          </rPr>
          <t>34.329 million from Oil and gas operations.</t>
        </r>
      </text>
    </comment>
    <comment ref="BD14" authorId="0">
      <text>
        <r>
          <rPr>
            <sz val="9"/>
            <color indexed="81"/>
            <rFont val="Tahoma"/>
            <family val="2"/>
          </rPr>
          <t>35.186 million from Oil and gas operations.</t>
        </r>
      </text>
    </comment>
    <comment ref="BE14" authorId="0">
      <text>
        <r>
          <rPr>
            <sz val="9"/>
            <color indexed="81"/>
            <rFont val="Tahoma"/>
            <family val="2"/>
          </rPr>
          <t>34.453 million from Oil and gas operations.
(152.195-48.227-34.329-35.186)</t>
        </r>
      </text>
    </comment>
    <comment ref="BF14" authorId="0">
      <text>
        <r>
          <rPr>
            <sz val="9"/>
            <color indexed="81"/>
            <rFont val="Tahoma"/>
            <family val="2"/>
          </rPr>
          <t>39.603 million from Oil and gas operations.</t>
        </r>
      </text>
    </comment>
    <comment ref="BG14" authorId="0">
      <text>
        <r>
          <rPr>
            <sz val="9"/>
            <color indexed="81"/>
            <rFont val="Tahoma"/>
            <family val="2"/>
          </rPr>
          <t>30.33 million from Oil and gas operations.</t>
        </r>
      </text>
    </comment>
    <comment ref="BH14" authorId="0">
      <text>
        <r>
          <rPr>
            <sz val="9"/>
            <color indexed="81"/>
            <rFont val="Tahoma"/>
            <family val="2"/>
          </rPr>
          <t>36.357 million from Oil and gas operations.</t>
        </r>
      </text>
    </comment>
    <comment ref="BI14" authorId="0">
      <text>
        <r>
          <rPr>
            <sz val="9"/>
            <color indexed="81"/>
            <rFont val="Tahoma"/>
            <family val="2"/>
          </rPr>
          <t>44.922 million from Oil and gas operations.</t>
        </r>
      </text>
    </comment>
    <comment ref="BJ14" authorId="0">
      <text>
        <r>
          <rPr>
            <sz val="9"/>
            <color indexed="81"/>
            <rFont val="Tahoma"/>
            <family val="2"/>
          </rPr>
          <t>48.433 million from Oil and gas operations.</t>
        </r>
      </text>
    </comment>
    <comment ref="BK14" authorId="0">
      <text>
        <r>
          <rPr>
            <sz val="9"/>
            <color indexed="81"/>
            <rFont val="Tahoma"/>
            <family val="2"/>
          </rPr>
          <t>51.974 million from Oil and gas operations.</t>
        </r>
      </text>
    </comment>
    <comment ref="BL14" authorId="0">
      <text>
        <r>
          <rPr>
            <sz val="9"/>
            <color indexed="81"/>
            <rFont val="Tahoma"/>
            <family val="2"/>
          </rPr>
          <t>61.468 million from Oil and gas operations.</t>
        </r>
      </text>
    </comment>
    <comment ref="BM14" authorId="0">
      <text>
        <r>
          <rPr>
            <sz val="9"/>
            <color indexed="81"/>
            <rFont val="Tahoma"/>
            <family val="2"/>
          </rPr>
          <t>76.615 million from Oil and gas operations.</t>
        </r>
      </text>
    </comment>
    <comment ref="BN14" authorId="0">
      <text>
        <r>
          <rPr>
            <sz val="9"/>
            <color indexed="81"/>
            <rFont val="Tahoma"/>
            <family val="2"/>
          </rPr>
          <t>86.407 million from Oil and gas operations.</t>
        </r>
      </text>
    </comment>
    <comment ref="BO14" authorId="0">
      <text>
        <r>
          <rPr>
            <sz val="9"/>
            <color indexed="81"/>
            <rFont val="Tahoma"/>
            <family val="2"/>
          </rPr>
          <t>106.309 million from Oil and gas operations.</t>
        </r>
      </text>
    </comment>
    <comment ref="BP14" authorId="0">
      <text>
        <r>
          <rPr>
            <sz val="9"/>
            <color indexed="81"/>
            <rFont val="Tahoma"/>
            <family val="2"/>
          </rPr>
          <t>75.845 million from Oil and gas operations.</t>
        </r>
      </text>
    </comment>
    <comment ref="DW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X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Y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litigation settlement and self insurance reserve adjustment</t>
        </r>
      </text>
    </comment>
    <comment ref="DZ1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$140/day of lawsuit charges</t>
        </r>
      </text>
    </comment>
    <comment ref="DW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X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Y1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excuding self insurance reserve adjustment</t>
        </r>
      </text>
    </comment>
    <comment ref="DV20" authorId="0">
      <text>
        <r>
          <rPr>
            <sz val="9"/>
            <color indexed="81"/>
            <rFont val="Tahoma"/>
            <family val="2"/>
          </rPr>
          <t>add-back currency exchange loss</t>
        </r>
      </text>
    </comment>
    <comment ref="DW2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X2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V22" authorId="0">
      <text>
        <r>
          <rPr>
            <sz val="9"/>
            <color indexed="81"/>
            <rFont val="Tahoma"/>
            <family val="2"/>
          </rPr>
          <t>add-back currency exchange loss</t>
        </r>
      </text>
    </comment>
    <comment ref="DW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X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severance</t>
        </r>
      </text>
    </comment>
    <comment ref="DY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litigation settlement and self insurance reserve adjustment</t>
        </r>
      </text>
    </comment>
    <comment ref="DZ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$140/day of lawsuit charges</t>
        </r>
      </text>
    </comment>
    <comment ref="W30" authorId="0">
      <text>
        <r>
          <rPr>
            <sz val="9"/>
            <color indexed="81"/>
            <rFont val="Tahoma"/>
            <family val="2"/>
          </rPr>
          <t>guided $90-100m (includes the R&amp;D portion)</t>
        </r>
      </text>
    </comment>
    <comment ref="X30" authorId="0">
      <text>
        <r>
          <rPr>
            <sz val="9"/>
            <color indexed="81"/>
            <rFont val="Tahoma"/>
            <family val="2"/>
          </rPr>
          <t>guided $105m (including R&amp;D)
Apr 12: 105-110
Jul 12: $110mm</t>
        </r>
      </text>
    </comment>
    <comment ref="Y30" authorId="0">
      <text>
        <r>
          <rPr>
            <sz val="9"/>
            <color indexed="81"/>
            <rFont val="Tahoma"/>
            <family val="2"/>
          </rPr>
          <t xml:space="preserve"> $115m</t>
        </r>
      </text>
    </comment>
    <comment ref="Z30" authorId="0">
      <text>
        <r>
          <rPr>
            <sz val="9"/>
            <color indexed="81"/>
            <rFont val="Tahoma"/>
            <family val="2"/>
          </rPr>
          <t xml:space="preserve"> 130
aug '14: 2-3% higher than 130</t>
        </r>
      </text>
    </comment>
    <comment ref="AA30" authorId="0">
      <text>
        <r>
          <rPr>
            <sz val="9"/>
            <color indexed="81"/>
            <rFont val="Tahoma"/>
            <family val="2"/>
          </rPr>
          <t>~130</t>
        </r>
      </text>
    </comment>
    <comment ref="AB30" authorId="0">
      <text>
        <r>
          <rPr>
            <sz val="9"/>
            <color indexed="81"/>
            <rFont val="Tahoma"/>
            <family val="2"/>
          </rPr>
          <t>135</t>
        </r>
      </text>
    </comment>
    <comment ref="DX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401K-related severance expense, assume pre-tax amount based on the post-tax amount at 55% effective tax rate</t>
        </r>
      </text>
    </comment>
    <comment ref="EB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37.5% tax rate on MOTIVE acq. Charges of $0.02/sh.</t>
        </r>
      </text>
    </comment>
    <comment ref="V33" authorId="0">
      <text>
        <r>
          <rPr>
            <sz val="9"/>
            <color indexed="81"/>
            <rFont val="Tahoma"/>
            <family val="2"/>
          </rPr>
          <t xml:space="preserve"> $260-$270m</t>
        </r>
      </text>
    </comment>
    <comment ref="W33" authorId="0">
      <text>
        <r>
          <rPr>
            <sz val="9"/>
            <color indexed="81"/>
            <rFont val="Tahoma"/>
            <family val="2"/>
          </rPr>
          <t xml:space="preserve"> $300m
guided: $315 to $320m</t>
        </r>
      </text>
    </comment>
    <comment ref="X33" authorId="0">
      <text>
        <r>
          <rPr>
            <sz val="9"/>
            <color indexed="81"/>
            <rFont val="Tahoma"/>
            <family val="2"/>
          </rPr>
          <t>in 3Q11 guided $380m
4Q: $380mm
Apr 12: $380mm
Jul 12: slightly under $380mm</t>
        </r>
      </text>
    </comment>
    <comment ref="Y33" authorId="0">
      <text>
        <r>
          <rPr>
            <sz val="9"/>
            <color indexed="81"/>
            <rFont val="Tahoma"/>
            <family val="2"/>
          </rPr>
          <t xml:space="preserve"> $450 in 13F</t>
        </r>
      </text>
    </comment>
    <comment ref="Z33" authorId="0">
      <text>
        <r>
          <rPr>
            <sz val="9"/>
            <color indexed="81"/>
            <rFont val="Tahoma"/>
            <family val="2"/>
          </rPr>
          <t xml:space="preserve"> 500
aug '14: 500</t>
        </r>
      </text>
    </comment>
    <comment ref="AA33" authorId="0">
      <text>
        <r>
          <rPr>
            <sz val="9"/>
            <color indexed="81"/>
            <rFont val="Tahoma"/>
            <family val="2"/>
          </rPr>
          <t>~580; our numbers exclude impairment charge in Mar.</t>
        </r>
      </text>
    </comment>
    <comment ref="AB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$580mm</t>
        </r>
      </text>
    </comment>
    <comment ref="DS33" authorId="0">
      <text>
        <r>
          <rPr>
            <sz val="9"/>
            <color indexed="81"/>
            <rFont val="Tahoma"/>
            <family val="2"/>
          </rPr>
          <t>add-back abandonment charge</t>
        </r>
      </text>
    </comment>
    <comment ref="DU33" authorId="0">
      <text>
        <r>
          <rPr>
            <sz val="9"/>
            <color indexed="81"/>
            <rFont val="Tahoma"/>
            <family val="2"/>
          </rPr>
          <t>excludes abandonment charge</t>
        </r>
      </text>
    </comment>
    <comment ref="DY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$38.1mm of abandonment expense</t>
        </r>
      </text>
    </comment>
    <comment ref="EA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abandonment charges</t>
        </r>
      </text>
    </comment>
    <comment ref="EB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37.5% tax rate on abandonment charges of $0.05/sh.</t>
        </r>
      </text>
    </comment>
    <comment ref="EC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$15.4mm of charges for abandonments</t>
        </r>
      </text>
    </comment>
    <comment ref="ED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budget for $560mm or $540mm excluding abandonment charges ; adjusting for $7.2mm in abandonment here</t>
        </r>
      </text>
    </comment>
    <comment ref="W36" authorId="0">
      <text>
        <r>
          <rPr>
            <sz val="9"/>
            <color indexed="81"/>
            <rFont val="Tahoma"/>
            <family val="2"/>
          </rPr>
          <t xml:space="preserve"> $14m
1Q guidance: slightly under $4m/q in rest of year
2Q: $16m</t>
        </r>
      </text>
    </comment>
    <comment ref="X36" authorId="0">
      <text>
        <r>
          <rPr>
            <sz val="9"/>
            <color indexed="81"/>
            <rFont val="Tahoma"/>
            <family val="2"/>
          </rPr>
          <t xml:space="preserve"> $15m
4Q11: to decrease to $13mm
Apr 12: guiding 10m
Jul 12: 10</t>
        </r>
      </text>
    </comment>
    <comment ref="Y36" authorId="0">
      <text>
        <r>
          <rPr>
            <sz val="9"/>
            <color indexed="81"/>
            <rFont val="Tahoma"/>
            <family val="2"/>
          </rPr>
          <t xml:space="preserve"> down $7m in 13F</t>
        </r>
      </text>
    </comment>
    <comment ref="AA36" authorId="0">
      <text>
        <r>
          <rPr>
            <sz val="9"/>
            <color indexed="81"/>
            <rFont val="Tahoma"/>
            <family val="2"/>
          </rPr>
          <t xml:space="preserve"> </t>
        </r>
      </text>
    </comment>
    <comment ref="EC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$4mm of int. expense adjustment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$2.996m Income from investments 
$3.24m  Dry holes and abandonments
$3.66m Taxes, other than income taxes                   
</t>
        </r>
      </text>
    </comment>
    <comment ref="AI37" authorId="0">
      <text>
        <r>
          <rPr>
            <sz val="9"/>
            <color indexed="81"/>
            <rFont val="Tahoma"/>
            <family val="2"/>
          </rPr>
          <t xml:space="preserve">$2.106m Income from investments 
$1.91m  Dry holes and abandonments
$4.005m Taxes, other than income taxes                   
</t>
        </r>
      </text>
    </comment>
    <comment ref="AJ37" authorId="0">
      <text>
        <r>
          <rPr>
            <sz val="9"/>
            <color indexed="81"/>
            <rFont val="Tahoma"/>
            <family val="2"/>
          </rPr>
          <t xml:space="preserve">$1.512m Income from investments 
$1.267m  Dry holes and abandonments
$3.79m Taxes, other than income taxes                   
</t>
        </r>
      </text>
    </comment>
    <comment ref="AL37" authorId="0">
      <text>
        <r>
          <rPr>
            <sz val="9"/>
            <color indexed="81"/>
            <rFont val="Tahoma"/>
            <family val="2"/>
          </rPr>
          <t xml:space="preserve">$1.542m Income from investments 
$1.31m  Dry holes and abandonments
$4.29m Taxes, other than income taxes                   
</t>
        </r>
      </text>
    </comment>
    <comment ref="AM37" authorId="0">
      <text>
        <r>
          <rPr>
            <sz val="9"/>
            <color indexed="81"/>
            <rFont val="Tahoma"/>
            <family val="2"/>
          </rPr>
          <t xml:space="preserve">$1.524m Income from investments 
$1.306m  Dry holes and abandonments
$3.843m Taxes, other than income taxes                   
</t>
        </r>
      </text>
    </comment>
    <comment ref="AN37" authorId="0">
      <text>
        <r>
          <rPr>
            <sz val="9"/>
            <color indexed="81"/>
            <rFont val="Tahoma"/>
            <family val="2"/>
          </rPr>
          <t xml:space="preserve">$1.646m Income from investments 
$2.055m  Dry holes and abandonments
$3.585m Taxes, other than income taxes                   
</t>
        </r>
      </text>
    </comment>
    <comment ref="AP37" authorId="0">
      <text>
        <r>
          <rPr>
            <sz val="9"/>
            <color indexed="81"/>
            <rFont val="Tahoma"/>
            <family val="2"/>
          </rPr>
          <t xml:space="preserve">$1.389m Income from investments 
$2.179m  Dry holes and abandonments
$3.978m Taxes, other than income taxes                   
</t>
        </r>
      </text>
    </comment>
    <comment ref="AQ37" authorId="0">
      <text>
        <r>
          <rPr>
            <sz val="9"/>
            <color indexed="81"/>
            <rFont val="Tahoma"/>
            <family val="2"/>
          </rPr>
          <t xml:space="preserve">$3.192m Income from investments 
$2.316m  Dry holes and abandonments
$4.159m Taxes, other than income taxes                   
</t>
        </r>
      </text>
    </comment>
    <comment ref="AR37" authorId="0">
      <text>
        <r>
          <rPr>
            <sz val="9"/>
            <color indexed="81"/>
            <rFont val="Tahoma"/>
            <family val="2"/>
          </rPr>
          <t xml:space="preserve">$2.343m Income from investments 
$1.888m  Dry holes and abandonments
$3.962m Taxes, other than income taxes                   
</t>
        </r>
      </text>
    </comment>
    <comment ref="AT37" authorId="0">
      <text>
        <r>
          <rPr>
            <sz val="9"/>
            <color indexed="81"/>
            <rFont val="Tahoma"/>
            <family val="2"/>
          </rPr>
          <t xml:space="preserve">$1.167m Income from investments 
$.928m  Dry holes and abandonments
$3.692m Taxes, other than income taxes                   
</t>
        </r>
      </text>
    </comment>
    <comment ref="AU37" authorId="0">
      <text>
        <r>
          <rPr>
            <sz val="9"/>
            <color indexed="81"/>
            <rFont val="Tahoma"/>
            <family val="2"/>
          </rPr>
          <t xml:space="preserve">$1.3m Income from investments 
$3.2m  Dry holes and abandonments
$4.7m Taxes, other than income taxes                   
</t>
        </r>
      </text>
    </comment>
    <comment ref="AV37" authorId="0">
      <text>
        <r>
          <rPr>
            <sz val="9"/>
            <color indexed="81"/>
            <rFont val="Tahoma"/>
            <family val="2"/>
          </rPr>
          <t xml:space="preserve">$1.656m Income from investments 
$2.397m  Dry holes and abandonments
$4.748m Taxes, other than income taxes                   
</t>
        </r>
      </text>
    </comment>
    <comment ref="AW37" authorId="0">
      <text>
        <r>
          <rPr>
            <sz val="9"/>
            <color indexed="81"/>
            <rFont val="Tahoma"/>
            <family val="2"/>
          </rPr>
          <t xml:space="preserve">$5.782m Income from investments 
$7.986m  Dry holes and abandonments
$16.939m Taxes, other than income taxes                   
</t>
        </r>
      </text>
    </comment>
    <comment ref="AX37" authorId="0">
      <text>
        <r>
          <rPr>
            <sz val="9"/>
            <color indexed="81"/>
            <rFont val="Tahoma"/>
            <family val="2"/>
          </rPr>
          <t xml:space="preserve">$1.536m Income from investments 
$.56m  Dry holes and abandonments
$4.686m Taxes, other than income taxes                   
</t>
        </r>
      </text>
    </comment>
    <comment ref="AY37" authorId="0">
      <text>
        <r>
          <rPr>
            <sz val="9"/>
            <color indexed="81"/>
            <rFont val="Tahoma"/>
            <family val="2"/>
          </rPr>
          <t xml:space="preserve">$1.5m Income from investments 
$.560m  Dry holes and abandonments
$4.68m Taxes, other than income taxes                   
</t>
        </r>
      </text>
    </comment>
    <comment ref="AZ37" authorId="0">
      <text>
        <r>
          <rPr>
            <sz val="9"/>
            <color indexed="81"/>
            <rFont val="Tahoma"/>
            <family val="2"/>
          </rPr>
          <t xml:space="preserve">$6.449m Income from investments 
$1.1m  Dry holes and abandonments
$5.1m Taxes, other than income taxes                   
</t>
        </r>
      </text>
    </comment>
    <comment ref="BA37" authorId="0">
      <text>
        <r>
          <rPr>
            <sz val="9"/>
            <color indexed="81"/>
            <rFont val="Tahoma"/>
            <family val="2"/>
          </rPr>
          <t xml:space="preserve">$11.437m Income from investments 
$7.783m  Dry holes and abandonments
$21.318m Taxes, other than income taxes                   
</t>
        </r>
      </text>
    </comment>
    <comment ref="BB37" authorId="0">
      <text>
        <r>
          <rPr>
            <sz val="9"/>
            <color indexed="81"/>
            <rFont val="Tahoma"/>
            <family val="2"/>
          </rPr>
          <t xml:space="preserve">$7.7m Income from investments 
$4.1m  Dry holes and abandonments
$5.1m Taxes, other than income taxes                   
</t>
        </r>
      </text>
    </comment>
    <comment ref="BC37" authorId="0">
      <text>
        <r>
          <rPr>
            <sz val="9"/>
            <color indexed="81"/>
            <rFont val="Tahoma"/>
            <family val="2"/>
          </rPr>
          <t xml:space="preserve">$1.5m Income from investments 
$3.1m  Dry holes and abandonments
$5.7m Taxes, other than income taxes                   
</t>
        </r>
      </text>
    </comment>
    <comment ref="BD37" authorId="0">
      <text>
        <r>
          <rPr>
            <sz val="9"/>
            <color indexed="81"/>
            <rFont val="Tahoma"/>
            <family val="2"/>
          </rPr>
          <t xml:space="preserve">$23.2m Income from investments 
$1.9m  Dry holes and abandonments
$6.9m Taxes, other than income taxes                   
</t>
        </r>
      </text>
    </comment>
    <comment ref="BE37" authorId="0">
      <text>
        <r>
          <rPr>
            <sz val="9"/>
            <color indexed="81"/>
            <rFont val="Tahoma"/>
            <family val="2"/>
          </rPr>
          <t xml:space="preserve">$44.603m income from investment
$11.572m Dry holes and abandonments 
$25.728m Taxes, other than income taxes 
</t>
        </r>
      </text>
    </comment>
    <comment ref="BF37" authorId="0">
      <text>
        <r>
          <rPr>
            <sz val="9"/>
            <color indexed="81"/>
            <rFont val="Tahoma"/>
            <family val="2"/>
          </rPr>
          <t xml:space="preserve">$1.346m Income from investments 
$1.759m  Dry holes and abandonments
$6.421m Taxes, other than income taxes                   
</t>
        </r>
      </text>
    </comment>
    <comment ref="BG37" authorId="0">
      <text>
        <r>
          <rPr>
            <sz val="9"/>
            <color indexed="81"/>
            <rFont val="Tahoma"/>
            <family val="2"/>
          </rPr>
          <t xml:space="preserve">$1.332m Income from investments 
$2.134m  Dry holes and abandonments
$6.654m Taxes, other than income taxes                   
</t>
        </r>
      </text>
    </comment>
    <comment ref="BH37" authorId="0">
      <text>
        <r>
          <rPr>
            <sz val="9"/>
            <color indexed="81"/>
            <rFont val="Tahoma"/>
            <family val="2"/>
          </rPr>
          <t xml:space="preserve">2.515m Income from investments 
3.063m  Dry holes and abandonments
5.975m Taxes, other than income taxes                   
</t>
        </r>
      </text>
    </comment>
    <comment ref="BI37" authorId="0">
      <text>
        <r>
          <rPr>
            <sz val="9"/>
            <color indexed="81"/>
            <rFont val="Tahoma"/>
            <family val="2"/>
          </rPr>
          <t xml:space="preserve">$7.757m income from investment
$11.727 Dry holes and abandonments 
$25.478m Taxes, other than income taxes
</t>
        </r>
      </text>
    </comment>
    <comment ref="BJ37" authorId="0">
      <text>
        <r>
          <rPr>
            <sz val="9"/>
            <color indexed="81"/>
            <rFont val="Tahoma"/>
            <family val="2"/>
          </rPr>
          <t xml:space="preserve">14.387m Income from investments 
2.382m  Dry holes and abandonments
6.512m Taxes, other than income taxes                   
</t>
        </r>
      </text>
    </comment>
    <comment ref="BK37" authorId="0">
      <text>
        <r>
          <rPr>
            <sz val="9"/>
            <color indexed="81"/>
            <rFont val="Tahoma"/>
            <family val="2"/>
          </rPr>
          <t xml:space="preserve">11.607m Income from investments 
4.445m  Dry holes and abandonments
7.730m Taxes, other than income taxes                   
</t>
        </r>
      </text>
    </comment>
    <comment ref="BL37" authorId="0">
      <text>
        <r>
          <rPr>
            <sz val="9"/>
            <color indexed="81"/>
            <rFont val="Tahoma"/>
            <family val="2"/>
          </rPr>
          <t xml:space="preserve">2.208m Income from investments 
7.811m  Dry holes and abandonments
7.716m Taxes, other than income taxes                   
</t>
        </r>
      </text>
    </comment>
    <comment ref="BM37" authorId="0">
      <text>
        <r>
          <rPr>
            <sz val="9"/>
            <color indexed="81"/>
            <rFont val="Tahoma"/>
            <family val="2"/>
          </rPr>
          <t xml:space="preserve">3.771m Income from investments 
8.054m  Dry holes and abandonments
7.244m Taxes, other than income taxes                   
</t>
        </r>
      </text>
    </comment>
    <comment ref="BN37" authorId="0">
      <text>
        <r>
          <rPr>
            <sz val="9"/>
            <color indexed="81"/>
            <rFont val="Tahoma"/>
            <family val="2"/>
          </rPr>
          <t xml:space="preserve">2.802m Income from investments 
12.044m  Dry holes and abandonments
8.868m Taxes, other than income taxes                   
</t>
        </r>
      </text>
    </comment>
    <comment ref="BO37" authorId="0">
      <text>
        <r>
          <rPr>
            <sz val="9"/>
            <color indexed="81"/>
            <rFont val="Tahoma"/>
            <family val="2"/>
          </rPr>
          <t xml:space="preserve">2.752m Income from investments 
6.704m  Dry holes and abandonments
12.066m Taxes, other than income taxes                   
</t>
        </r>
      </text>
    </comment>
    <comment ref="BP37" authorId="0">
      <text>
        <r>
          <rPr>
            <sz val="9"/>
            <color indexed="81"/>
            <rFont val="Tahoma"/>
            <family val="2"/>
          </rPr>
          <t xml:space="preserve">4.649 Income from investments 
6.878 Dry holes and abandonments
10.276 Taxes, other than income taxes                   
</t>
        </r>
      </text>
    </comment>
    <comment ref="BT37" authorId="0">
      <text>
        <r>
          <rPr>
            <sz val="9"/>
            <color indexed="81"/>
            <rFont val="Tahoma"/>
            <family val="2"/>
          </rPr>
          <t xml:space="preserve">$25.554 income from investments
</t>
        </r>
      </text>
    </comment>
    <comment ref="DV39" authorId="0">
      <text>
        <r>
          <rPr>
            <sz val="9"/>
            <color indexed="81"/>
            <rFont val="Tahoma"/>
            <family val="2"/>
          </rPr>
          <t xml:space="preserve"> early terminatio, asset sales, production tax credit and currency exchange loss</t>
        </r>
      </text>
    </comment>
    <comment ref="DW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tax impact of early term. revenues and gain on sale</t>
        </r>
      </text>
    </comment>
    <comment ref="DY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adjusting combined tax impact of early termination, litigation/workers comp, abandonment charges, investment securities impairment, and tax code change</t>
        </r>
      </text>
    </comment>
    <comment ref="DZ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adjusting combined tax impact of early termination, litigation</t>
        </r>
      </text>
    </comment>
    <comment ref="EA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 for impact of early term revenues, gains on sale and abandonment charges</t>
        </r>
      </text>
    </comment>
    <comment ref="EB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tax impact of early termination revenues, asset sales, acquisition charges, and abandonment charges</t>
        </r>
      </text>
    </comment>
    <comment ref="EC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income tax adjustment from NOL carryabk</t>
        </r>
      </text>
    </comment>
    <comment ref="ED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impact of tax reform ($4.55/sh.) and net tax impact of other adjustments (~$500k)</t>
        </r>
      </text>
    </comment>
    <comment ref="DI42" authorId="0">
      <text>
        <r>
          <rPr>
            <sz val="9"/>
            <color indexed="81"/>
            <rFont val="Tahoma"/>
            <family val="2"/>
          </rPr>
          <t xml:space="preserve"> do not expect q/q growth into 4Q from 3Q</t>
        </r>
      </text>
    </comment>
    <comment ref="CD45" authorId="0">
      <text>
        <r>
          <rPr>
            <sz val="9"/>
            <color indexed="81"/>
            <rFont val="Tahoma"/>
            <family val="2"/>
          </rPr>
          <t xml:space="preserve">$5.5 net of tax
</t>
        </r>
      </text>
    </comment>
    <comment ref="DS45" authorId="0">
      <text>
        <r>
          <rPr>
            <sz val="9"/>
            <color indexed="81"/>
            <rFont val="Tahoma"/>
            <family val="2"/>
          </rPr>
          <t>gain on sale</t>
        </r>
      </text>
    </comment>
    <comment ref="DU45" authorId="0">
      <text>
        <r>
          <rPr>
            <sz val="9"/>
            <color indexed="81"/>
            <rFont val="Tahoma"/>
            <family val="2"/>
          </rPr>
          <t>gain on sale</t>
        </r>
      </text>
    </comment>
    <comment ref="AS46" authorId="0">
      <text>
        <r>
          <rPr>
            <sz val="9"/>
            <color indexed="81"/>
            <rFont val="Tahoma"/>
            <family val="2"/>
          </rPr>
          <t>Adoption of Financial Accounting Standards No. 121 during the fourth quarter of fiscal 1995
which resulted in an impairment charge of $20,000,000 oil and
gas division and $2,000,000 to real estate division. Post Tax is $ 13.6m</t>
        </r>
      </text>
    </comment>
    <comment ref="DS46" authorId="0">
      <text>
        <r>
          <rPr>
            <sz val="9"/>
            <color indexed="81"/>
            <rFont val="Tahoma"/>
            <family val="2"/>
          </rPr>
          <t>17 SCR rigs retired; non-cash</t>
        </r>
      </text>
    </comment>
    <comment ref="DU46" authorId="0">
      <text>
        <r>
          <rPr>
            <sz val="9"/>
            <color indexed="81"/>
            <rFont val="Tahoma"/>
            <family val="2"/>
          </rPr>
          <t>abandonment and impairment</t>
        </r>
      </text>
    </comment>
    <comment ref="DY4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includes loss on investment securities of $26mm and rig impairment of $38mm</t>
        </r>
      </text>
    </comment>
    <comment ref="EA4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abandonment charges</t>
        </r>
      </text>
    </comment>
    <comment ref="EB4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abandonment charges</t>
        </r>
      </text>
    </comment>
    <comment ref="CZ48" authorId="0">
      <text>
        <r>
          <rPr>
            <sz val="9"/>
            <color indexed="81"/>
            <rFont val="Tahoma"/>
            <family val="2"/>
          </rPr>
          <t>write off of Venezuela assets</t>
        </r>
      </text>
    </comment>
    <comment ref="AH49" authorId="0">
      <text>
        <r>
          <rPr>
            <sz val="9"/>
            <color indexed="81"/>
            <rFont val="Tahoma"/>
            <family val="2"/>
          </rPr>
          <t>Income from sale of securities $1.57m Pretax</t>
        </r>
      </text>
    </comment>
    <comment ref="AI49" authorId="0">
      <text>
        <r>
          <rPr>
            <sz val="9"/>
            <color indexed="81"/>
            <rFont val="Tahoma"/>
            <family val="2"/>
          </rPr>
          <t>Income from sale of securities $.59m Pretax</t>
        </r>
      </text>
    </comment>
    <comment ref="AJ49" authorId="0">
      <text>
        <r>
          <rPr>
            <sz val="9"/>
            <color indexed="81"/>
            <rFont val="Tahoma"/>
            <family val="2"/>
          </rPr>
          <t>Loss from sale of securities $.05m Pretax</t>
        </r>
      </text>
    </comment>
    <comment ref="AK49" authorId="0">
      <text>
        <r>
          <rPr>
            <sz val="9"/>
            <color indexed="81"/>
            <rFont val="Tahoma"/>
            <family val="2"/>
          </rPr>
          <t>Income from sale of securities $1.78m Postax Annual number.</t>
        </r>
      </text>
    </comment>
    <comment ref="AL49" authorId="0">
      <text>
        <r>
          <rPr>
            <sz val="9"/>
            <color indexed="81"/>
            <rFont val="Tahoma"/>
            <family val="2"/>
          </rPr>
          <t xml:space="preserve">Cumulative effect of change in accounting principle  
                                                </t>
        </r>
      </text>
    </comment>
    <comment ref="AQ49" authorId="0">
      <text>
        <r>
          <rPr>
            <sz val="9"/>
            <color indexed="81"/>
            <rFont val="Tahoma"/>
            <family val="2"/>
          </rPr>
          <t>Income from sale of securities $1.828m Pretax</t>
        </r>
      </text>
    </comment>
    <comment ref="AR49" authorId="0">
      <text>
        <r>
          <rPr>
            <sz val="9"/>
            <color indexed="81"/>
            <rFont val="Tahoma"/>
            <family val="2"/>
          </rPr>
          <t>Income from sale of securities $1.119m Pretax</t>
        </r>
      </text>
    </comment>
    <comment ref="AS49" authorId="0">
      <text>
        <r>
          <rPr>
            <sz val="9"/>
            <color indexed="81"/>
            <rFont val="Tahoma"/>
            <family val="2"/>
          </rPr>
          <t>Income from sale of securities $3.481m Post tax annual number.</t>
        </r>
      </text>
    </comment>
    <comment ref="AT49" authorId="0">
      <text>
        <r>
          <rPr>
            <sz val="9"/>
            <color indexed="81"/>
            <rFont val="Tahoma"/>
            <family val="2"/>
          </rPr>
          <t xml:space="preserve"> </t>
        </r>
      </text>
    </comment>
    <comment ref="AV49" authorId="0">
      <text>
        <r>
          <rPr>
            <sz val="9"/>
            <color indexed="81"/>
            <rFont val="Tahoma"/>
            <family val="2"/>
          </rPr>
          <t>Income from sale of securities $.346m Post tax number.</t>
        </r>
      </text>
    </comment>
    <comment ref="BB49" authorId="0">
      <text>
        <r>
          <rPr>
            <sz val="9"/>
            <color indexed="81"/>
            <rFont val="Tahoma"/>
            <family val="2"/>
          </rPr>
          <t>Income from sale of securities $3.675m</t>
        </r>
      </text>
    </comment>
    <comment ref="BD49" authorId="0">
      <text>
        <r>
          <rPr>
            <sz val="9"/>
            <color indexed="81"/>
            <rFont val="Tahoma"/>
            <family val="2"/>
          </rPr>
          <t>Impact of sale of portfolio securities per share $0.26</t>
        </r>
      </text>
    </comment>
    <comment ref="BF49" authorId="0">
      <text>
        <r>
          <rPr>
            <sz val="9"/>
            <color indexed="81"/>
            <rFont val="Tahoma"/>
            <family val="2"/>
          </rPr>
          <t>Sale of investment securities $0.071m;
Non-monetary dividend ($9,509,000) and a non-monetary gain ($719,000) on the conversion of shares of common stock of a Company investee pursuant to that
investee being acquired. Post tax $6.3m</t>
        </r>
      </text>
    </comment>
    <comment ref="BH49" authorId="0">
      <text>
        <r>
          <rPr>
            <sz val="9"/>
            <color indexed="81"/>
            <rFont val="Tahoma"/>
            <family val="2"/>
          </rPr>
          <t>After tax gain from sale of security $0.732m (Refer 8K of 3Q 2000)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After tax gain from sale of security $0.759m </t>
        </r>
      </text>
    </comment>
    <comment ref="BJ49" authorId="0">
      <text>
        <r>
          <rPr>
            <sz val="9"/>
            <color indexed="81"/>
            <rFont val="Tahoma"/>
            <family val="2"/>
          </rPr>
          <t>$1.754m income from sale of investment securities</t>
        </r>
      </text>
    </comment>
    <comment ref="BK49" authorId="0">
      <text>
        <r>
          <rPr>
            <sz val="9"/>
            <color indexed="81"/>
            <rFont val="Tahoma"/>
            <family val="2"/>
          </rPr>
          <t>$5.996m income from sale of investment securities</t>
        </r>
      </text>
    </comment>
    <comment ref="BO49" authorId="0">
      <text>
        <r>
          <rPr>
            <sz val="9"/>
            <color indexed="81"/>
            <rFont val="Tahoma"/>
            <family val="2"/>
          </rPr>
          <t>$0.074m income from sale of securities</t>
        </r>
      </text>
    </comment>
    <comment ref="BP49" authorId="0">
      <text>
        <r>
          <rPr>
            <sz val="9"/>
            <color indexed="81"/>
            <rFont val="Tahoma"/>
            <family val="2"/>
          </rPr>
          <t>Income from sale of investment securities. Post tax amount of $1.423m (refer 8K of 3Q02)</t>
        </r>
      </text>
    </comment>
    <comment ref="BQ49" authorId="0">
      <text>
        <r>
          <rPr>
            <sz val="9"/>
            <color indexed="81"/>
            <rFont val="Tahoma"/>
            <family val="2"/>
          </rPr>
          <t>Impact of sale of portfolio securities. As amount is not given, we have back calculated based on EPS impact. Refer 8K, 4Q02.</t>
        </r>
      </text>
    </comment>
    <comment ref="BS49" authorId="0">
      <text>
        <r>
          <rPr>
            <sz val="9"/>
            <color indexed="81"/>
            <rFont val="Tahoma"/>
            <family val="2"/>
          </rPr>
          <t>$0.324m income from sale of securities</t>
        </r>
      </text>
    </comment>
    <comment ref="BT49" authorId="0">
      <text>
        <r>
          <rPr>
            <sz val="9"/>
            <color indexed="81"/>
            <rFont val="Tahoma"/>
            <family val="2"/>
          </rPr>
          <t xml:space="preserve">$25.554 income from investments considered as one time item
After tax amount is $15.468m
</t>
        </r>
      </text>
    </comment>
    <comment ref="BU49" authorId="0">
      <text>
        <r>
          <rPr>
            <sz val="9"/>
            <color indexed="81"/>
            <rFont val="Tahoma"/>
            <family val="2"/>
          </rPr>
          <t>Impact of sale of portfolio securities. As amount is not given, we have back calculated based on EPS impact. Refer 8K, 4Q03.</t>
        </r>
      </text>
    </comment>
    <comment ref="BY49" authorId="0">
      <text>
        <r>
          <rPr>
            <sz val="9"/>
            <color indexed="81"/>
            <rFont val="Tahoma"/>
            <family val="2"/>
          </rPr>
          <t xml:space="preserve">Impact of sale of portfolio securities. As amount is not given, we have back calculated based on EPS impact. Refer 8K, 4Q04. 
</t>
        </r>
      </text>
    </comment>
    <comment ref="BZ49" authorId="0">
      <text>
        <r>
          <rPr>
            <sz val="9"/>
            <color indexed="81"/>
            <rFont val="Tahoma"/>
            <family val="2"/>
          </rPr>
          <t xml:space="preserve">Gain on sale of investment securities $4.904m
</t>
        </r>
      </text>
    </comment>
    <comment ref="CA49" authorId="0">
      <text>
        <r>
          <rPr>
            <sz val="9"/>
            <color indexed="81"/>
            <rFont val="Tahoma"/>
            <family val="2"/>
          </rPr>
          <t xml:space="preserve">Gain on sale of investment securities $7.072m
</t>
        </r>
      </text>
    </comment>
    <comment ref="CC49" authorId="0">
      <text>
        <r>
          <rPr>
            <sz val="9"/>
            <color indexed="81"/>
            <rFont val="Tahoma"/>
            <family val="2"/>
          </rPr>
          <t xml:space="preserve">Gain on sale of investment securities $13.442m
</t>
        </r>
      </text>
    </comment>
    <comment ref="CD49" authorId="0">
      <text>
        <r>
          <rPr>
            <sz val="9"/>
            <color indexed="81"/>
            <rFont val="Tahoma"/>
            <family val="2"/>
          </rPr>
          <t xml:space="preserve">Gain on sale of investment securities $26.349m ($16.06 net of tax)
</t>
        </r>
      </text>
    </comment>
    <comment ref="CE49" authorId="0">
      <text>
        <r>
          <rPr>
            <sz val="9"/>
            <color indexed="81"/>
            <rFont val="Tahoma"/>
            <family val="2"/>
          </rPr>
          <t xml:space="preserve">Gain on sale of investment securities $(0.036)m
</t>
        </r>
      </text>
    </comment>
    <comment ref="CG49" authorId="0">
      <text>
        <r>
          <rPr>
            <sz val="9"/>
            <color indexed="81"/>
            <rFont val="Tahoma"/>
            <family val="2"/>
          </rPr>
          <t xml:space="preserve">Gain on sale of investment securities $0.656m
</t>
        </r>
      </text>
    </comment>
    <comment ref="CH49" authorId="0">
      <text>
        <r>
          <rPr>
            <sz val="9"/>
            <color indexed="81"/>
            <rFont val="Tahoma"/>
            <family val="2"/>
          </rPr>
          <t xml:space="preserve">Gain on sale of investment securities $2.72m ($1.721 net of tax)
</t>
        </r>
      </text>
    </comment>
    <comment ref="CJ49" authorId="0">
      <text>
        <r>
          <rPr>
            <sz val="9"/>
            <color indexed="81"/>
            <rFont val="Tahoma"/>
            <family val="2"/>
          </rPr>
          <t xml:space="preserve">Gain on sale of investment securities $9.39m
</t>
        </r>
      </text>
    </comment>
    <comment ref="CK49" authorId="0">
      <text>
        <r>
          <rPr>
            <sz val="9"/>
            <color indexed="81"/>
            <rFont val="Tahoma"/>
            <family val="2"/>
          </rPr>
          <t xml:space="preserve">Gain on sale of investment securities $7.756m
</t>
        </r>
      </text>
    </comment>
    <comment ref="CL49" authorId="0">
      <text>
        <r>
          <rPr>
            <sz val="9"/>
            <color indexed="81"/>
            <rFont val="Tahoma"/>
            <family val="2"/>
          </rPr>
          <t xml:space="preserve">Gain on sale of investment securities $26.337m
</t>
        </r>
      </text>
    </comment>
    <comment ref="CM49" authorId="0">
      <text>
        <r>
          <rPr>
            <sz val="9"/>
            <color indexed="81"/>
            <rFont val="Tahoma"/>
            <family val="2"/>
          </rPr>
          <t>Gain on sale of investment securities $0.177m
gain from involuntary conversion of long-lived assets and gain from asset sales</t>
        </r>
      </text>
    </comment>
    <comment ref="CN49" authorId="0">
      <text>
        <r>
          <rPr>
            <sz val="9"/>
            <color indexed="81"/>
            <rFont val="Tahoma"/>
            <family val="2"/>
          </rPr>
          <t>Gain on sale of investment securities $25.298m
gain from involuntary conversion of long-lived assets and gain from asset sales</t>
        </r>
      </text>
    </comment>
    <comment ref="CO49" authorId="0">
      <text>
        <r>
          <rPr>
            <sz val="9"/>
            <color indexed="81"/>
            <rFont val="Tahoma"/>
            <family val="2"/>
          </rPr>
          <t xml:space="preserve">Gain on sale of investment securities $13.646m
Gain from involuntary conversion of long-lived assets $5.591m
</t>
        </r>
      </text>
    </comment>
    <comment ref="CP49" authorId="0">
      <text>
        <r>
          <rPr>
            <sz val="9"/>
            <color indexed="81"/>
            <rFont val="Tahoma"/>
            <family val="2"/>
          </rPr>
          <t xml:space="preserve">Gain on sale of investment securities $0.130m
Gain from involuntary conversion of long-lived assets
</t>
        </r>
      </text>
    </comment>
    <comment ref="CQ49" authorId="0">
      <text>
        <r>
          <rPr>
            <sz val="9"/>
            <color indexed="81"/>
            <rFont val="Tahoma"/>
            <family val="2"/>
          </rPr>
          <t xml:space="preserve">Gain on sale of investment securities $5.476m
</t>
        </r>
      </text>
    </comment>
    <comment ref="CR49" authorId="0">
      <text>
        <r>
          <rPr>
            <sz val="9"/>
            <color indexed="81"/>
            <rFont val="Tahoma"/>
            <family val="2"/>
          </rPr>
          <t>Acquired in process R&amp;D $11.129
Gain on sale of investment securities $16.388m
gain from involuntary conversion of long-lived assets and gain from asset sales</t>
        </r>
      </text>
    </comment>
    <comment ref="CS49" authorId="0">
      <text>
        <r>
          <rPr>
            <sz val="9"/>
            <color indexed="81"/>
            <rFont val="Tahoma"/>
            <family val="2"/>
          </rPr>
          <t>gain from involuntary conversion of long-lived assets and gain from asset sales</t>
        </r>
      </text>
    </comment>
    <comment ref="CT49" authorId="0">
      <text>
        <r>
          <rPr>
            <sz val="9"/>
            <color indexed="81"/>
            <rFont val="Tahoma"/>
            <family val="2"/>
          </rPr>
          <t>gain from involuntary conversion of long-lived assets and gain from asset sales</t>
        </r>
      </text>
    </comment>
    <comment ref="CY49" authorId="0">
      <text>
        <r>
          <rPr>
            <sz val="9"/>
            <color indexed="81"/>
            <rFont val="Tahoma"/>
            <family val="2"/>
          </rPr>
          <t>venezuela currency devaluation</t>
        </r>
      </text>
    </comment>
    <comment ref="DR49" authorId="0">
      <text>
        <r>
          <rPr>
            <sz val="9"/>
            <color indexed="81"/>
            <rFont val="Tahoma"/>
            <family val="2"/>
          </rPr>
          <t>early termination payments</t>
        </r>
      </text>
    </comment>
    <comment ref="DS49" authorId="0">
      <text>
        <r>
          <rPr>
            <sz val="9"/>
            <color indexed="81"/>
            <rFont val="Tahoma"/>
            <family val="2"/>
          </rPr>
          <t>early termination payments and other adjustments</t>
        </r>
      </text>
    </comment>
    <comment ref="DT49" authorId="0">
      <text>
        <r>
          <rPr>
            <sz val="9"/>
            <color indexed="81"/>
            <rFont val="Tahoma"/>
            <family val="2"/>
          </rPr>
          <t>early terms</t>
        </r>
      </text>
    </comment>
    <comment ref="DU49" authorId="0">
      <text>
        <r>
          <rPr>
            <sz val="9"/>
            <color indexed="81"/>
            <rFont val="Tahoma"/>
            <family val="2"/>
          </rPr>
          <t>early terms</t>
        </r>
      </text>
    </comment>
    <comment ref="DV49" authorId="0">
      <text>
        <r>
          <rPr>
            <sz val="9"/>
            <color indexed="81"/>
            <rFont val="Tahoma"/>
            <family val="2"/>
          </rPr>
          <t>early term, production tax effect, currency exchange loss</t>
        </r>
      </text>
    </comment>
    <comment ref="DW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term. and severance expense</t>
        </r>
      </text>
    </comment>
    <comment ref="DX49" authorId="0">
      <text>
        <r>
          <rPr>
            <sz val="9"/>
            <color indexed="81"/>
            <rFont val="Tahoma"/>
            <family val="2"/>
          </rPr>
          <t>early term</t>
        </r>
      </text>
    </comment>
    <comment ref="DY49" authorId="0">
      <text>
        <r>
          <rPr>
            <sz val="9"/>
            <color indexed="81"/>
            <rFont val="Tahoma"/>
            <family val="2"/>
          </rPr>
          <t>early term, workers comp/litigation adjustment, tax code change</t>
        </r>
      </text>
    </comment>
    <comment ref="DZ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after tax impact of early termination &amp; litigation charge</t>
        </r>
      </text>
    </comment>
    <comment ref="EA49" authorId="0">
      <text>
        <r>
          <rPr>
            <sz val="9"/>
            <color indexed="81"/>
            <rFont val="Tahoma"/>
            <family val="2"/>
          </rPr>
          <t>early term</t>
        </r>
      </text>
    </comment>
    <comment ref="EB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termination, MOTIVE acquisition charges</t>
        </r>
      </text>
    </comment>
    <comment ref="EC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$25mm thereafter</t>
        </r>
      </text>
    </comment>
    <comment ref="ED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term, </t>
        </r>
      </text>
    </comment>
    <comment ref="EE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 est.</t>
        </r>
      </text>
    </comment>
    <comment ref="EF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 est.</t>
        </r>
      </text>
    </comment>
    <comment ref="EG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 est.</t>
        </r>
      </text>
    </comment>
    <comment ref="EH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 est.</t>
        </r>
      </text>
    </comment>
    <comment ref="B55" authorId="0">
      <text>
        <r>
          <rPr>
            <sz val="9"/>
            <color indexed="81"/>
            <rFont val="Tahoma"/>
            <family val="2"/>
          </rPr>
          <t xml:space="preserve">2-for-1 split effective June 26, 2006
2-for-1 split effective December 15, 1997 </t>
        </r>
      </text>
    </comment>
    <comment ref="B58" authorId="0">
      <text>
        <r>
          <rPr>
            <sz val="9"/>
            <color indexed="81"/>
            <rFont val="Tahoma"/>
            <family val="2"/>
          </rPr>
          <t xml:space="preserve">2-for-1 split effective June 26, 2006
2-for-1 split effective December 15, 1997 </t>
        </r>
      </text>
    </comment>
    <comment ref="AK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O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S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W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A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E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I58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DS62" authorId="0">
      <text>
        <r>
          <rPr>
            <sz val="9"/>
            <color indexed="81"/>
            <rFont val="Tahoma"/>
            <family val="2"/>
          </rPr>
          <t xml:space="preserve"> revenue days down 25%, moving to 30% due to rapid activity drop</t>
        </r>
      </text>
    </comment>
    <comment ref="DT62" authorId="0">
      <text>
        <r>
          <rPr>
            <sz val="9"/>
            <color indexed="81"/>
            <rFont val="Tahoma"/>
            <family val="2"/>
          </rPr>
          <t>revenue days down 32%</t>
        </r>
      </text>
    </comment>
    <comment ref="DU62" authorId="0">
      <text>
        <r>
          <rPr>
            <sz val="9"/>
            <color indexed="81"/>
            <rFont val="Tahoma"/>
            <family val="2"/>
          </rPr>
          <t>decrease 3-5%
update: decrease slightly over 5%</t>
        </r>
      </text>
    </comment>
    <comment ref="DV62" authorId="0">
      <text>
        <r>
          <rPr>
            <sz val="9"/>
            <color indexed="81"/>
            <rFont val="Tahoma"/>
            <family val="2"/>
          </rPr>
          <t>down 11-14%</t>
        </r>
      </text>
    </comment>
    <comment ref="DW62" authorId="0">
      <text>
        <r>
          <rPr>
            <sz val="9"/>
            <color indexed="81"/>
            <rFont val="Tahoma"/>
            <family val="2"/>
          </rPr>
          <t>decrease by 20%</t>
        </r>
      </text>
    </comment>
    <comment ref="DX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25-28% down, revised to 24%</t>
        </r>
      </text>
    </comment>
    <comment ref="DZ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slightly above guidance based on Dec. 7th press release indicating higher activity</t>
        </r>
      </text>
    </comment>
    <comment ref="EB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up 25%</t>
        </r>
      </text>
    </comment>
    <comment ref="DS63" authorId="0">
      <text>
        <r>
          <rPr>
            <sz val="9"/>
            <color indexed="81"/>
            <rFont val="Tahoma"/>
            <family val="2"/>
          </rPr>
          <t xml:space="preserve"> 27000 - 27500</t>
        </r>
      </text>
    </comment>
    <comment ref="DT63" authorId="0">
      <text>
        <r>
          <rPr>
            <sz val="9"/>
            <color indexed="81"/>
            <rFont val="Tahoma"/>
            <family val="2"/>
          </rPr>
          <t xml:space="preserve"> 26.5</t>
        </r>
      </text>
    </comment>
    <comment ref="DU63" authorId="0">
      <text>
        <r>
          <rPr>
            <sz val="9"/>
            <color indexed="81"/>
            <rFont val="Tahoma"/>
            <family val="2"/>
          </rPr>
          <t>guidance 26,000</t>
        </r>
      </text>
    </comment>
    <comment ref="DV63" authorId="0">
      <text>
        <r>
          <rPr>
            <sz val="9"/>
            <color indexed="81"/>
            <rFont val="Tahoma"/>
            <family val="2"/>
          </rPr>
          <t>26kpd guidance</t>
        </r>
      </text>
    </comment>
    <comment ref="DW63" authorId="0">
      <text>
        <r>
          <rPr>
            <sz val="9"/>
            <color indexed="81"/>
            <rFont val="Tahoma"/>
            <family val="2"/>
          </rPr>
          <t>flat</t>
        </r>
      </text>
    </comment>
    <comment ref="DX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$25kpd</t>
        </r>
      </text>
    </comment>
    <comment ref="EA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</t>
        </r>
      </text>
    </comment>
    <comment ref="EE6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flat to slightly up</t>
        </r>
      </text>
    </comment>
    <comment ref="DS64" authorId="0">
      <text>
        <r>
          <rPr>
            <sz val="9"/>
            <color indexed="81"/>
            <rFont val="Tahoma"/>
            <family val="2"/>
          </rPr>
          <t xml:space="preserve"> 13350</t>
        </r>
      </text>
    </comment>
    <comment ref="DT64" authorId="0">
      <text>
        <r>
          <rPr>
            <sz val="9"/>
            <color indexed="81"/>
            <rFont val="Tahoma"/>
            <family val="2"/>
          </rPr>
          <t>guidance</t>
        </r>
      </text>
    </comment>
    <comment ref="DU64" authorId="0">
      <text>
        <r>
          <rPr>
            <sz val="9"/>
            <color indexed="81"/>
            <rFont val="Tahoma"/>
            <family val="2"/>
          </rPr>
          <t>guidance 13,900</t>
        </r>
      </text>
    </comment>
    <comment ref="DV64" authorId="0">
      <text>
        <r>
          <rPr>
            <sz val="9"/>
            <color indexed="81"/>
            <rFont val="Tahoma"/>
            <family val="2"/>
          </rPr>
          <t>13600 guidance</t>
        </r>
      </text>
    </comment>
    <comment ref="DW64" authorId="0">
      <text>
        <r>
          <rPr>
            <sz val="9"/>
            <color indexed="81"/>
            <rFont val="Tahoma"/>
            <family val="2"/>
          </rPr>
          <t>~13,600</t>
        </r>
      </text>
    </comment>
    <comment ref="EA6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</t>
        </r>
      </text>
    </comment>
    <comment ref="DS68" authorId="0">
      <text>
        <r>
          <rPr>
            <sz val="9"/>
            <color indexed="81"/>
            <rFont val="Tahoma"/>
            <family val="2"/>
          </rPr>
          <t xml:space="preserve"> flat revenue days, revised to down 5%</t>
        </r>
      </text>
    </comment>
    <comment ref="DT68" authorId="0">
      <text>
        <r>
          <rPr>
            <sz val="9"/>
            <color indexed="81"/>
            <rFont val="Tahoma"/>
            <family val="2"/>
          </rPr>
          <t>down 10%</t>
        </r>
      </text>
    </comment>
    <comment ref="DU68" authorId="0">
      <text>
        <r>
          <rPr>
            <sz val="9"/>
            <color indexed="81"/>
            <rFont val="Tahoma"/>
            <family val="2"/>
          </rPr>
          <t>flat</t>
        </r>
      </text>
    </comment>
    <comment ref="DW68" authorId="0">
      <text>
        <r>
          <rPr>
            <sz val="9"/>
            <color indexed="81"/>
            <rFont val="Tahoma"/>
            <family val="2"/>
          </rPr>
          <t>down 5-10%</t>
        </r>
      </text>
    </comment>
    <comment ref="DX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down 8%</t>
        </r>
      </text>
    </comment>
    <comment ref="EB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down 10-15%</t>
        </r>
      </text>
    </comment>
    <comment ref="EC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down 10%</t>
        </r>
      </text>
    </comment>
    <comment ref="DS69" authorId="0">
      <text>
        <r>
          <rPr>
            <sz val="9"/>
            <color indexed="81"/>
            <rFont val="Tahoma"/>
            <family val="2"/>
          </rPr>
          <t>19500 margin guidance</t>
        </r>
      </text>
    </comment>
    <comment ref="DX69" authorId="0">
      <text>
        <r>
          <rPr>
            <sz val="9"/>
            <color indexed="81"/>
            <rFont val="Tahoma"/>
            <family val="2"/>
          </rPr>
          <t>rigs coming off standby</t>
        </r>
      </text>
    </comment>
    <comment ref="DS71" authorId="0">
      <text>
        <r>
          <rPr>
            <sz val="9"/>
            <color indexed="81"/>
            <rFont val="Tahoma"/>
            <family val="2"/>
          </rPr>
          <t>guidance</t>
        </r>
      </text>
    </comment>
    <comment ref="DT71" authorId="0">
      <text>
        <r>
          <rPr>
            <sz val="9"/>
            <color indexed="81"/>
            <rFont val="Tahoma"/>
            <family val="2"/>
          </rPr>
          <t xml:space="preserve"> ~14000</t>
        </r>
      </text>
    </comment>
    <comment ref="DU71" authorId="0">
      <text>
        <r>
          <rPr>
            <sz val="9"/>
            <color indexed="81"/>
            <rFont val="Tahoma"/>
            <family val="2"/>
          </rPr>
          <t>guidance 10,500</t>
        </r>
      </text>
    </comment>
    <comment ref="DV71" authorId="0">
      <text>
        <r>
          <rPr>
            <sz val="9"/>
            <color indexed="81"/>
            <rFont val="Tahoma"/>
            <family val="2"/>
          </rPr>
          <t>~9500kpd</t>
        </r>
      </text>
    </comment>
    <comment ref="DW71" authorId="0">
      <text>
        <r>
          <rPr>
            <sz val="9"/>
            <color indexed="81"/>
            <rFont val="Tahoma"/>
            <family val="2"/>
          </rPr>
          <t>8250</t>
        </r>
      </text>
    </comment>
    <comment ref="DX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$8kpd</t>
        </r>
      </text>
    </comment>
    <comment ref="DR74" authorId="0">
      <text>
        <r>
          <rPr>
            <sz val="9"/>
            <color indexed="81"/>
            <rFont val="Tahoma"/>
            <family val="2"/>
          </rPr>
          <t>expect flat Q/Q</t>
        </r>
      </text>
    </comment>
    <comment ref="DS74" authorId="0">
      <text>
        <r>
          <rPr>
            <sz val="9"/>
            <color indexed="81"/>
            <rFont val="Tahoma"/>
            <family val="2"/>
          </rPr>
          <t xml:space="preserve"> revenue days down 10-15%</t>
        </r>
      </text>
    </comment>
    <comment ref="DT74" authorId="0">
      <text>
        <r>
          <rPr>
            <sz val="9"/>
            <color indexed="81"/>
            <rFont val="Tahoma"/>
            <family val="2"/>
          </rPr>
          <t xml:space="preserve"> flat</t>
        </r>
      </text>
    </comment>
    <comment ref="DU74" authorId="0">
      <text>
        <r>
          <rPr>
            <sz val="9"/>
            <color indexed="81"/>
            <rFont val="Tahoma"/>
            <family val="2"/>
          </rPr>
          <t>down 10-15%</t>
        </r>
      </text>
    </comment>
    <comment ref="DV74" authorId="0">
      <text>
        <r>
          <rPr>
            <sz val="9"/>
            <color indexed="81"/>
            <rFont val="Tahoma"/>
            <family val="2"/>
          </rPr>
          <t>~1400 days</t>
        </r>
      </text>
    </comment>
    <comment ref="DW74" authorId="0">
      <text>
        <r>
          <rPr>
            <sz val="9"/>
            <color indexed="81"/>
            <rFont val="Tahoma"/>
            <family val="2"/>
          </rPr>
          <t>down 5-10%</t>
        </r>
      </text>
    </comment>
    <comment ref="DX7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down 3%</t>
        </r>
      </text>
    </comment>
    <comment ref="EB7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down 10%</t>
        </r>
      </text>
    </comment>
    <comment ref="EF7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could have 18 by EO 2FQ</t>
        </r>
      </text>
    </comment>
    <comment ref="DS75" authorId="0">
      <text>
        <r>
          <rPr>
            <sz val="9"/>
            <color indexed="81"/>
            <rFont val="Tahoma"/>
            <family val="2"/>
          </rPr>
          <t xml:space="preserve"> margin down 25-30%</t>
        </r>
      </text>
    </comment>
    <comment ref="DS77" authorId="0">
      <text>
        <r>
          <rPr>
            <sz val="9"/>
            <color indexed="81"/>
            <rFont val="Tahoma"/>
            <family val="2"/>
          </rPr>
          <t xml:space="preserve"> down 25-30%, revised to 5-15%</t>
        </r>
      </text>
    </comment>
    <comment ref="DT77" authorId="0">
      <text>
        <r>
          <rPr>
            <sz val="9"/>
            <color indexed="81"/>
            <rFont val="Tahoma"/>
            <family val="2"/>
          </rPr>
          <t>relatively flat</t>
        </r>
      </text>
    </comment>
    <comment ref="DV77" authorId="0">
      <text>
        <r>
          <rPr>
            <sz val="9"/>
            <color indexed="81"/>
            <rFont val="Tahoma"/>
            <family val="2"/>
          </rPr>
          <t>~8kpd</t>
        </r>
      </text>
    </comment>
    <comment ref="DW77" authorId="0">
      <text>
        <r>
          <rPr>
            <sz val="9"/>
            <color indexed="81"/>
            <rFont val="Tahoma"/>
            <family val="2"/>
          </rPr>
          <t>7500</t>
        </r>
      </text>
    </comment>
    <comment ref="DX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$11kpd</t>
        </r>
      </text>
    </comment>
    <comment ref="Y98" authorId="0">
      <text>
        <r>
          <rPr>
            <sz val="9"/>
            <color indexed="81"/>
            <rFont val="Tahoma"/>
            <family val="2"/>
          </rPr>
          <t xml:space="preserve"> tax rate should be similar y/y</t>
        </r>
      </text>
    </comment>
    <comment ref="Z98" authorId="0">
      <text>
        <r>
          <rPr>
            <sz val="9"/>
            <color indexed="81"/>
            <rFont val="Tahoma"/>
            <family val="2"/>
          </rPr>
          <t xml:space="preserve"> slightly over 35%</t>
        </r>
      </text>
    </comment>
    <comment ref="DI98" authorId="0">
      <text>
        <r>
          <rPr>
            <sz val="9"/>
            <color indexed="81"/>
            <rFont val="Tahoma"/>
            <family val="2"/>
          </rPr>
          <t xml:space="preserve"> 36-37%</t>
        </r>
      </text>
    </comment>
    <comment ref="DY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40% vs. 75% guidance as some non-recurring components to guidance</t>
        </r>
      </text>
    </comment>
    <comment ref="EH9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blended statutory tax rate of 25% during FY19 and beyond</t>
        </r>
      </text>
    </comment>
    <comment ref="DS104" authorId="0">
      <text>
        <r>
          <rPr>
            <sz val="9"/>
            <color indexed="81"/>
            <rFont val="Tahoma"/>
            <family val="2"/>
          </rPr>
          <t>347 in last presentation - 17 decommissioned Flex1 and Flex2 rigs</t>
        </r>
      </text>
    </comment>
    <comment ref="DV104" authorId="0">
      <text>
        <r>
          <rPr>
            <sz val="9"/>
            <color indexed="81"/>
            <rFont val="Tahoma"/>
            <family val="2"/>
          </rPr>
          <t>347 as of earnings call</t>
        </r>
      </text>
    </comment>
    <comment ref="DQ109" authorId="0">
      <text>
        <r>
          <rPr>
            <sz val="9"/>
            <color indexed="81"/>
            <rFont val="Tahoma"/>
            <family val="2"/>
          </rPr>
          <t>guided to +2-3%</t>
        </r>
      </text>
    </comment>
    <comment ref="DR109" authorId="0">
      <text>
        <r>
          <rPr>
            <sz val="9"/>
            <color indexed="81"/>
            <rFont val="Tahoma"/>
            <family val="2"/>
          </rPr>
          <t>1-2% higher</t>
        </r>
      </text>
    </comment>
    <comment ref="DS109" authorId="0">
      <text>
        <r>
          <rPr>
            <sz val="9"/>
            <color indexed="81"/>
            <rFont val="Tahoma"/>
            <family val="2"/>
          </rPr>
          <t xml:space="preserve"> -25% guide but dropping more rapidly than expected</t>
        </r>
      </text>
    </comment>
    <comment ref="Z112" authorId="0">
      <text>
        <r>
          <rPr>
            <sz val="9"/>
            <color indexed="81"/>
            <rFont val="Tahoma"/>
            <family val="2"/>
          </rPr>
          <t xml:space="preserve"> down 2% vs 3q if spot price is flat based on contracts rolling</t>
        </r>
      </text>
    </comment>
    <comment ref="DB112" authorId="0">
      <text>
        <r>
          <rPr>
            <sz val="9"/>
            <color indexed="81"/>
            <rFont val="Tahoma"/>
            <family val="2"/>
          </rPr>
          <t>guided up 500 kpd</t>
        </r>
      </text>
    </comment>
    <comment ref="DC112" authorId="0">
      <text>
        <r>
          <rPr>
            <sz val="9"/>
            <color indexed="81"/>
            <rFont val="Tahoma"/>
            <family val="2"/>
          </rPr>
          <t>to increase by $400-500/d</t>
        </r>
      </text>
    </comment>
    <comment ref="DD112" authorId="0">
      <text>
        <r>
          <rPr>
            <sz val="9"/>
            <color indexed="81"/>
            <rFont val="Tahoma"/>
            <family val="2"/>
          </rPr>
          <t>guided $300-400 increase</t>
        </r>
      </text>
    </comment>
    <comment ref="DE112" authorId="0">
      <text>
        <r>
          <rPr>
            <sz val="9"/>
            <color indexed="81"/>
            <rFont val="Tahoma"/>
            <family val="2"/>
          </rPr>
          <t>guided to increase $200-300/day</t>
        </r>
      </text>
    </comment>
    <comment ref="DF112" authorId="0">
      <text>
        <r>
          <rPr>
            <sz val="9"/>
            <color indexed="81"/>
            <rFont val="Tahoma"/>
            <family val="2"/>
          </rPr>
          <t>200-300/day improvement</t>
        </r>
      </text>
    </comment>
    <comment ref="DG112" authorId="0">
      <text>
        <r>
          <rPr>
            <sz val="9"/>
            <color indexed="81"/>
            <rFont val="Tahoma"/>
            <family val="2"/>
          </rPr>
          <t>may improve slightly up to $200, excluding expenses passed through</t>
        </r>
      </text>
    </comment>
    <comment ref="DH112" authorId="0">
      <text>
        <r>
          <rPr>
            <sz val="9"/>
            <color indexed="81"/>
            <rFont val="Tahoma"/>
            <family val="2"/>
          </rPr>
          <t xml:space="preserve"> up 200/day</t>
        </r>
      </text>
    </comment>
    <comment ref="DI112" authorId="0">
      <text>
        <r>
          <rPr>
            <sz val="9"/>
            <color indexed="81"/>
            <rFont val="Tahoma"/>
            <family val="2"/>
          </rPr>
          <t xml:space="preserve"> 2H up 250/day on average
jul 12: expect flat with 3Q. Contract up 150/day but spot mkt flat, but ex impact of $140 early term</t>
        </r>
      </text>
    </comment>
    <comment ref="DJ112" authorId="0">
      <text>
        <r>
          <rPr>
            <sz val="9"/>
            <color indexed="81"/>
            <rFont val="Tahoma"/>
            <family val="2"/>
          </rPr>
          <t>2013 up $500/day from F 2Q12 for contracted rigs, so assuming flat into 2013
4q12F: backing out $280/day in early term pmts, then targeting q/q decline in implied spot rate in row 294</t>
        </r>
      </text>
    </comment>
    <comment ref="DL112" authorId="0">
      <text>
        <r>
          <rPr>
            <sz val="9"/>
            <color indexed="81"/>
            <rFont val="Tahoma"/>
            <family val="2"/>
          </rPr>
          <t>down 1%</t>
        </r>
      </text>
    </comment>
    <comment ref="DM112" authorId="0">
      <text>
        <r>
          <rPr>
            <sz val="9"/>
            <color indexed="81"/>
            <rFont val="Tahoma"/>
            <family val="2"/>
          </rPr>
          <t>excludes early term impact</t>
        </r>
      </text>
    </comment>
    <comment ref="DN112" authorId="0">
      <text>
        <r>
          <rPr>
            <sz val="9"/>
            <color indexed="81"/>
            <rFont val="Tahoma"/>
            <family val="2"/>
          </rPr>
          <t xml:space="preserve"> avg rev/day down less than 1%</t>
        </r>
      </text>
    </comment>
    <comment ref="DO112" authorId="0">
      <text>
        <r>
          <rPr>
            <sz val="9"/>
            <color indexed="81"/>
            <rFont val="Tahoma"/>
            <family val="2"/>
          </rPr>
          <t xml:space="preserve"> flat ex early term</t>
        </r>
      </text>
    </comment>
    <comment ref="DR112" authorId="0">
      <text>
        <r>
          <rPr>
            <sz val="9"/>
            <color indexed="81"/>
            <rFont val="Tahoma"/>
            <family val="2"/>
          </rPr>
          <t xml:space="preserve"> flat
number excludes impact of early termination payments</t>
        </r>
      </text>
    </comment>
    <comment ref="DS112" authorId="0">
      <text>
        <r>
          <rPr>
            <sz val="9"/>
            <color indexed="81"/>
            <rFont val="Tahoma"/>
            <family val="2"/>
          </rPr>
          <t>excludes early termination payments</t>
        </r>
      </text>
    </comment>
    <comment ref="DT112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DU112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DV112" authorId="0">
      <text>
        <r>
          <rPr>
            <sz val="9"/>
            <color indexed="81"/>
            <rFont val="Tahoma"/>
            <family val="2"/>
          </rPr>
          <t>excludes early term</t>
        </r>
      </text>
    </comment>
    <comment ref="DW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$8,287 in early term. impact</t>
        </r>
      </text>
    </comment>
    <comment ref="DX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term. impact</t>
        </r>
      </text>
    </comment>
    <comment ref="DY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termination</t>
        </r>
      </text>
    </comment>
    <comment ref="DZ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termination</t>
        </r>
      </text>
    </comment>
    <comment ref="EA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termination</t>
        </r>
      </text>
    </comment>
    <comment ref="EB11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early termination</t>
        </r>
      </text>
    </comment>
    <comment ref="DB113" authorId="0">
      <text>
        <r>
          <rPr>
            <sz val="9"/>
            <color indexed="81"/>
            <rFont val="Tahoma"/>
            <family val="2"/>
          </rPr>
          <t>down by 350 kpd</t>
        </r>
      </text>
    </comment>
    <comment ref="DD113" authorId="0">
      <text>
        <r>
          <rPr>
            <sz val="9"/>
            <color indexed="81"/>
            <rFont val="Tahoma"/>
            <family val="2"/>
          </rPr>
          <t>adjusted for lawsuit settlement</t>
        </r>
      </text>
    </comment>
    <comment ref="DF113" authorId="0">
      <text>
        <r>
          <rPr>
            <sz val="9"/>
            <color indexed="81"/>
            <rFont val="Tahoma"/>
            <family val="2"/>
          </rPr>
          <t>guided to increase, but much of it to be passed through</t>
        </r>
      </text>
    </comment>
    <comment ref="DG113" authorId="0">
      <text>
        <r>
          <rPr>
            <sz val="9"/>
            <color indexed="81"/>
            <rFont val="Tahoma"/>
            <family val="2"/>
          </rPr>
          <t>expect to range above $13,200 -- but lower from 1QC</t>
        </r>
      </text>
    </comment>
    <comment ref="DH113" authorId="0">
      <text>
        <r>
          <rPr>
            <sz val="9"/>
            <color indexed="81"/>
            <rFont val="Tahoma"/>
            <family val="2"/>
          </rPr>
          <t xml:space="preserve"> 13500-13800</t>
        </r>
      </text>
    </comment>
    <comment ref="DI113" authorId="0">
      <text>
        <r>
          <rPr>
            <sz val="9"/>
            <color indexed="81"/>
            <rFont val="Tahoma"/>
            <family val="2"/>
          </rPr>
          <t xml:space="preserve"> targeting back to the 13200 level, but will take time
jul 12: 13500-13800</t>
        </r>
      </text>
    </comment>
    <comment ref="DL113" authorId="0">
      <text>
        <r>
          <rPr>
            <sz val="9"/>
            <color indexed="81"/>
            <rFont val="Tahoma"/>
            <family val="2"/>
          </rPr>
          <t>12,900 +/- 1-2%</t>
        </r>
      </text>
    </comment>
    <comment ref="DO113" authorId="0">
      <text>
        <r>
          <rPr>
            <sz val="9"/>
            <color indexed="81"/>
            <rFont val="Tahoma"/>
            <family val="2"/>
          </rPr>
          <t xml:space="preserve"> slightly over 13k</t>
        </r>
      </text>
    </comment>
    <comment ref="DQ113" authorId="0">
      <text>
        <r>
          <rPr>
            <sz val="9"/>
            <color indexed="81"/>
            <rFont val="Tahoma"/>
            <family val="2"/>
          </rPr>
          <t xml:space="preserve"> 13k guide</t>
        </r>
      </text>
    </comment>
    <comment ref="DR113" authorId="0">
      <text>
        <r>
          <rPr>
            <sz val="9"/>
            <color indexed="81"/>
            <rFont val="Tahoma"/>
            <family val="2"/>
          </rPr>
          <t>guided to 13250</t>
        </r>
      </text>
    </comment>
    <comment ref="DW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severance</t>
        </r>
      </text>
    </comment>
    <comment ref="DX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severance</t>
        </r>
      </text>
    </comment>
    <comment ref="DY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$2923 of lawsuit settlement and self insurance reserve charges</t>
        </r>
      </text>
    </comment>
    <comment ref="DZ11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$140/d of lawsuit related charges</t>
        </r>
      </text>
    </comment>
    <comment ref="DF114" authorId="0">
      <text>
        <r>
          <rPr>
            <sz val="9"/>
            <color indexed="81"/>
            <rFont val="Tahoma"/>
            <family val="2"/>
          </rPr>
          <t>slight improvement</t>
        </r>
      </text>
    </comment>
    <comment ref="DH117" authorId="0">
      <text>
        <r>
          <rPr>
            <sz val="9"/>
            <color indexed="81"/>
            <rFont val="Tahoma"/>
            <family val="2"/>
          </rPr>
          <t>$140/day</t>
        </r>
      </text>
    </comment>
    <comment ref="DI117" authorId="0">
      <text>
        <r>
          <rPr>
            <sz val="9"/>
            <color indexed="81"/>
            <rFont val="Tahoma"/>
            <family val="2"/>
          </rPr>
          <t xml:space="preserve"> $7m</t>
        </r>
      </text>
    </comment>
    <comment ref="DJ117" authorId="0">
      <text>
        <r>
          <rPr>
            <sz val="9"/>
            <color indexed="81"/>
            <rFont val="Tahoma"/>
            <family val="2"/>
          </rPr>
          <t xml:space="preserve"> less than $1m in termination pmts for 1q13F</t>
        </r>
      </text>
    </comment>
    <comment ref="DM117" authorId="0">
      <text>
        <r>
          <rPr>
            <sz val="9"/>
            <color indexed="81"/>
            <rFont val="Tahoma"/>
            <family val="2"/>
          </rPr>
          <t>$7.7m  early term rev
$5.2m delay delivery rev</t>
        </r>
      </text>
    </comment>
    <comment ref="DN117" authorId="0">
      <text>
        <r>
          <rPr>
            <sz val="9"/>
            <color indexed="81"/>
            <rFont val="Tahoma"/>
            <family val="2"/>
          </rPr>
          <t xml:space="preserve"> 10</t>
        </r>
      </text>
    </comment>
    <comment ref="DR117" authorId="0">
      <text>
        <r>
          <rPr>
            <sz val="9"/>
            <color indexed="81"/>
            <rFont val="Tahoma"/>
            <family val="2"/>
          </rPr>
          <t>23mm early termination</t>
        </r>
      </text>
    </comment>
    <comment ref="DS117" authorId="0">
      <text>
        <r>
          <rPr>
            <sz val="9"/>
            <color indexed="81"/>
            <rFont val="Tahoma"/>
            <family val="2"/>
          </rPr>
          <t>1Q call guidance for $60mm, revised down in March update, assume $45mm; actually realized $71mm or $3413/day</t>
        </r>
      </text>
    </comment>
    <comment ref="DQ126" authorId="0">
      <text>
        <r>
          <rPr>
            <sz val="9"/>
            <color indexed="81"/>
            <rFont val="Tahoma"/>
            <family val="2"/>
          </rPr>
          <t>removing non-cash decommissioning charge</t>
        </r>
      </text>
    </comment>
    <comment ref="DU126" authorId="0">
      <text>
        <r>
          <rPr>
            <sz val="9"/>
            <color indexed="81"/>
            <rFont val="Tahoma"/>
            <family val="2"/>
          </rPr>
          <t>excludes abandonment</t>
        </r>
      </text>
    </comment>
    <comment ref="DY1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$38mm abandonment charge</t>
        </r>
      </text>
    </comment>
    <comment ref="EA1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abandonment charges</t>
        </r>
      </text>
    </comment>
    <comment ref="EC1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$15.4 of abandonment charges</t>
        </r>
      </text>
    </comment>
    <comment ref="ED1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7.2mm of abandonment</t>
        </r>
      </text>
    </comment>
    <comment ref="E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F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G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H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I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J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K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L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M127" authorId="0">
      <text>
        <r>
          <rPr>
            <sz val="9"/>
            <color indexed="81"/>
            <rFont val="Tahoma"/>
            <family val="2"/>
          </rPr>
          <t xml:space="preserve">Includes US land and offshore operating profit as HP does not report them separately.
</t>
        </r>
      </text>
    </comment>
    <comment ref="DH145" authorId="0">
      <text>
        <r>
          <rPr>
            <sz val="9"/>
            <color indexed="81"/>
            <rFont val="Tahoma"/>
            <family val="2"/>
          </rPr>
          <t>have a rig coming back in May</t>
        </r>
      </text>
    </comment>
    <comment ref="DI145" authorId="0">
      <text>
        <r>
          <rPr>
            <sz val="9"/>
            <color indexed="81"/>
            <rFont val="Tahoma"/>
            <family val="2"/>
          </rPr>
          <t>have another rig coming back in September</t>
        </r>
      </text>
    </comment>
    <comment ref="DR145" authorId="0">
      <text>
        <r>
          <rPr>
            <sz val="9"/>
            <color indexed="81"/>
            <rFont val="Tahoma"/>
            <family val="2"/>
          </rPr>
          <t xml:space="preserve"> 9th rig receiving equipment to work, expected to start early 2015</t>
        </r>
      </text>
    </comment>
    <comment ref="DA146" authorId="0">
      <text>
        <r>
          <rPr>
            <sz val="9"/>
            <color indexed="81"/>
            <rFont val="Tahoma"/>
            <family val="2"/>
          </rPr>
          <t>guided flat</t>
        </r>
      </text>
    </comment>
    <comment ref="DB146" authorId="0">
      <text>
        <r>
          <rPr>
            <sz val="9"/>
            <color indexed="81"/>
            <rFont val="Tahoma"/>
            <family val="2"/>
          </rPr>
          <t>guided flat</t>
        </r>
      </text>
    </comment>
    <comment ref="DC146" authorId="0">
      <text>
        <r>
          <rPr>
            <sz val="9"/>
            <color indexed="81"/>
            <rFont val="Tahoma"/>
            <family val="2"/>
          </rPr>
          <t>guided to increase 5%</t>
        </r>
      </text>
    </comment>
    <comment ref="DD146" authorId="0">
      <text>
        <r>
          <rPr>
            <sz val="9"/>
            <color indexed="81"/>
            <rFont val="Tahoma"/>
            <family val="2"/>
          </rPr>
          <t>decrease by 2%</t>
        </r>
      </text>
    </comment>
    <comment ref="DE146" authorId="0">
      <text>
        <r>
          <rPr>
            <sz val="9"/>
            <color indexed="81"/>
            <rFont val="Tahoma"/>
            <family val="2"/>
          </rPr>
          <t>to be about flat</t>
        </r>
      </text>
    </comment>
    <comment ref="DF146" authorId="0">
      <text>
        <r>
          <rPr>
            <sz val="9"/>
            <color indexed="81"/>
            <rFont val="Tahoma"/>
            <family val="2"/>
          </rPr>
          <t>guided to decrease by 4-5%</t>
        </r>
      </text>
    </comment>
    <comment ref="DG146" authorId="0">
      <text>
        <r>
          <rPr>
            <sz val="9"/>
            <color indexed="81"/>
            <rFont val="Tahoma"/>
            <family val="2"/>
          </rPr>
          <t>revenue days to decrease by ~10%</t>
        </r>
      </text>
    </comment>
    <comment ref="DI146" authorId="0">
      <text>
        <r>
          <rPr>
            <sz val="9"/>
            <color indexed="81"/>
            <rFont val="Tahoma"/>
            <family val="2"/>
          </rPr>
          <t xml:space="preserve"> 1 of the 2 stacked rigs is mobilizing, expect 10-15% increase</t>
        </r>
      </text>
    </comment>
    <comment ref="DL146" authorId="0">
      <text>
        <r>
          <rPr>
            <sz val="9"/>
            <color indexed="81"/>
            <rFont val="Tahoma"/>
            <family val="2"/>
          </rPr>
          <t>+1%</t>
        </r>
      </text>
    </comment>
    <comment ref="DM146" authorId="0">
      <text>
        <r>
          <rPr>
            <sz val="9"/>
            <color indexed="81"/>
            <rFont val="Tahoma"/>
            <family val="2"/>
          </rPr>
          <t>+1%</t>
        </r>
      </text>
    </comment>
    <comment ref="DO146" authorId="0">
      <text>
        <r>
          <rPr>
            <sz val="9"/>
            <color indexed="81"/>
            <rFont val="Tahoma"/>
            <family val="2"/>
          </rPr>
          <t xml:space="preserve"> down 2%</t>
        </r>
      </text>
    </comment>
    <comment ref="DQ146" authorId="0">
      <text>
        <r>
          <rPr>
            <sz val="9"/>
            <color indexed="81"/>
            <rFont val="Tahoma"/>
            <family val="2"/>
          </rPr>
          <t xml:space="preserve"> +1%</t>
        </r>
      </text>
    </comment>
    <comment ref="DR146" authorId="0">
      <text>
        <r>
          <rPr>
            <sz val="9"/>
            <color indexed="81"/>
            <rFont val="Tahoma"/>
            <family val="2"/>
          </rPr>
          <t>+10%</t>
        </r>
      </text>
    </comment>
    <comment ref="DJ147" authorId="0">
      <text>
        <r>
          <rPr>
            <sz val="9"/>
            <color indexed="81"/>
            <rFont val="Tahoma"/>
            <family val="2"/>
          </rPr>
          <t xml:space="preserve"> 1q13f days up 5% q/q w/ flat margin</t>
        </r>
      </text>
    </comment>
    <comment ref="DR147" authorId="0">
      <text>
        <r>
          <rPr>
            <sz val="9"/>
            <color indexed="81"/>
            <rFont val="Tahoma"/>
            <family val="2"/>
          </rPr>
          <t xml:space="preserve"> </t>
        </r>
      </text>
    </comment>
    <comment ref="DS147" authorId="0">
      <text>
        <r>
          <rPr>
            <sz val="9"/>
            <color indexed="81"/>
            <rFont val="Tahoma"/>
            <family val="2"/>
          </rPr>
          <t xml:space="preserve"> 9th rig receiving equipment to work, expected to start early 2015</t>
        </r>
      </text>
    </comment>
    <comment ref="DW1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 severance</t>
        </r>
      </text>
    </comment>
    <comment ref="DX1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 severance</t>
        </r>
      </text>
    </comment>
    <comment ref="DY15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self insurance reserve adjustment</t>
        </r>
      </text>
    </comment>
    <comment ref="DA151" authorId="0">
      <text>
        <r>
          <rPr>
            <sz val="9"/>
            <color indexed="81"/>
            <rFont val="Tahoma"/>
            <family val="2"/>
          </rPr>
          <t>expected to decrease by 15-20%</t>
        </r>
      </text>
    </comment>
    <comment ref="DC151" authorId="0">
      <text>
        <r>
          <rPr>
            <sz val="9"/>
            <color indexed="81"/>
            <rFont val="Tahoma"/>
            <family val="2"/>
          </rPr>
          <t>guided to increase 15-20%</t>
        </r>
      </text>
    </comment>
    <comment ref="DD151" authorId="0">
      <text>
        <r>
          <rPr>
            <sz val="9"/>
            <color indexed="81"/>
            <rFont val="Tahoma"/>
            <family val="2"/>
          </rPr>
          <t>reduction 3-4%</t>
        </r>
      </text>
    </comment>
    <comment ref="DE151" authorId="0">
      <text>
        <r>
          <rPr>
            <sz val="9"/>
            <color indexed="81"/>
            <rFont val="Tahoma"/>
            <family val="2"/>
          </rPr>
          <t>to be down 10-15%</t>
        </r>
      </text>
    </comment>
    <comment ref="DF151" authorId="0">
      <text>
        <r>
          <rPr>
            <sz val="9"/>
            <color indexed="81"/>
            <rFont val="Tahoma"/>
            <family val="2"/>
          </rPr>
          <t>guided flat</t>
        </r>
      </text>
    </comment>
    <comment ref="DG151" authorId="0">
      <text>
        <r>
          <rPr>
            <sz val="9"/>
            <color indexed="81"/>
            <rFont val="Tahoma"/>
            <family val="2"/>
          </rPr>
          <t>to decrease by 10-15% as some rigs transition between projects</t>
        </r>
      </text>
    </comment>
    <comment ref="DH151" authorId="0">
      <text>
        <r>
          <rPr>
            <sz val="9"/>
            <color indexed="81"/>
            <rFont val="Tahoma"/>
            <family val="2"/>
          </rPr>
          <t xml:space="preserve"> decrease 10-15%  as rig transitions b/n project and a stacked rig begins working</t>
        </r>
      </text>
    </comment>
    <comment ref="DI151" authorId="0">
      <text>
        <r>
          <rPr>
            <sz val="9"/>
            <color indexed="81"/>
            <rFont val="Tahoma"/>
            <family val="2"/>
          </rPr>
          <t xml:space="preserve"> 15-20% increase q/q</t>
        </r>
      </text>
    </comment>
    <comment ref="DJ151" authorId="0">
      <text>
        <r>
          <rPr>
            <sz val="9"/>
            <color indexed="81"/>
            <rFont val="Tahoma"/>
            <family val="2"/>
          </rPr>
          <t xml:space="preserve"> 1q13f days up 5% q/q w/ flat margin</t>
        </r>
      </text>
    </comment>
    <comment ref="DL151" authorId="0">
      <text>
        <r>
          <rPr>
            <sz val="9"/>
            <color indexed="81"/>
            <rFont val="Tahoma"/>
            <family val="2"/>
          </rPr>
          <t xml:space="preserve"> margins flat</t>
        </r>
      </text>
    </comment>
    <comment ref="DM151" authorId="0">
      <text>
        <r>
          <rPr>
            <sz val="9"/>
            <color indexed="81"/>
            <rFont val="Tahoma"/>
            <family val="2"/>
          </rPr>
          <t>margins flat</t>
        </r>
      </text>
    </comment>
    <comment ref="DN151" authorId="0">
      <text>
        <r>
          <rPr>
            <sz val="9"/>
            <color indexed="81"/>
            <rFont val="Tahoma"/>
            <family val="2"/>
          </rPr>
          <t xml:space="preserve"> $26kpd vs 25 prior</t>
        </r>
      </text>
    </comment>
    <comment ref="DO151" authorId="0">
      <text>
        <r>
          <rPr>
            <sz val="9"/>
            <color indexed="81"/>
            <rFont val="Tahoma"/>
            <family val="2"/>
          </rPr>
          <t xml:space="preserve"> down to 26kpd</t>
        </r>
      </text>
    </comment>
    <comment ref="DQ151" authorId="0">
      <text>
        <r>
          <rPr>
            <sz val="9"/>
            <color indexed="81"/>
            <rFont val="Tahoma"/>
            <family val="2"/>
          </rPr>
          <t xml:space="preserve"> 22k</t>
        </r>
      </text>
    </comment>
    <comment ref="DR151" authorId="0">
      <text>
        <r>
          <rPr>
            <sz val="9"/>
            <color indexed="81"/>
            <rFont val="Tahoma"/>
            <family val="2"/>
          </rPr>
          <t>20k guidance; platform rig maintenance</t>
        </r>
      </text>
    </comment>
    <comment ref="DS151" authorId="0">
      <text>
        <r>
          <rPr>
            <sz val="9"/>
            <color indexed="81"/>
            <rFont val="Tahoma"/>
            <family val="2"/>
          </rPr>
          <t>moving rigs will likely drop avg. below 20kpd</t>
        </r>
      </text>
    </comment>
    <comment ref="DR154" authorId="0">
      <text>
        <r>
          <rPr>
            <sz val="9"/>
            <color indexed="81"/>
            <rFont val="Tahoma"/>
            <family val="2"/>
          </rPr>
          <t>expected to inrease to 6mm contribution to profit</t>
        </r>
      </text>
    </comment>
    <comment ref="CK155" authorId="0">
      <text>
        <r>
          <rPr>
            <sz val="9"/>
            <color indexed="81"/>
            <rFont val="Tahoma"/>
            <family val="2"/>
          </rPr>
          <t>Taken as balancing number, so that sum of quarters adds up to the annual number.</t>
        </r>
      </text>
    </comment>
    <comment ref="E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F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G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H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I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J156" authorId="0">
      <text>
        <r>
          <rPr>
            <sz val="9"/>
            <color indexed="81"/>
            <rFont val="Tahoma"/>
            <family val="2"/>
          </rPr>
          <t>Balancing number</t>
        </r>
      </text>
    </comment>
    <comment ref="K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L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M156" authorId="0">
      <text>
        <r>
          <rPr>
            <sz val="9"/>
            <color indexed="81"/>
            <rFont val="Tahoma"/>
            <family val="2"/>
          </rPr>
          <t xml:space="preserve">Balancing number
</t>
        </r>
      </text>
    </comment>
    <comment ref="ED15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removing negative self-insurance adjustment impact</t>
        </r>
      </text>
    </comment>
    <comment ref="CT171" authorId="0">
      <text>
        <r>
          <rPr>
            <sz val="9"/>
            <color indexed="81"/>
            <rFont val="Tahoma"/>
            <family val="2"/>
          </rPr>
          <t>As of Jan 29, 2009 (8K 1Q09)</t>
        </r>
      </text>
    </comment>
    <comment ref="DB171" authorId="0">
      <text>
        <r>
          <rPr>
            <sz val="9"/>
            <color indexed="81"/>
            <rFont val="Tahoma"/>
            <family val="2"/>
          </rPr>
          <t>three left Mexico</t>
        </r>
      </text>
    </comment>
    <comment ref="DC171" authorId="0">
      <text>
        <r>
          <rPr>
            <sz val="9"/>
            <color indexed="81"/>
            <rFont val="Tahoma"/>
            <family val="2"/>
          </rPr>
          <t>one more to leave mexico</t>
        </r>
      </text>
    </comment>
    <comment ref="DF171" authorId="0">
      <text>
        <r>
          <rPr>
            <sz val="9"/>
            <color indexed="81"/>
            <rFont val="Tahoma"/>
            <family val="2"/>
          </rPr>
          <t>one rig moving from Bahrain, expected to start work by next quarter
also moving two idle rigs from Colombia to Equador and from Argentina to (Colombia or Ecuador)</t>
        </r>
      </text>
    </comment>
    <comment ref="DI171" authorId="0">
      <text>
        <r>
          <rPr>
            <sz val="9"/>
            <color indexed="81"/>
            <rFont val="Tahoma"/>
            <family val="2"/>
          </rPr>
          <t>1 rig transfered in 4Q12, 1 rig transfered by end of 4Q12</t>
        </r>
      </text>
    </comment>
    <comment ref="DJ171" authorId="0">
      <text>
        <r>
          <rPr>
            <sz val="9"/>
            <color indexed="81"/>
            <rFont val="Tahoma"/>
            <family val="2"/>
          </rPr>
          <t>one rig transferred by end of 4Q12, one in 1Q13</t>
        </r>
      </text>
    </comment>
    <comment ref="DI173" authorId="0">
      <text>
        <r>
          <rPr>
            <sz val="9"/>
            <color indexed="81"/>
            <rFont val="Tahoma"/>
            <family val="2"/>
          </rPr>
          <t xml:space="preserve"> 23 rigs working, 3 rigs rigging up</t>
        </r>
      </text>
    </comment>
    <comment ref="CX174" authorId="0">
      <text>
        <r>
          <rPr>
            <sz val="9"/>
            <color indexed="81"/>
            <rFont val="Tahoma"/>
            <family val="2"/>
          </rPr>
          <t>of 20 active rigs, 12 under long-term contracts through fiscal 2010</t>
        </r>
      </text>
    </comment>
    <comment ref="DB174" authorId="0">
      <text>
        <r>
          <rPr>
            <sz val="9"/>
            <color indexed="81"/>
            <rFont val="Tahoma"/>
            <family val="2"/>
          </rPr>
          <t>incremental half rig in Colombia and half rig in Bahrain, down 2 rigs in Mexico</t>
        </r>
      </text>
    </comment>
    <comment ref="DC174" authorId="0">
      <text>
        <r>
          <rPr>
            <sz val="9"/>
            <color indexed="81"/>
            <rFont val="Tahoma"/>
            <family val="2"/>
          </rPr>
          <t>down two rigs in Mexico and up one in Bahrain</t>
        </r>
      </text>
    </comment>
    <comment ref="DI174" authorId="0">
      <text>
        <r>
          <rPr>
            <sz val="9"/>
            <color indexed="81"/>
            <rFont val="Tahoma"/>
            <family val="2"/>
          </rPr>
          <t>1 rig transfered in 4Q12, 1 rig transfered by end of 4Q12</t>
        </r>
      </text>
    </comment>
    <comment ref="DJ174" authorId="0">
      <text>
        <r>
          <rPr>
            <sz val="9"/>
            <color indexed="81"/>
            <rFont val="Tahoma"/>
            <family val="2"/>
          </rPr>
          <t>one rig transferred by end of 4Q12, one in 1Q13</t>
        </r>
      </text>
    </comment>
    <comment ref="DM174" authorId="0">
      <text>
        <r>
          <rPr>
            <sz val="9"/>
            <color indexed="81"/>
            <rFont val="Tahoma"/>
            <family val="2"/>
          </rPr>
          <t>26 now working</t>
        </r>
      </text>
    </comment>
    <comment ref="DB175" authorId="0">
      <text>
        <r>
          <rPr>
            <sz val="9"/>
            <color indexed="81"/>
            <rFont val="Tahoma"/>
            <family val="2"/>
          </rPr>
          <t>guided down 7% q/q</t>
        </r>
      </text>
    </comment>
    <comment ref="DC175" authorId="0">
      <text>
        <r>
          <rPr>
            <sz val="9"/>
            <color indexed="81"/>
            <rFont val="Tahoma"/>
            <family val="2"/>
          </rPr>
          <t>expected to be down 25% q/q</t>
        </r>
      </text>
    </comment>
    <comment ref="DD175" authorId="0">
      <text>
        <r>
          <rPr>
            <sz val="9"/>
            <color indexed="81"/>
            <rFont val="Tahoma"/>
            <family val="2"/>
          </rPr>
          <t>up 2-3%</t>
        </r>
      </text>
    </comment>
    <comment ref="DE175" authorId="0">
      <text>
        <r>
          <rPr>
            <sz val="9"/>
            <color indexed="81"/>
            <rFont val="Tahoma"/>
            <family val="2"/>
          </rPr>
          <t>expect to increase 10-15%</t>
        </r>
      </text>
    </comment>
    <comment ref="DF175" authorId="0">
      <text>
        <r>
          <rPr>
            <sz val="9"/>
            <color indexed="81"/>
            <rFont val="Tahoma"/>
            <family val="2"/>
          </rPr>
          <t>guided to increase by 6%</t>
        </r>
      </text>
    </comment>
    <comment ref="DG175" authorId="0">
      <text>
        <r>
          <rPr>
            <sz val="9"/>
            <color indexed="81"/>
            <rFont val="Tahoma"/>
            <family val="2"/>
          </rPr>
          <t>to be flat</t>
        </r>
      </text>
    </comment>
    <comment ref="DH175" authorId="0">
      <text>
        <r>
          <rPr>
            <sz val="9"/>
            <color indexed="81"/>
            <rFont val="Tahoma"/>
            <family val="2"/>
          </rPr>
          <t xml:space="preserve"> increasing 5% vs 2Q12</t>
        </r>
      </text>
    </comment>
    <comment ref="DI175" authorId="0">
      <text>
        <r>
          <rPr>
            <sz val="9"/>
            <color indexed="81"/>
            <rFont val="Tahoma"/>
            <family val="2"/>
          </rPr>
          <t xml:space="preserve"> up 5-10% q/q</t>
        </r>
      </text>
    </comment>
    <comment ref="DJ175" authorId="0">
      <text>
        <r>
          <rPr>
            <sz val="9"/>
            <color indexed="81"/>
            <rFont val="Tahoma"/>
            <family val="2"/>
          </rPr>
          <t xml:space="preserve"> 1q13f days up 15% q/q but margin down 10% q/q</t>
        </r>
      </text>
    </comment>
    <comment ref="DL175" authorId="0">
      <text>
        <r>
          <rPr>
            <sz val="9"/>
            <color indexed="81"/>
            <rFont val="Tahoma"/>
            <family val="2"/>
          </rPr>
          <t>+5%</t>
        </r>
      </text>
    </comment>
    <comment ref="DN175" authorId="0">
      <text>
        <r>
          <rPr>
            <sz val="9"/>
            <color indexed="81"/>
            <rFont val="Tahoma"/>
            <family val="2"/>
          </rPr>
          <t xml:space="preserve"> down 10%</t>
        </r>
      </text>
    </comment>
    <comment ref="DO175" authorId="0">
      <text>
        <r>
          <rPr>
            <sz val="9"/>
            <color indexed="81"/>
            <rFont val="Tahoma"/>
            <family val="2"/>
          </rPr>
          <t xml:space="preserve"> down 5-10%</t>
        </r>
      </text>
    </comment>
    <comment ref="DP175" authorId="0">
      <text>
        <r>
          <rPr>
            <sz val="9"/>
            <color indexed="81"/>
            <rFont val="Tahoma"/>
            <family val="2"/>
          </rPr>
          <t xml:space="preserve"> rev days flat</t>
        </r>
      </text>
    </comment>
    <comment ref="DQ175" authorId="0">
      <text>
        <r>
          <rPr>
            <sz val="9"/>
            <color indexed="81"/>
            <rFont val="Tahoma"/>
            <family val="2"/>
          </rPr>
          <t xml:space="preserve"> +2%</t>
        </r>
      </text>
    </comment>
    <comment ref="DS175" authorId="0">
      <text>
        <r>
          <rPr>
            <sz val="9"/>
            <color indexed="81"/>
            <rFont val="Tahoma"/>
            <family val="2"/>
          </rPr>
          <t xml:space="preserve"> down 10-15%</t>
        </r>
      </text>
    </comment>
    <comment ref="EB17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retroactive adjustment to drilling days</t>
        </r>
      </text>
    </comment>
    <comment ref="B17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FX excluded</t>
        </r>
      </text>
    </comment>
    <comment ref="CY178" authorId="0">
      <text>
        <r>
          <rPr>
            <sz val="9"/>
            <color indexed="81"/>
            <rFont val="Tahoma"/>
            <family val="2"/>
          </rPr>
          <t>includes $3m received from VZ</t>
        </r>
      </text>
    </comment>
    <comment ref="DA178" authorId="0">
      <text>
        <r>
          <rPr>
            <sz val="9"/>
            <color indexed="81"/>
            <rFont val="Tahoma"/>
            <family val="2"/>
          </rPr>
          <t>$33.194, adjusted for Mexico termination revenue</t>
        </r>
      </text>
    </comment>
    <comment ref="DS178" authorId="0">
      <text>
        <r>
          <rPr>
            <sz val="9"/>
            <color indexed="81"/>
            <rFont val="Tahoma"/>
            <family val="2"/>
          </rPr>
          <t>excludes early terms</t>
        </r>
      </text>
    </comment>
    <comment ref="DF179" authorId="0">
      <text>
        <r>
          <rPr>
            <sz val="9"/>
            <color indexed="81"/>
            <rFont val="Tahoma"/>
            <family val="2"/>
          </rPr>
          <t>costs associated with moving 2 stacked conventional rigs</t>
        </r>
      </text>
    </comment>
    <comment ref="DU179" authorId="0">
      <text>
        <r>
          <rPr>
            <sz val="9"/>
            <color indexed="81"/>
            <rFont val="Tahoma"/>
            <family val="2"/>
          </rPr>
          <t>excludes doubtful accounts impact for daily opex</t>
        </r>
      </text>
    </comment>
    <comment ref="DW17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exclseverance</t>
        </r>
      </text>
    </comment>
    <comment ref="DX17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exclseverance</t>
        </r>
      </text>
    </comment>
    <comment ref="CZ180" authorId="0">
      <text>
        <r>
          <rPr>
            <sz val="9"/>
            <color indexed="81"/>
            <rFont val="Tahoma"/>
            <family val="2"/>
          </rPr>
          <t>expect down 10%</t>
        </r>
      </text>
    </comment>
    <comment ref="DA180" authorId="0">
      <text>
        <r>
          <rPr>
            <sz val="9"/>
            <color indexed="81"/>
            <rFont val="Tahoma"/>
            <family val="2"/>
          </rPr>
          <t>expected to decrease by 5-10%</t>
        </r>
      </text>
    </comment>
    <comment ref="DB180" authorId="0">
      <text>
        <r>
          <rPr>
            <sz val="9"/>
            <color indexed="81"/>
            <rFont val="Tahoma"/>
            <family val="2"/>
          </rPr>
          <t>excluding early term should see increase by 5%</t>
        </r>
      </text>
    </comment>
    <comment ref="DC180" authorId="0">
      <text>
        <r>
          <rPr>
            <sz val="9"/>
            <color indexed="81"/>
            <rFont val="Tahoma"/>
            <family val="2"/>
          </rPr>
          <t>to decrease 20% (adjusted for early termination in 4Q) otherwise by 35-40%</t>
        </r>
      </text>
    </comment>
    <comment ref="DD180" authorId="0">
      <text>
        <r>
          <rPr>
            <sz val="9"/>
            <color indexed="81"/>
            <rFont val="Tahoma"/>
            <family val="2"/>
          </rPr>
          <t>down about 25%</t>
        </r>
      </text>
    </comment>
    <comment ref="DE180" authorId="0">
      <text>
        <r>
          <rPr>
            <sz val="9"/>
            <color indexed="81"/>
            <rFont val="Tahoma"/>
            <family val="2"/>
          </rPr>
          <t>to increase 20-25%</t>
        </r>
      </text>
    </comment>
    <comment ref="DF180" authorId="0">
      <text>
        <r>
          <rPr>
            <sz val="9"/>
            <color indexed="81"/>
            <rFont val="Tahoma"/>
            <family val="2"/>
          </rPr>
          <t>guided to fall by 10-12% due to costs with moving two stacked rigs</t>
        </r>
      </text>
    </comment>
    <comment ref="DG180" authorId="0">
      <text>
        <r>
          <rPr>
            <sz val="9"/>
            <color indexed="81"/>
            <rFont val="Tahoma"/>
            <family val="2"/>
          </rPr>
          <t>to be down by 10-15%, as will not have $1.6mm retroactive adjustment payment coupled with recent stacking of one rig in Colombia</t>
        </r>
      </text>
    </comment>
    <comment ref="DH180" authorId="0">
      <text>
        <r>
          <rPr>
            <sz val="9"/>
            <color indexed="81"/>
            <rFont val="Tahoma"/>
            <family val="2"/>
          </rPr>
          <t xml:space="preserve"> up 10-20% q/q</t>
        </r>
      </text>
    </comment>
    <comment ref="DI180" authorId="0">
      <text>
        <r>
          <rPr>
            <sz val="9"/>
            <color indexed="81"/>
            <rFont val="Tahoma"/>
            <family val="2"/>
          </rPr>
          <t xml:space="preserve"> avg daily margin down 10-15% q/q</t>
        </r>
      </text>
    </comment>
    <comment ref="DJ180" authorId="0">
      <text>
        <r>
          <rPr>
            <sz val="9"/>
            <color indexed="81"/>
            <rFont val="Tahoma"/>
            <family val="2"/>
          </rPr>
          <t xml:space="preserve"> 1q13f days up 15% q/q but margin down 10% q/q</t>
        </r>
      </text>
    </comment>
    <comment ref="DL180" authorId="0">
      <text>
        <r>
          <rPr>
            <sz val="9"/>
            <color indexed="81"/>
            <rFont val="Tahoma"/>
            <family val="2"/>
          </rPr>
          <t>down 10-15% ex impact of $5.3m early term pmt in 2Q13FY; so 10-15% down from $8430</t>
        </r>
      </text>
    </comment>
    <comment ref="DN180" authorId="0">
      <text>
        <r>
          <rPr>
            <sz val="9"/>
            <color indexed="81"/>
            <rFont val="Tahoma"/>
            <family val="2"/>
          </rPr>
          <t xml:space="preserve"> flat</t>
        </r>
      </text>
    </comment>
    <comment ref="DO180" authorId="0">
      <text>
        <r>
          <rPr>
            <sz val="9"/>
            <color indexed="81"/>
            <rFont val="Tahoma"/>
            <family val="2"/>
          </rPr>
          <t xml:space="preserve"> flat</t>
        </r>
      </text>
    </comment>
    <comment ref="DP180" authorId="0">
      <text>
        <r>
          <rPr>
            <sz val="9"/>
            <color indexed="81"/>
            <rFont val="Tahoma"/>
            <family val="2"/>
          </rPr>
          <t xml:space="preserve"> marg down 5%</t>
        </r>
      </text>
    </comment>
    <comment ref="DQ180" authorId="0">
      <text>
        <r>
          <rPr>
            <sz val="9"/>
            <color indexed="81"/>
            <rFont val="Tahoma"/>
            <family val="2"/>
          </rPr>
          <t xml:space="preserve"> -5% q/q</t>
        </r>
      </text>
    </comment>
    <comment ref="EB18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adjusted</t>
        </r>
      </text>
    </comment>
    <comment ref="DS183" authorId="0">
      <text>
        <r>
          <rPr>
            <sz val="9"/>
            <color indexed="81"/>
            <rFont val="Tahoma"/>
            <family val="2"/>
          </rPr>
          <t>early termination; 373/d</t>
        </r>
      </text>
    </comment>
    <comment ref="EB18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retroactive early termination withrdawal adjustment</t>
        </r>
      </text>
    </comment>
    <comment ref="CK184" authorId="0">
      <text>
        <r>
          <rPr>
            <sz val="9"/>
            <color indexed="81"/>
            <rFont val="Tahoma"/>
            <family val="2"/>
          </rPr>
          <t>Taken as balancing number, so that sum of quarters adds up to the annual number.</t>
        </r>
      </text>
    </comment>
    <comment ref="DU186" authorId="0">
      <text>
        <r>
          <rPr>
            <sz val="9"/>
            <color indexed="81"/>
            <rFont val="Tahoma"/>
            <family val="2"/>
          </rPr>
          <t>includes 5mm of doubtful accounts not included in rig-level costs</t>
        </r>
      </text>
    </comment>
    <comment ref="DV18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$8.5 in forex</t>
        </r>
      </text>
    </comment>
    <comment ref="DU188" authorId="0">
      <text>
        <r>
          <rPr>
            <sz val="9"/>
            <color indexed="81"/>
            <rFont val="Tahoma"/>
            <family val="2"/>
          </rPr>
          <t>$39mm impairment charge excluded</t>
        </r>
      </text>
    </comment>
    <comment ref="B210" authorId="0">
      <text>
        <r>
          <rPr>
            <sz val="9"/>
            <color indexed="81"/>
            <rFont val="Tahoma"/>
            <family val="2"/>
          </rPr>
          <t>Includes corporate depreciation</t>
        </r>
      </text>
    </comment>
    <comment ref="G218" authorId="0">
      <text>
        <r>
          <rPr>
            <sz val="9"/>
            <color indexed="81"/>
            <rFont val="Tahoma"/>
            <family val="2"/>
          </rPr>
          <t xml:space="preserve">Adoption of Financial Accounting Standards No. 121 during the fourth quarter of fiscal 1995
which resulted in an impairment charge of $20,000,000 oil and
gas division and $2,000,000 to real estate division. </t>
        </r>
      </text>
    </comment>
    <comment ref="X218" authorId="0">
      <text>
        <r>
          <rPr>
            <sz val="9"/>
            <color indexed="81"/>
            <rFont val="Tahoma"/>
            <family val="2"/>
          </rPr>
          <t xml:space="preserve"> $380</t>
        </r>
      </text>
    </comment>
    <comment ref="AS218" authorId="0">
      <text>
        <r>
          <rPr>
            <sz val="9"/>
            <color indexed="81"/>
            <rFont val="Tahoma"/>
            <family val="2"/>
          </rPr>
          <t xml:space="preserve">Adoption of Financial Accounting Standards No. 121 during the fourth quarter of fiscal 1995
which resulted in an impairment charge of $20,000,000 oil and
gas division and $2,000,000 to real estate division. </t>
        </r>
      </text>
    </comment>
    <comment ref="DQ218" authorId="0">
      <text>
        <r>
          <rPr>
            <sz val="9"/>
            <color indexed="81"/>
            <rFont val="Tahoma"/>
            <family val="2"/>
          </rPr>
          <t>does not match IS depreciation due to removal of one-time depreciation charge</t>
        </r>
      </text>
    </comment>
    <comment ref="CA219" authorId="0">
      <text>
        <r>
          <rPr>
            <sz val="9"/>
            <color indexed="81"/>
            <rFont val="Tahoma"/>
            <family val="2"/>
          </rPr>
          <t xml:space="preserve">Amortization of deferred compensation
</t>
        </r>
      </text>
    </comment>
    <comment ref="W221" authorId="0">
      <text>
        <r>
          <rPr>
            <sz val="9"/>
            <color indexed="81"/>
            <rFont val="Tahoma"/>
            <family val="2"/>
          </rPr>
          <t>accelerated depreciation with US stimulus allowing for 100% depreciation right away, while in 2012 that goes to 60% and then back to normal levels in 2013</t>
        </r>
      </text>
    </comment>
    <comment ref="Y221" authorId="0">
      <text>
        <r>
          <rPr>
            <sz val="9"/>
            <color indexed="81"/>
            <rFont val="Tahoma"/>
            <family val="2"/>
          </rPr>
          <t xml:space="preserve"> $40m if bonus D&amp;A not renewed</t>
        </r>
      </text>
    </comment>
    <comment ref="DR221" authorId="0">
      <text>
        <r>
          <rPr>
            <sz val="9"/>
            <color indexed="81"/>
            <rFont val="Tahoma"/>
            <family val="2"/>
          </rPr>
          <t>plug for Q</t>
        </r>
      </text>
    </comment>
    <comment ref="CA226" authorId="0">
      <text>
        <r>
          <rPr>
            <sz val="9"/>
            <color indexed="81"/>
            <rFont val="Tahoma"/>
            <family val="2"/>
          </rPr>
          <t xml:space="preserve">11.54 million Income tax receivable
</t>
        </r>
      </text>
    </comment>
    <comment ref="U232" authorId="0">
      <text>
        <r>
          <rPr>
            <sz val="9"/>
            <color indexed="81"/>
            <rFont val="Tahoma"/>
            <family val="2"/>
          </rPr>
          <t>2/3 for newbuilds</t>
        </r>
      </text>
    </comment>
    <comment ref="V232" authorId="0">
      <text>
        <r>
          <rPr>
            <sz val="9"/>
            <color indexed="81"/>
            <rFont val="Tahoma"/>
            <family val="2"/>
          </rPr>
          <t>$225m, about half is maintenance capex including tubulars, the other half is mainly newbuilds and other projects such as refurbishment of mexico rigs, in 1q (10Q) raised to $265m
2q raised to $350m</t>
        </r>
      </text>
    </comment>
    <comment ref="W232" authorId="0">
      <text>
        <r>
          <rPr>
            <sz val="9"/>
            <color indexed="81"/>
            <rFont val="Tahoma"/>
            <family val="2"/>
          </rPr>
          <t>year-end call guidance $600m capex for 2011
1Q call guidance: $750m
guidance increased to $850m at end of March
75% newbuilds, 20% maintenance, rest special projects
2Q: $800m</t>
        </r>
      </text>
    </comment>
    <comment ref="X232" authorId="0">
      <text>
        <r>
          <rPr>
            <sz val="9"/>
            <color indexed="81"/>
            <rFont val="Tahoma"/>
            <family val="2"/>
          </rPr>
          <t xml:space="preserve"> $1.1bn
75-80% newbuilds, 15-20% maintenance, rest on special projects
4Q11: $1.1bn
Apr 2012: $1.1bn
Jul 2012: $1.1bn</t>
        </r>
      </text>
    </comment>
    <comment ref="Y232" authorId="0">
      <text>
        <r>
          <rPr>
            <sz val="9"/>
            <color indexed="81"/>
            <rFont val="Tahoma"/>
            <family val="2"/>
          </rPr>
          <t xml:space="preserve"> $890mm 
4q12F: $740 in 13F; 50% is newbuilds, 30% maintenance and rest special projects
</t>
        </r>
      </text>
    </comment>
    <comment ref="Z232" authorId="0">
      <text>
        <r>
          <rPr>
            <sz val="9"/>
            <color indexed="81"/>
            <rFont val="Tahoma"/>
            <family val="2"/>
          </rPr>
          <t xml:space="preserve"> 950, for 35 newbuilds
aug: $1.1bn, likely under</t>
        </r>
      </text>
    </comment>
    <comment ref="AA232" authorId="0">
      <text>
        <r>
          <rPr>
            <sz val="9"/>
            <color indexed="81"/>
            <rFont val="Tahoma"/>
            <family val="2"/>
          </rPr>
          <t>$1.3bn</t>
        </r>
      </text>
    </comment>
    <comment ref="AB232" authorId="0">
      <text>
        <r>
          <rPr>
            <sz val="9"/>
            <color indexed="81"/>
            <rFont val="Tahoma"/>
            <family val="2"/>
          </rPr>
          <t>300-400mm  in FY</t>
        </r>
      </text>
    </comment>
    <comment ref="DS232" authorId="0">
      <text>
        <r>
          <rPr>
            <sz val="9"/>
            <color indexed="81"/>
            <rFont val="Tahoma"/>
            <family val="2"/>
          </rPr>
          <t>guiding to 1.3bn, revised down from 1.4-1.7bn</t>
        </r>
      </text>
    </comment>
    <comment ref="DV232" authorId="0">
      <text>
        <r>
          <rPr>
            <sz val="9"/>
            <color indexed="81"/>
            <rFont val="Tahoma"/>
            <family val="2"/>
          </rPr>
          <t>300-400mm  in FY</t>
        </r>
      </text>
    </comment>
    <comment ref="DZ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~$200mm</t>
        </r>
      </text>
    </comment>
    <comment ref="EC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$400 for fiscal 2017</t>
        </r>
      </text>
    </comment>
    <comment ref="ED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250-300mm</t>
        </r>
      </text>
    </comment>
    <comment ref="EE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400-450</t>
        </r>
      </text>
    </comment>
    <comment ref="EF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250-300mm</t>
        </r>
      </text>
    </comment>
    <comment ref="EG23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250-300mm</t>
        </r>
      </text>
    </comment>
    <comment ref="DW2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options exercise, tax withholdings</t>
        </r>
      </text>
    </comment>
    <comment ref="DX2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options exercise, tax withholdings</t>
        </r>
      </text>
    </comment>
    <comment ref="DV2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reconciles changes in historicals to current, change due to change in FY used in Int'l; prior balance sheet and other statements unadjusted</t>
        </r>
      </text>
    </comment>
    <comment ref="EB2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 - primarily acquisition</t>
        </r>
      </text>
    </comment>
    <comment ref="AK257" authorId="0">
      <text>
        <r>
          <rPr>
            <sz val="9"/>
            <color indexed="81"/>
            <rFont val="Tahoma"/>
            <family val="2"/>
          </rPr>
          <t xml:space="preserve">$9.0m short term investments
</t>
        </r>
      </text>
    </comment>
    <comment ref="AL257" authorId="0">
      <text>
        <r>
          <rPr>
            <sz val="9"/>
            <color indexed="81"/>
            <rFont val="Tahoma"/>
            <family val="2"/>
          </rPr>
          <t xml:space="preserve">$9.0m short term investments
</t>
        </r>
      </text>
    </comment>
    <comment ref="AM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N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O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P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Q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R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S257" authorId="0">
      <text>
        <r>
          <rPr>
            <sz val="9"/>
            <color indexed="81"/>
            <rFont val="Tahoma"/>
            <family val="2"/>
          </rPr>
          <t>$8.9m short term investments
$6.8 m Net assets of discontinued operations</t>
        </r>
      </text>
    </comment>
    <comment ref="AT257" authorId="0">
      <text>
        <r>
          <rPr>
            <sz val="9"/>
            <color indexed="81"/>
            <rFont val="Tahoma"/>
            <family val="2"/>
          </rPr>
          <t xml:space="preserve">$8.9m short term investments
</t>
        </r>
      </text>
    </comment>
    <comment ref="AU257" authorId="0">
      <text>
        <r>
          <rPr>
            <sz val="9"/>
            <color indexed="81"/>
            <rFont val="Tahoma"/>
            <family val="2"/>
          </rPr>
          <t xml:space="preserve">$3m short term investments
</t>
        </r>
      </text>
    </comment>
    <comment ref="AV257" authorId="0">
      <text>
        <r>
          <rPr>
            <sz val="9"/>
            <color indexed="81"/>
            <rFont val="Tahoma"/>
            <family val="2"/>
          </rPr>
          <t xml:space="preserve">$1.005m short term investments
</t>
        </r>
      </text>
    </comment>
    <comment ref="AW257" authorId="0">
      <text>
        <r>
          <rPr>
            <sz val="9"/>
            <color indexed="81"/>
            <rFont val="Tahoma"/>
            <family val="2"/>
          </rPr>
          <t>$1.005m short term investments</t>
        </r>
      </text>
    </comment>
    <comment ref="AX257" authorId="0">
      <text>
        <r>
          <rPr>
            <sz val="9"/>
            <color indexed="81"/>
            <rFont val="Tahoma"/>
            <family val="2"/>
          </rPr>
          <t xml:space="preserve">$1.005m short term investments
</t>
        </r>
      </text>
    </comment>
    <comment ref="AY257" authorId="0">
      <text>
        <r>
          <rPr>
            <sz val="9"/>
            <color indexed="81"/>
            <rFont val="Tahoma"/>
            <family val="2"/>
          </rPr>
          <t xml:space="preserve">$1.005 m Short-term investments
</t>
        </r>
      </text>
    </comment>
    <comment ref="AZ257" authorId="0">
      <text>
        <r>
          <rPr>
            <sz val="9"/>
            <color indexed="81"/>
            <rFont val="Tahoma"/>
            <family val="2"/>
          </rPr>
          <t xml:space="preserve">$1.005 m Short-term investments
</t>
        </r>
      </text>
    </comment>
    <comment ref="BA257" authorId="0">
      <text>
        <r>
          <rPr>
            <sz val="9"/>
            <color indexed="81"/>
            <rFont val="Tahoma"/>
            <family val="2"/>
          </rPr>
          <t>$1.318m short term investments</t>
        </r>
      </text>
    </comment>
    <comment ref="BC257" authorId="0">
      <text>
        <r>
          <rPr>
            <sz val="9"/>
            <color indexed="81"/>
            <rFont val="Tahoma"/>
            <family val="2"/>
          </rPr>
          <t xml:space="preserve">$1.2 m Short-term investments
</t>
        </r>
      </text>
    </comment>
    <comment ref="BF257" authorId="0">
      <text>
        <r>
          <rPr>
            <sz val="9"/>
            <color indexed="81"/>
            <rFont val="Tahoma"/>
            <family val="2"/>
          </rPr>
          <t xml:space="preserve">$.244 m Short-term investments
</t>
        </r>
      </text>
    </comment>
    <comment ref="BG257" authorId="0">
      <text>
        <r>
          <rPr>
            <sz val="9"/>
            <color indexed="81"/>
            <rFont val="Tahoma"/>
            <family val="2"/>
          </rPr>
          <t xml:space="preserve">$.24 m Short-term investments
</t>
        </r>
      </text>
    </comment>
    <comment ref="CI257" authorId="0">
      <text>
        <r>
          <rPr>
            <sz val="9"/>
            <color indexed="81"/>
            <rFont val="Tahoma"/>
            <family val="2"/>
          </rPr>
          <t xml:space="preserve">Short term investment $81.398m
</t>
        </r>
      </text>
    </comment>
    <comment ref="CJ257" authorId="0">
      <text>
        <r>
          <rPr>
            <sz val="9"/>
            <color indexed="81"/>
            <rFont val="Tahoma"/>
            <family val="2"/>
          </rPr>
          <t>Short term investment $102.835 m</t>
        </r>
      </text>
    </comment>
    <comment ref="CK257" authorId="0">
      <text>
        <r>
          <rPr>
            <sz val="9"/>
            <color indexed="81"/>
            <rFont val="Tahoma"/>
            <family val="2"/>
          </rPr>
          <t>Short term investment $48.673m</t>
        </r>
      </text>
    </comment>
    <comment ref="CL257" authorId="0">
      <text>
        <r>
          <rPr>
            <sz val="9"/>
            <color indexed="81"/>
            <rFont val="Tahoma"/>
            <family val="2"/>
          </rPr>
          <t xml:space="preserve"> </t>
        </r>
      </text>
    </comment>
    <comment ref="CM257" authorId="0">
      <text>
        <r>
          <rPr>
            <sz val="9"/>
            <color indexed="81"/>
            <rFont val="Tahoma"/>
            <family val="2"/>
          </rPr>
          <t xml:space="preserve">Short term investment $0.344m
</t>
        </r>
      </text>
    </comment>
    <comment ref="CN257" authorId="0">
      <text>
        <r>
          <rPr>
            <sz val="9"/>
            <color indexed="81"/>
            <rFont val="Tahoma"/>
            <family val="2"/>
          </rPr>
          <t>Short term investment $.396 m</t>
        </r>
      </text>
    </comment>
    <comment ref="BQ261" authorId="0">
      <text>
        <r>
          <rPr>
            <sz val="9"/>
            <color indexed="81"/>
            <rFont val="Tahoma"/>
            <family val="2"/>
          </rPr>
          <t xml:space="preserve">135.257 million net assets of discontinued operations
</t>
        </r>
      </text>
    </comment>
    <comment ref="AV268" authorId="0">
      <text>
        <r>
          <rPr>
            <sz val="9"/>
            <color indexed="81"/>
            <rFont val="Tahoma"/>
            <family val="2"/>
          </rPr>
          <t xml:space="preserve">Income taxes payable
</t>
        </r>
      </text>
    </comment>
    <comment ref="Y314" authorId="0">
      <text>
        <r>
          <rPr>
            <sz val="9"/>
            <color indexed="81"/>
            <rFont val="Tahoma"/>
            <family val="2"/>
          </rPr>
          <t xml:space="preserve"> $450 in 13F</t>
        </r>
      </text>
    </comment>
    <comment ref="AB314" authorId="0">
      <text>
        <r>
          <rPr>
            <sz val="9"/>
            <color indexed="81"/>
            <rFont val="Tahoma"/>
            <family val="2"/>
          </rPr>
          <t>~$580mm</t>
        </r>
      </text>
    </comment>
    <comment ref="DI314" authorId="0">
      <text>
        <r>
          <rPr>
            <sz val="9"/>
            <color indexed="81"/>
            <rFont val="Tahoma"/>
            <family val="2"/>
          </rPr>
          <t>underlying D&amp;A; excludes ~$14m of abandonments charged to D&amp;A</t>
        </r>
      </text>
    </comment>
    <comment ref="B326" authorId="0">
      <text>
        <r>
          <rPr>
            <sz val="9"/>
            <color indexed="81"/>
            <rFont val="Tahoma"/>
            <family val="2"/>
          </rPr>
          <t xml:space="preserve">Includes oil and gas properties
</t>
        </r>
      </text>
    </comment>
    <comment ref="B334" authorId="0">
      <text>
        <r>
          <rPr>
            <sz val="9"/>
            <color indexed="81"/>
            <rFont val="Tahoma"/>
            <family val="2"/>
          </rPr>
          <t xml:space="preserve">2-for-1 split effective June 26, 2006
2-for-1 split effective December 15, 1997 </t>
        </r>
      </text>
    </comment>
    <comment ref="AK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O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S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AW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A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E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I334" authorId="0">
      <text>
        <r>
          <rPr>
            <sz val="9"/>
            <color indexed="81"/>
            <rFont val="Tahoma"/>
            <family val="2"/>
          </rPr>
          <t>As the 8-k is not available, we have derived this number.</t>
        </r>
      </text>
    </comment>
    <comment ref="B336" authorId="0">
      <text>
        <r>
          <rPr>
            <sz val="9"/>
            <color indexed="81"/>
            <rFont val="Tahoma"/>
            <family val="2"/>
          </rPr>
          <t xml:space="preserve">2-for-1 split effective June 26, 2006
2-for-1 split effective December 15, 1997 </t>
        </r>
      </text>
    </comment>
    <comment ref="AH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I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J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L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M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N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P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  <comment ref="AQ336" authorId="0">
      <text>
        <r>
          <rPr>
            <sz val="9"/>
            <color indexed="81"/>
            <rFont val="Tahoma"/>
            <family val="2"/>
          </rPr>
          <t>As the Shareholders equity statement is not given. Hence, we have derived.</t>
        </r>
      </text>
    </comment>
  </commentList>
</comments>
</file>

<file path=xl/sharedStrings.xml><?xml version="1.0" encoding="utf-8"?>
<sst xmlns="http://schemas.openxmlformats.org/spreadsheetml/2006/main" count="1206" uniqueCount="753">
  <si>
    <t>x</t>
  </si>
  <si>
    <t>Changes in AOCI</t>
  </si>
  <si>
    <t>Common Dividends</t>
  </si>
  <si>
    <t>Net Issuance of Common Stock</t>
  </si>
  <si>
    <t>Unrecorded Goodwill</t>
  </si>
  <si>
    <t>MW Required:</t>
  </si>
  <si>
    <t>State &amp; other</t>
  </si>
  <si>
    <t>Foreign</t>
  </si>
  <si>
    <t>Federal</t>
  </si>
  <si>
    <t>Statutory Tax Rate</t>
  </si>
  <si>
    <t>Other:</t>
  </si>
  <si>
    <t>Reinvestment / CFO</t>
  </si>
  <si>
    <t>Reinvestment / NOPAT</t>
  </si>
  <si>
    <t>Reinvestment</t>
  </si>
  <si>
    <t>ROE (GAAP)</t>
  </si>
  <si>
    <t>ROE (Operating)</t>
  </si>
  <si>
    <t>RNOA (ROIC)</t>
  </si>
  <si>
    <t>Op. Asset Turnover</t>
  </si>
  <si>
    <t>NOPAT % Margin</t>
  </si>
  <si>
    <t>NOPAT</t>
  </si>
  <si>
    <t>EBIT</t>
  </si>
  <si>
    <t>Invested Capital</t>
  </si>
  <si>
    <t>Net Operating Assets</t>
  </si>
  <si>
    <t>Return Metrics:</t>
  </si>
  <si>
    <t>PP&amp;E/Rig</t>
  </si>
  <si>
    <t>TBV/Rig</t>
  </si>
  <si>
    <t>Tangible Book Value/Share</t>
  </si>
  <si>
    <t>Book Value/Share</t>
  </si>
  <si>
    <t>Basic EPS (Ex-Extraordinary)</t>
  </si>
  <si>
    <t>Basic EPS (Incl. Extraordinary)</t>
  </si>
  <si>
    <t>Dilution Ratio</t>
  </si>
  <si>
    <t>Common Shares at Period End</t>
  </si>
  <si>
    <t>Diluted Shares Outstanding</t>
  </si>
  <si>
    <t>Basic Shares Outstanding</t>
  </si>
  <si>
    <t>Shares Outstanding &amp; BV/Sh.</t>
  </si>
  <si>
    <t>Net PP&amp;E</t>
  </si>
  <si>
    <t>Accumulated depreciation</t>
  </si>
  <si>
    <t>Gross PP&amp;E</t>
  </si>
  <si>
    <t>Other</t>
  </si>
  <si>
    <t>Real estate properties</t>
  </si>
  <si>
    <t>Construction in progress</t>
  </si>
  <si>
    <t>Contract drilling equipment</t>
  </si>
  <si>
    <t>PP&amp;E</t>
  </si>
  <si>
    <t>Remaining Useful Life (Years)</t>
  </si>
  <si>
    <t>n/a</t>
  </si>
  <si>
    <t>Average Asset Age (Years)</t>
  </si>
  <si>
    <t>Avg. Asset Life (Years)</t>
  </si>
  <si>
    <t>Capex / Total Revenue</t>
  </si>
  <si>
    <t>Capex / Depreciation</t>
  </si>
  <si>
    <t>Capital Expenditures</t>
  </si>
  <si>
    <t>Depreciation / Revenues</t>
  </si>
  <si>
    <t>Depreciation Expense</t>
  </si>
  <si>
    <t>Depreciation &amp; Capex:</t>
  </si>
  <si>
    <t>DTL % of Net PP&amp;E</t>
  </si>
  <si>
    <t>Stock based compensation as a % of Rev</t>
  </si>
  <si>
    <t>Accrued liabilities as a % of Rev</t>
  </si>
  <si>
    <t>Prepaid expenses &amp; other as a % of Rev</t>
  </si>
  <si>
    <t>Payables Days</t>
  </si>
  <si>
    <t>Payable Turnover</t>
  </si>
  <si>
    <t>Days of Inventory</t>
  </si>
  <si>
    <t>Inventory Turnover</t>
  </si>
  <si>
    <t>Receivables Days (DSO)</t>
  </si>
  <si>
    <t>Receivables Turnover</t>
  </si>
  <si>
    <t>Current Ratio</t>
  </si>
  <si>
    <t>Operating Working Capital</t>
  </si>
  <si>
    <t>Total Working Capital</t>
  </si>
  <si>
    <t>Working Capital &amp; Other Balance Sheet Drivers:</t>
  </si>
  <si>
    <t>Capex/D&amp;A</t>
  </si>
  <si>
    <t>EBIT/Int. Expense</t>
  </si>
  <si>
    <t>(EBITDA-Capex)/Int. Expense</t>
  </si>
  <si>
    <t>EBITDA/Int. Expense</t>
  </si>
  <si>
    <t>Net Debt/LTM EBIT</t>
  </si>
  <si>
    <t>Net Debt/LTM EBITDA</t>
  </si>
  <si>
    <t>Net Debt/Equity</t>
  </si>
  <si>
    <t>Net Debt/Capital</t>
  </si>
  <si>
    <t>Debt/Total Capital</t>
  </si>
  <si>
    <t>Net Debt</t>
  </si>
  <si>
    <t>Total Debt</t>
  </si>
  <si>
    <t>Total Capital</t>
  </si>
  <si>
    <t>Leverage &amp; Credit Metrics:</t>
  </si>
  <si>
    <t>Supporting Schedules</t>
  </si>
  <si>
    <t>Total Liabilities &amp; Equity</t>
  </si>
  <si>
    <t>Shareholders' Equity</t>
  </si>
  <si>
    <t>Treasury stock, at cost</t>
  </si>
  <si>
    <t>Accum. Other Comprehensive</t>
  </si>
  <si>
    <t>Retained Earnings</t>
  </si>
  <si>
    <t>Additional paid-in capital</t>
  </si>
  <si>
    <t>Common Stock</t>
  </si>
  <si>
    <t>Other LT Liabilities</t>
  </si>
  <si>
    <t>Deferred Income Taxes</t>
  </si>
  <si>
    <t>LT Debt</t>
  </si>
  <si>
    <t>Total Current Liabilities</t>
  </si>
  <si>
    <t>Current portion of long-term debt and Other</t>
  </si>
  <si>
    <t>Notes payable</t>
  </si>
  <si>
    <t>Accrued liabilities</t>
  </si>
  <si>
    <t>Accounts payable</t>
  </si>
  <si>
    <t>Liabilities &amp; Equity:</t>
  </si>
  <si>
    <t>Total Assets</t>
  </si>
  <si>
    <t>Other Assets</t>
  </si>
  <si>
    <t>Investments</t>
  </si>
  <si>
    <t>Total Current Assets</t>
  </si>
  <si>
    <t>Prepaid expenses and Other</t>
  </si>
  <si>
    <t>Asset held for sale</t>
  </si>
  <si>
    <t>Deferred income tax</t>
  </si>
  <si>
    <t>Inventories</t>
  </si>
  <si>
    <t>Accounts Receivable</t>
  </si>
  <si>
    <t>Short-term investments</t>
  </si>
  <si>
    <t>Cash &amp; Equivalents</t>
  </si>
  <si>
    <t>Assets:</t>
  </si>
  <si>
    <t>($ in Millions)</t>
  </si>
  <si>
    <t>Balance Sheet</t>
  </si>
  <si>
    <t>Increase (Decrease) in Cash</t>
  </si>
  <si>
    <t>Change in Cash, Discontinued Ops</t>
  </si>
  <si>
    <t>Change in Cash, Continuing Ops</t>
  </si>
  <si>
    <t>Other Items</t>
  </si>
  <si>
    <t>Net Change in Debt</t>
  </si>
  <si>
    <t>Purchase of Treasury Shares</t>
  </si>
  <si>
    <t>Excess tax benefit from stock-based compensation</t>
  </si>
  <si>
    <t>Equity Issues / Options Activity</t>
  </si>
  <si>
    <t>Dividends</t>
  </si>
  <si>
    <t>Other Investing Cash Flows</t>
  </si>
  <si>
    <t>Proceeds from / (Purchase) of investments</t>
  </si>
  <si>
    <t>Acquisition of business, net of cash acquired</t>
  </si>
  <si>
    <t>Proceeds from asset sales</t>
  </si>
  <si>
    <t>Free Cash Flow</t>
  </si>
  <si>
    <t>(Capital Expenditures)</t>
  </si>
  <si>
    <t>Cash from Operations (CFO)</t>
  </si>
  <si>
    <t>Δ in Other noncurrent liabilities</t>
  </si>
  <si>
    <t>Δ in Deferred income taxes</t>
  </si>
  <si>
    <t>Δ in Accrued liabilities</t>
  </si>
  <si>
    <t>Δ in Accounts payable</t>
  </si>
  <si>
    <t>Δ in Prepaid expenses and other</t>
  </si>
  <si>
    <t>Δ in Inventories</t>
  </si>
  <si>
    <t>Δ in Receivables</t>
  </si>
  <si>
    <t>Δ in Operating Assets/Liabilities:</t>
  </si>
  <si>
    <t>Deferred income tax expense</t>
  </si>
  <si>
    <t>Income from asset sales</t>
  </si>
  <si>
    <t>Stock-based compensation</t>
  </si>
  <si>
    <t>Depreciation</t>
  </si>
  <si>
    <t>Net Income, continuing operation</t>
  </si>
  <si>
    <t>Discontinued Operations</t>
  </si>
  <si>
    <t>Net Income (GAAP)</t>
  </si>
  <si>
    <t>Cash Flow Statement</t>
  </si>
  <si>
    <t>Total</t>
  </si>
  <si>
    <t>International Land Operation</t>
  </si>
  <si>
    <t>US Offshore Operation</t>
  </si>
  <si>
    <t>US Land Operation</t>
  </si>
  <si>
    <t>Segment Depreciation</t>
  </si>
  <si>
    <t>Segment SG&amp;A</t>
  </si>
  <si>
    <t>Segment SG&amp;A and Depreciation</t>
  </si>
  <si>
    <t>EBIT (%)</t>
  </si>
  <si>
    <t>EBITDA (%)</t>
  </si>
  <si>
    <t>EBITDA</t>
  </si>
  <si>
    <t>Gross Margin (%)</t>
  </si>
  <si>
    <t>Gross Margin</t>
  </si>
  <si>
    <t>Margins:</t>
  </si>
  <si>
    <t>Segment Op. Income</t>
  </si>
  <si>
    <t>SG&amp;A</t>
  </si>
  <si>
    <t>Direct Op. Expenses</t>
  </si>
  <si>
    <t>Drilling Revenues</t>
  </si>
  <si>
    <t>ND</t>
  </si>
  <si>
    <t>Reimbursables</t>
  </si>
  <si>
    <t>Lump Sum Payments</t>
  </si>
  <si>
    <t>Rig Revenues</t>
  </si>
  <si>
    <t>Daily Margin</t>
  </si>
  <si>
    <t>Daily cash costs</t>
  </si>
  <si>
    <t>Daily revenue</t>
  </si>
  <si>
    <t>NA</t>
  </si>
  <si>
    <t>Utilization (%)</t>
  </si>
  <si>
    <t>Revenue Days</t>
  </si>
  <si>
    <t>Avg. Rigs Operating</t>
  </si>
  <si>
    <t>Avg. Number of Rigs Owned</t>
  </si>
  <si>
    <t>Newbuilds Delivered</t>
  </si>
  <si>
    <t>Rigs Owned at Period End</t>
  </si>
  <si>
    <t>International Land</t>
  </si>
  <si>
    <t>Management Contract Expenses</t>
  </si>
  <si>
    <t>Management Contract Revenue</t>
  </si>
  <si>
    <t>Offshore</t>
  </si>
  <si>
    <t>HP Hz Rig Share</t>
  </si>
  <si>
    <t>MS US Hz Rig Count Forecast</t>
  </si>
  <si>
    <t>HP Total Share</t>
  </si>
  <si>
    <t>MS US Land Rig Count Forecast</t>
  </si>
  <si>
    <t>Market Share</t>
  </si>
  <si>
    <t>Segment P&amp;L</t>
  </si>
  <si>
    <t>Recurring Drilling Revenues</t>
  </si>
  <si>
    <t>Total Drilling Revenues</t>
  </si>
  <si>
    <t>Avg. Rig Margin/Day</t>
  </si>
  <si>
    <t>Avg. Rig Expenses/Day</t>
  </si>
  <si>
    <t>Avg. Rig Revenue/Day</t>
  </si>
  <si>
    <t>Rig Utilization</t>
  </si>
  <si>
    <t>Avg. Rigs Owned</t>
  </si>
  <si>
    <t>Net Rig Additions</t>
  </si>
  <si>
    <t>U.S. Land</t>
  </si>
  <si>
    <t>Segment Detail &amp; Checks</t>
  </si>
  <si>
    <t>Earnings allocated to unvested shares</t>
  </si>
  <si>
    <t>Net Profit Margin</t>
  </si>
  <si>
    <t>Effective Tax Rate</t>
  </si>
  <si>
    <t>Effective Interest Rate</t>
  </si>
  <si>
    <t>EBIT Margin</t>
  </si>
  <si>
    <t>Depreciation % of Revenues</t>
  </si>
  <si>
    <t>D&amp;A % of Beg. Net PP&amp;E (Ann.)</t>
  </si>
  <si>
    <t>EBITDA Margin</t>
  </si>
  <si>
    <t>R&amp;D % of Revenues</t>
  </si>
  <si>
    <t>G&amp;A % of Revenues</t>
  </si>
  <si>
    <t>Revenue Growth</t>
  </si>
  <si>
    <t>Summary Metrics &amp; Other Drivers</t>
  </si>
  <si>
    <t>Utilization</t>
  </si>
  <si>
    <t>Avg. Daily Margin</t>
  </si>
  <si>
    <t>Avg. Daily Cost</t>
  </si>
  <si>
    <t>Avg. Daily Revenue</t>
  </si>
  <si>
    <t>Rigs Working</t>
  </si>
  <si>
    <t>US Offshore</t>
  </si>
  <si>
    <t>US Land</t>
  </si>
  <si>
    <t>Income Statement Drivers/Analysis</t>
  </si>
  <si>
    <t>Weighted Average Diluted Shares Outstanding</t>
  </si>
  <si>
    <t>Cash Dividend Payout</t>
  </si>
  <si>
    <t>DPS</t>
  </si>
  <si>
    <t>CEPS (Operating)</t>
  </si>
  <si>
    <t>EPS (GAAP)</t>
  </si>
  <si>
    <t>EPS (Operating)</t>
  </si>
  <si>
    <t>Other One-Times</t>
  </si>
  <si>
    <t>Goodwill Impairment</t>
  </si>
  <si>
    <t>Asset Impairment</t>
  </si>
  <si>
    <t>Asset Sales</t>
  </si>
  <si>
    <t>Reconciliation to GAAP Income:</t>
  </si>
  <si>
    <t>Net Income (Operating)</t>
  </si>
  <si>
    <t>Equity in income of affiliates (net of taxes)</t>
  </si>
  <si>
    <t>Net Income before income of affiliates</t>
  </si>
  <si>
    <t>Income Tax (Expense)</t>
  </si>
  <si>
    <t>EBT</t>
  </si>
  <si>
    <t>Other (expense) income</t>
  </si>
  <si>
    <t>Interest (expense)</t>
  </si>
  <si>
    <t>Interest and dividend income</t>
  </si>
  <si>
    <t>(D&amp;A)</t>
  </si>
  <si>
    <t>(R&amp;D)</t>
  </si>
  <si>
    <t>(G&amp;A)</t>
  </si>
  <si>
    <t>Total Gross Profit</t>
  </si>
  <si>
    <t>Gross Profit:</t>
  </si>
  <si>
    <t>Total Operating Expenses</t>
  </si>
  <si>
    <t>Operating Expenses:</t>
  </si>
  <si>
    <t>Total Revenues</t>
  </si>
  <si>
    <t>Revenues:</t>
  </si>
  <si>
    <t>Income Statement</t>
  </si>
  <si>
    <t>2020E</t>
  </si>
  <si>
    <t>2019E</t>
  </si>
  <si>
    <t>2018E</t>
  </si>
  <si>
    <t>1Q21E</t>
  </si>
  <si>
    <t>4Q20E</t>
  </si>
  <si>
    <t>3Q20E</t>
  </si>
  <si>
    <t>2Q20E</t>
  </si>
  <si>
    <t>1Q20E</t>
  </si>
  <si>
    <t>4Q19E</t>
  </si>
  <si>
    <t>3Q19E</t>
  </si>
  <si>
    <t>2Q19E</t>
  </si>
  <si>
    <t>1Q19E</t>
  </si>
  <si>
    <t>4Q18E</t>
  </si>
  <si>
    <t>3Q18E</t>
  </si>
  <si>
    <t>2Q18E</t>
  </si>
  <si>
    <t>2Q17</t>
  </si>
  <si>
    <t>1Q17</t>
  </si>
  <si>
    <t>4Q16</t>
  </si>
  <si>
    <t>3Q16</t>
  </si>
  <si>
    <t>2Q16</t>
  </si>
  <si>
    <t>1Q16</t>
  </si>
  <si>
    <t>4Q15</t>
  </si>
  <si>
    <t>3Q15</t>
  </si>
  <si>
    <t>2Q15</t>
  </si>
  <si>
    <t>1Q15</t>
  </si>
  <si>
    <t>4Q14</t>
  </si>
  <si>
    <t>3Q14</t>
  </si>
  <si>
    <t>2Q14</t>
  </si>
  <si>
    <t>1Q14</t>
  </si>
  <si>
    <t>4Q13</t>
  </si>
  <si>
    <t>3Q13</t>
  </si>
  <si>
    <t>2Q13</t>
  </si>
  <si>
    <t>1Q13</t>
  </si>
  <si>
    <t>4Q12</t>
  </si>
  <si>
    <t>3Q12</t>
  </si>
  <si>
    <t>2Q12</t>
  </si>
  <si>
    <t>1Q12</t>
  </si>
  <si>
    <t>4Q11</t>
  </si>
  <si>
    <t>3Q11</t>
  </si>
  <si>
    <t>2Q11</t>
  </si>
  <si>
    <t>1Q11</t>
  </si>
  <si>
    <t>4Q10</t>
  </si>
  <si>
    <t>3Q10</t>
  </si>
  <si>
    <t>2Q10</t>
  </si>
  <si>
    <t>1Q10</t>
  </si>
  <si>
    <t>4Q09</t>
  </si>
  <si>
    <t>3Q09</t>
  </si>
  <si>
    <t>2Q09</t>
  </si>
  <si>
    <t>1Q09</t>
  </si>
  <si>
    <t>4Q08</t>
  </si>
  <si>
    <t>3Q08</t>
  </si>
  <si>
    <t>2Q08</t>
  </si>
  <si>
    <t>1Q08</t>
  </si>
  <si>
    <t>4Q07</t>
  </si>
  <si>
    <t>3Q07</t>
  </si>
  <si>
    <t>2Q07</t>
  </si>
  <si>
    <t>1Q07</t>
  </si>
  <si>
    <t>4Q06</t>
  </si>
  <si>
    <t>3Q06</t>
  </si>
  <si>
    <t>2Q06</t>
  </si>
  <si>
    <t>1Q06</t>
  </si>
  <si>
    <t>4Q05</t>
  </si>
  <si>
    <t>3Q05</t>
  </si>
  <si>
    <t>2Q05</t>
  </si>
  <si>
    <t>1Q05</t>
  </si>
  <si>
    <t>4Q04</t>
  </si>
  <si>
    <t>3Q04</t>
  </si>
  <si>
    <t>2Q04</t>
  </si>
  <si>
    <t>1Q04</t>
  </si>
  <si>
    <t>4Q03</t>
  </si>
  <si>
    <t>3Q03</t>
  </si>
  <si>
    <t>2Q03</t>
  </si>
  <si>
    <t>1Q03</t>
  </si>
  <si>
    <t>4Q02</t>
  </si>
  <si>
    <t>3Q02</t>
  </si>
  <si>
    <t>2Q02</t>
  </si>
  <si>
    <t>1Q02</t>
  </si>
  <si>
    <t>4Q01</t>
  </si>
  <si>
    <t>3Q01</t>
  </si>
  <si>
    <t>2Q01</t>
  </si>
  <si>
    <t>1Q01</t>
  </si>
  <si>
    <t>4Q00</t>
  </si>
  <si>
    <t>3Q00</t>
  </si>
  <si>
    <t>2Q00</t>
  </si>
  <si>
    <t>1Q00</t>
  </si>
  <si>
    <t>4Q99</t>
  </si>
  <si>
    <t>3Q99</t>
  </si>
  <si>
    <t>2Q99</t>
  </si>
  <si>
    <t>1Q99</t>
  </si>
  <si>
    <t>4Q98</t>
  </si>
  <si>
    <t>3Q98</t>
  </si>
  <si>
    <t>2Q98</t>
  </si>
  <si>
    <t>1Q98</t>
  </si>
  <si>
    <t>4Q97</t>
  </si>
  <si>
    <t>3Q97</t>
  </si>
  <si>
    <t>2Q97</t>
  </si>
  <si>
    <t>1Q97</t>
  </si>
  <si>
    <t>4Q96</t>
  </si>
  <si>
    <t>3Q96</t>
  </si>
  <si>
    <t>2Q96</t>
  </si>
  <si>
    <t>1Q96</t>
  </si>
  <si>
    <t>4Q95</t>
  </si>
  <si>
    <t>3Q95</t>
  </si>
  <si>
    <t>2Q95</t>
  </si>
  <si>
    <t>1Q95</t>
  </si>
  <si>
    <t>4Q94</t>
  </si>
  <si>
    <t>3Q94</t>
  </si>
  <si>
    <t>2Q94</t>
  </si>
  <si>
    <t>1Q94</t>
  </si>
  <si>
    <t>4Q93</t>
  </si>
  <si>
    <t>3Q93</t>
  </si>
  <si>
    <t>2Q93</t>
  </si>
  <si>
    <t>1Q93</t>
  </si>
  <si>
    <t>2015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</si>
  <si>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</si>
  <si>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</si>
  <si>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</si>
  <si>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</si>
  <si>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</si>
  <si>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</si>
  <si>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</si>
  <si>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</si>
  <si>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</si>
  <si>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</si>
  <si>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</si>
  <si>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</si>
  <si>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</si>
  <si>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</si>
  <si>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2000</t>
  </si>
  <si>
    <t>1999</t>
  </si>
  <si>
    <t>1998</t>
  </si>
  <si>
    <t>1997</t>
  </si>
  <si>
    <t>1996</t>
  </si>
  <si>
    <t>1995</t>
  </si>
  <si>
    <t>1994</t>
  </si>
  <si>
    <t/>
  </si>
  <si>
    <t>Helmerich &amp; Payne (HP) Earnings Model</t>
  </si>
  <si>
    <t>Morgan Stanley</t>
  </si>
  <si>
    <t>HP.N</t>
  </si>
  <si>
    <t>USD</t>
  </si>
  <si>
    <t>Count</t>
  </si>
  <si>
    <t>Current Stock Price</t>
  </si>
  <si>
    <t>Currency</t>
  </si>
  <si>
    <t>Helmerich &amp; Payne Inc</t>
  </si>
  <si>
    <t>Multiplier</t>
  </si>
  <si>
    <t>HP.N,mscalc:closePriceCurrencyCalc</t>
  </si>
  <si>
    <t>HP.N,mscalc:sedolCodeCalc</t>
  </si>
  <si>
    <t>HP.N,mscalc:targetPrice,,,,USD</t>
  </si>
  <si>
    <t>$F$2</t>
  </si>
  <si>
    <t>2420101</t>
  </si>
  <si>
    <t>85</t>
  </si>
  <si>
    <t>Q Index</t>
  </si>
  <si>
    <t>3Q17</t>
  </si>
  <si>
    <t>4Q17</t>
  </si>
  <si>
    <t>1Q18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</si>
  <si>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</si>
  <si>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</si>
  <si>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</si>
  <si>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</si>
  <si>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</si>
  <si>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</si>
  <si>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</si>
  <si>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</si>
  <si>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</si>
  <si>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</si>
  <si>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</si>
  <si>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HP.N</t>
  </si>
  <si>
    <t>Stock Rating: Underweight</t>
  </si>
  <si>
    <t>Industry: Oil Services, Drilling &amp; Equipment</t>
  </si>
  <si>
    <t>Industry View: In-Line</t>
  </si>
  <si>
    <t>Price as of 11 Apr 2018: 71.69</t>
  </si>
  <si>
    <t>Target Price: 60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</si>
  <si>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</si>
  <si>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</si>
  <si>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</si>
  <si>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</si>
  <si>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Helmerich &amp; Payne Inc.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</si>
  <si>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</si>
  <si>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</si>
  <si>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</si>
  <si>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</si>
  <si>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</si>
  <si>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</si>
  <si>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</si>
  <si>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</si>
  <si>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</si>
  <si>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</si>
  <si>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</si>
  <si>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</si>
  <si>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</si>
  <si>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</si>
  <si>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</si>
  <si>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</si>
  <si>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</si>
  <si>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</si>
  <si>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</si>
  <si>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</si>
  <si>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</si>
  <si>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</si>
  <si>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</si>
  <si>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</si>
  <si>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</si>
  <si>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</si>
  <si>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</si>
  <si>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</si>
  <si>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</si>
  <si>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</si>
  <si>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</si>
  <si>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</si>
  <si>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</si>
  <si>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</si>
  <si>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</si>
  <si>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</si>
  <si>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</si>
  <si>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</si>
  <si>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</si>
  <si>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</si>
  <si>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</si>
  <si>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</si>
  <si>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</si>
  <si>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</si>
  <si>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</si>
  <si>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</si>
  <si>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</si>
  <si>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</si>
  <si>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</si>
  <si>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</si>
  <si>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</si>
  <si>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</si>
  <si>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</si>
  <si>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</si>
  <si>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</si>
  <si>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</si>
  <si>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</si>
  <si>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</si>
  <si>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</si>
  <si>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</si>
  <si>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</si>
  <si>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</si>
  <si>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</si>
  <si>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</si>
  <si>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</si>
  <si>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</si>
  <si>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</si>
  <si>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</si>
  <si>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</si>
  <si>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</si>
  <si>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</si>
  <si>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</si>
  <si>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</si>
  <si>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</si>
  <si>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</si>
  <si>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</si>
  <si>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</si>
  <si>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</si>
  <si>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</si>
  <si>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</si>
  <si>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</si>
  <si>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</si>
  <si>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</si>
  <si>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</si>
  <si>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</si>
  <si>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</si>
  <si>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</si>
  <si>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</si>
  <si>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</si>
  <si>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</si>
  <si>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</si>
  <si>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</si>
  <si>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</si>
  <si>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</si>
  <si>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</si>
  <si>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</si>
  <si>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</si>
  <si>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</si>
  <si>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</si>
  <si>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</si>
  <si>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</si>
  <si>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</si>
  <si>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</si>
  <si>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</si>
  <si>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</si>
  <si>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</si>
  <si>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</si>
  <si>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</si>
  <si>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</si>
  <si>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</si>
  <si>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</si>
  <si>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</si>
  <si>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</si>
  <si>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</si>
  <si>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</si>
  <si>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</si>
  <si>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</si>
  <si>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</si>
  <si>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</si>
  <si>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</si>
  <si>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</si>
  <si>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</si>
  <si>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</si>
  <si>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</si>
  <si>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</si>
  <si>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</si>
  <si>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</si>
  <si>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</si>
  <si>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</si>
  <si>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</si>
  <si>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</si>
  <si>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</si>
  <si>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</si>
  <si>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</si>
  <si>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</si>
  <si>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</si>
  <si>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</si>
  <si>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</si>
  <si>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</si>
  <si>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</si>
  <si>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</si>
  <si>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</si>
  <si>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</si>
  <si>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</si>
  <si>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</si>
  <si>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</si>
  <si>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</si>
  <si>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</si>
  <si>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</si>
  <si>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</si>
  <si>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</si>
  <si>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</si>
  <si>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</si>
  <si>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</si>
  <si>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</si>
  <si>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</si>
  <si>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</si>
  <si>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</si>
  <si>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</si>
  <si>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</si>
  <si>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</si>
  <si>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</si>
  <si>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</si>
  <si>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</si>
  <si>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</si>
  <si>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</si>
  <si>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</si>
  <si>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</si>
  <si>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</si>
  <si>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</si>
  <si>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</si>
  <si>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</si>
  <si>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</si>
  <si>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</si>
  <si>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</si>
  <si>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</si>
  <si>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</si>
  <si>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</si>
  <si>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</si>
  <si>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</si>
  <si>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</si>
  <si>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</si>
  <si>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</si>
  <si>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</si>
  <si>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</si>
  <si>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</si>
  <si>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</si>
  <si>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</si>
  <si>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</si>
  <si>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</si>
  <si>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</si>
  <si>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</si>
  <si>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</si>
  <si>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</si>
  <si>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</si>
  <si>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</si>
  <si>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</si>
  <si>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</si>
  <si>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</si>
  <si>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</si>
  <si>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</si>
  <si>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</si>
  <si>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</si>
  <si>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</si>
  <si>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</si>
  <si>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</si>
  <si>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</si>
  <si>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</si>
  <si>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</si>
  <si>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</si>
  <si>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</si>
  <si>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</si>
  <si>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</si>
  <si>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</si>
  <si>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</si>
  <si>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</si>
  <si>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</si>
  <si>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</si>
  <si>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</si>
  <si>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</si>
  <si>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</si>
  <si>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</si>
  <si>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</si>
  <si>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</si>
  <si>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</si>
  <si>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</si>
  <si>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</si>
  <si>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</si>
  <si>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</si>
  <si>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</si>
  <si>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</si>
  <si>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</si>
  <si>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</si>
  <si>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</si>
  <si>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</si>
  <si>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</si>
  <si>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</si>
  <si>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</si>
  <si>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</si>
  <si>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</si>
  <si>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</si>
  <si>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</si>
  <si>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</si>
  <si>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</si>
  <si>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</si>
  <si>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</si>
  <si>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</si>
  <si>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</si>
  <si>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</si>
  <si>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</si>
  <si>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</si>
  <si>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</si>
  <si>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</si>
  <si>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</si>
  <si>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</si>
  <si>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</si>
  <si>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</si>
  <si>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</si>
  <si>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</si>
  <si>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</si>
  <si>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</si>
  <si>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</si>
  <si>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</si>
  <si>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</si>
  <si>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</si>
  <si>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</si>
  <si>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</si>
  <si>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</si>
  <si>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</si>
  <si>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</si>
  <si>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</si>
  <si>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</si>
  <si>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</si>
  <si>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</si>
  <si>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</si>
  <si>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</si>
  <si>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</si>
  <si>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</si>
  <si>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</si>
  <si>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</si>
  <si>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</si>
  <si>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</si>
  <si>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</si>
  <si>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</si>
  <si>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</si>
  <si>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</si>
  <si>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</si>
  <si>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</si>
  <si>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</si>
  <si>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</si>
  <si>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</si>
  <si>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</si>
  <si>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</si>
  <si>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</si>
  <si>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</si>
  <si>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</si>
  <si>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</si>
  <si>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</si>
  <si>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</si>
  <si>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</si>
  <si>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</si>
  <si>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</si>
  <si>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</si>
  <si>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</si>
  <si>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</si>
  <si>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</si>
  <si>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</si>
  <si>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</si>
  <si>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</si>
  <si>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</si>
  <si>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</si>
  <si>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</si>
  <si>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</si>
  <si>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</si>
  <si>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</si>
  <si>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Underweight / In-Line</t>
  </si>
  <si>
    <t>Regular Update</t>
  </si>
  <si>
    <t>NorthAmerica</t>
  </si>
  <si>
    <t>lynagcon</t>
  </si>
  <si>
    <t>L:\ENERGY\Lynagh\Models\HP.xlsm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</si>
  <si>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</si>
  <si>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</si>
  <si>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</si>
  <si>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</si>
  <si>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</si>
  <si>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</si>
  <si>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11:54]</t>
  </si>
  <si>
    <t>[PSYM HP.N(S&amp;P) (None)]</t>
  </si>
  <si>
    <t>[COU 1]</t>
  </si>
  <si>
    <t>[ANA ]</t>
  </si>
  <si>
    <t>[HL HP.N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</si>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</sst>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0.0%"/>
    <numFmt numFmtId="166" formatCode="_(* #,##0_);_(* \(#,##0\);_(* &quot;-&quot;??_);_(@_)"/>
    <numFmt numFmtId="167" formatCode="0.0\x_);\(0.0\x\);&quot;–&quot;_)"/>
    <numFmt numFmtId="168" formatCode="0.0%_);\(0.0%\);&quot;–&quot;_)"/>
    <numFmt numFmtId="169" formatCode="_(* #,##0.0_);_(* \(#,##0.0\);_(* &quot;-&quot;?_);_(@_)"/>
    <numFmt numFmtId="170" formatCode="&quot;$&quot;#,##0.00"/>
    <numFmt numFmtId="171" formatCode="0.0"/>
    <numFmt numFmtId="172" formatCode="0.0\x"/>
    <numFmt numFmtId="173" formatCode="#,##0.0_);\(#,##0.0\);\–_)"/>
    <numFmt numFmtId="174" formatCode="_(* #,##0.000_);_(* \(#,##0.000\);_(* &quot;-&quot;??_);_(@_)"/>
    <numFmt numFmtId="175" formatCode="0_);\(0\)"/>
    <numFmt numFmtId="176" formatCode="0.000"/>
    <numFmt numFmtId="177" formatCode="#,##0.0_);\(#,##0.0\);&quot;-&quot;_);@_)"/>
    <numFmt numFmtId="178" formatCode="#,##0.0_);\(#,##0.0\)"/>
    <numFmt numFmtId="179" formatCode="#,##0.0_);\(#,##0.0\);\–_);&quot;–&quot;_)"/>
    <numFmt numFmtId="180" formatCode="#,##0.000"/>
    <numFmt numFmtId="181" formatCode="_(* #,##0_);_(* \(#,##0\);_(* &quot;-&quot;?_);_(@_)"/>
    <numFmt numFmtId="182" formatCode="#,##0_);\(#,##0\);&quot;-&quot;_);@_)"/>
    <numFmt numFmtId="183" formatCode="#,##0.000_);\(#,##0.000\)"/>
    <numFmt numFmtId="184" formatCode="_(* #,##0.0000_);_(* \(#,##0.0000\);_(* &quot;-&quot;??_);_(@_)"/>
    <numFmt numFmtId="185" formatCode="mmm\-yy&quot;E&quot;"/>
    <numFmt numFmtId="186" formatCode="[$-409]mmm\-yy;@"/>
    <numFmt numFmtId="187" formatCode="#,##0.00_);\(#,##0.00\);&quot;-&quot;_);@_)"/>
    <numFmt numFmtId="188" formatCode="_ * #,##0_ ;_ * \-#,##0_ ;_ * &quot;-&quot;_ ;_ @_ "/>
    <numFmt numFmtId="190" formatCode="#,##0_);\(#,##0\);\–_)"/>
    <numFmt numFmtId="192" formatCode="#,##0.000_);\(#,##0.000\);&quot;-&quot;_);@_)"/>
    <numFmt numFmtId="194" formatCode="#,##0.0"/>
    <numFmt numFmtId="221" formatCode="#,##0.0_);\(#,##0.0\);&quot;-&quot;"/>
    <numFmt numFmtId="222" formatCode="0.0%_);\(0.0%\);&quot;-&quot;"/>
    <numFmt numFmtId="228" formatCode="mm/dd/yy\ hh:mm"/>
  </numFmts>
  <fonts count="53"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5"/>
      <name val="Arial"/>
      <family val="2"/>
    </font>
    <font>
      <sz val="10"/>
      <name val="Helv"/>
      <charset val="204"/>
    </font>
    <font>
      <sz val="8"/>
      <color indexed="16"/>
      <name val="Arial"/>
      <family val="2"/>
    </font>
    <font>
      <sz val="8"/>
      <color indexed="62"/>
      <name val="Arial"/>
      <family val="2"/>
    </font>
    <font>
      <sz val="8"/>
      <color indexed="12"/>
      <name val="Arial"/>
      <family val="2"/>
    </font>
    <font>
      <sz val="8"/>
      <color rgb="FF137CB1"/>
      <name val="Arial"/>
      <family val="2"/>
    </font>
    <font>
      <i/>
      <sz val="8"/>
      <name val="Arial"/>
      <family val="2"/>
    </font>
    <font>
      <sz val="8"/>
      <color indexed="22"/>
      <name val="Arial"/>
      <family val="2"/>
    </font>
    <font>
      <sz val="8"/>
      <color indexed="24"/>
      <name val="Arial"/>
      <family val="2"/>
    </font>
    <font>
      <sz val="8"/>
      <color indexed="10"/>
      <name val="Arial"/>
      <family val="2"/>
    </font>
    <font>
      <sz val="8"/>
      <color indexed="17"/>
      <name val="Arial"/>
      <family val="2"/>
    </font>
    <font>
      <sz val="8"/>
      <color rgb="FF000000"/>
      <name val="Arial"/>
      <family val="2"/>
    </font>
    <font>
      <b/>
      <sz val="8"/>
      <color indexed="56"/>
      <name val="Arial"/>
      <family val="2"/>
    </font>
    <font>
      <u/>
      <sz val="8"/>
      <name val="Arial"/>
      <family val="2"/>
    </font>
    <font>
      <sz val="8"/>
      <color indexed="45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rgb="FF008000"/>
      <name val="Arial"/>
      <family val="2"/>
    </font>
    <font>
      <b/>
      <sz val="8"/>
      <color indexed="10"/>
      <name val="Arial"/>
      <family val="2"/>
    </font>
    <font>
      <b/>
      <sz val="8"/>
      <color indexed="24"/>
      <name val="Arial"/>
      <family val="2"/>
    </font>
    <font>
      <b/>
      <sz val="5"/>
      <name val="Arial"/>
      <family val="2"/>
    </font>
    <font>
      <b/>
      <sz val="8"/>
      <color rgb="FF137CB1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b/>
      <sz val="8"/>
      <color indexed="62"/>
      <name val="Arial"/>
      <family val="2"/>
    </font>
    <font>
      <b/>
      <sz val="12"/>
      <color indexed="8"/>
      <name val="News Gothic M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Beatles"/>
      <charset val="16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1"/>
      <color theme="1"/>
      <name val="Calibri"/>
      <family val="2"/>
      <scheme val="minor"/>
    </font>
    <font>
      <sz val="8.25"/>
      <name val="Tms Rmn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sz val="11"/>
      <name val="Arial"/>
      <family val="2"/>
    </font>
    <font>
      <sz val="5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b/>
      <sz val="8"/>
      <color theme="1" tint="0.34998626667073579"/>
      <name val="Arial"/>
      <family val="2"/>
    </font>
    <font>
      <sz val="10"/>
      <color theme="1" tint="0.34998626667073579"/>
      <name val="Arial"/>
      <family val="2"/>
    </font>
    <font>
      <sz val="8"/>
      <color theme="0"/>
      <name val="Arial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5">
    <xf numFmtId="0" fontId="0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4" fillId="0" borderId="0" applyNumberFormat="0" applyFill="0" applyBorder="0" applyAlignment="0" applyProtection="0"/>
    <xf numFmtId="0" fontId="3" fillId="0" borderId="0"/>
    <xf numFmtId="0" fontId="35" fillId="0" borderId="0"/>
    <xf numFmtId="0" fontId="35" fillId="0" borderId="0"/>
    <xf numFmtId="0" fontId="36" fillId="0" borderId="0"/>
    <xf numFmtId="43" fontId="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9" fillId="0" borderId="0">
      <alignment vertical="center"/>
    </xf>
    <xf numFmtId="9" fontId="1" fillId="0" borderId="0" applyFont="0" applyFill="0" applyBorder="0" applyAlignment="0" applyProtection="0"/>
    <xf numFmtId="0" fontId="3" fillId="6" borderId="0" applyNumberFormat="0" applyFont="0" applyBorder="0" applyAlignment="0" applyProtection="0"/>
    <xf numFmtId="0" fontId="40" fillId="0" borderId="0"/>
    <xf numFmtId="0" fontId="40" fillId="0" borderId="6">
      <alignment horizontal="centerContinuous"/>
    </xf>
    <xf numFmtId="0" fontId="41" fillId="0" borderId="6"/>
    <xf numFmtId="188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221" fontId="4" fillId="0" borderId="0"/>
    <xf numFmtId="222" fontId="3" fillId="0" borderId="0" applyFont="0" applyFill="0" applyBorder="0" applyAlignment="0" applyProtection="0"/>
    <xf numFmtId="221" fontId="5" fillId="0" borderId="3"/>
    <xf numFmtId="0" fontId="1" fillId="0" borderId="0"/>
    <xf numFmtId="9" fontId="1" fillId="0" borderId="0" applyFont="0" applyFill="0" applyBorder="0" applyAlignment="0" applyProtection="0"/>
    <xf numFmtId="0" fontId="49" fillId="0" borderId="0"/>
  </cellStyleXfs>
  <cellXfs count="396">
    <xf numFmtId="0" fontId="0" fillId="0" borderId="0" xfId="0"/>
    <xf numFmtId="0" fontId="3" fillId="0" borderId="0" xfId="1"/>
    <xf numFmtId="0" fontId="3" fillId="0" borderId="0" xfId="1" applyFont="1"/>
    <xf numFmtId="0" fontId="3" fillId="0" borderId="0" xfId="1" applyBorder="1"/>
    <xf numFmtId="0" fontId="4" fillId="0" borderId="0" xfId="1" applyFont="1"/>
    <xf numFmtId="0" fontId="4" fillId="0" borderId="0" xfId="1" applyFont="1" applyFill="1" applyBorder="1"/>
    <xf numFmtId="0" fontId="4" fillId="3" borderId="0" xfId="1" applyFont="1" applyFill="1" applyBorder="1"/>
    <xf numFmtId="0" fontId="4" fillId="3" borderId="0" xfId="1" applyFont="1" applyFill="1" applyAlignment="1">
      <alignment horizontal="right"/>
    </xf>
    <xf numFmtId="49" fontId="5" fillId="3" borderId="0" xfId="1" applyNumberFormat="1" applyFont="1" applyFill="1" applyBorder="1" applyAlignment="1">
      <alignment vertical="center"/>
    </xf>
    <xf numFmtId="0" fontId="6" fillId="0" borderId="0" xfId="1" applyFont="1" applyFill="1"/>
    <xf numFmtId="0" fontId="4" fillId="0" borderId="0" xfId="1" applyFont="1" applyFill="1"/>
    <xf numFmtId="0" fontId="4" fillId="2" borderId="0" xfId="1" applyFont="1" applyFill="1"/>
    <xf numFmtId="164" fontId="4" fillId="0" borderId="0" xfId="1" applyNumberFormat="1" applyFont="1" applyFill="1" applyBorder="1"/>
    <xf numFmtId="164" fontId="8" fillId="0" borderId="0" xfId="2" applyNumberFormat="1" applyFont="1" applyFill="1" applyBorder="1"/>
    <xf numFmtId="49" fontId="4" fillId="0" borderId="0" xfId="2" applyNumberFormat="1" applyFont="1" applyFill="1" applyBorder="1" applyAlignment="1">
      <alignment horizontal="left" indent="1"/>
    </xf>
    <xf numFmtId="0" fontId="6" fillId="0" borderId="0" xfId="1" applyFont="1"/>
    <xf numFmtId="164" fontId="9" fillId="0" borderId="0" xfId="1" applyNumberFormat="1" applyFont="1" applyFill="1" applyBorder="1"/>
    <xf numFmtId="0" fontId="4" fillId="0" borderId="0" xfId="1" applyFont="1" applyBorder="1"/>
    <xf numFmtId="164" fontId="4" fillId="0" borderId="0" xfId="2" applyNumberFormat="1" applyFont="1" applyFill="1" applyBorder="1"/>
    <xf numFmtId="49" fontId="4" fillId="0" borderId="0" xfId="1" applyNumberFormat="1" applyFont="1" applyFill="1" applyBorder="1" applyAlignment="1">
      <alignment horizontal="left"/>
    </xf>
    <xf numFmtId="43" fontId="4" fillId="0" borderId="0" xfId="2" applyNumberFormat="1" applyFont="1" applyFill="1" applyBorder="1"/>
    <xf numFmtId="165" fontId="10" fillId="0" borderId="0" xfId="2" applyNumberFormat="1" applyFont="1" applyFill="1"/>
    <xf numFmtId="165" fontId="4" fillId="0" borderId="0" xfId="2" applyNumberFormat="1" applyFont="1" applyFill="1"/>
    <xf numFmtId="165" fontId="4" fillId="0" borderId="0" xfId="1" applyNumberFormat="1" applyFont="1" applyFill="1"/>
    <xf numFmtId="165" fontId="4" fillId="0" borderId="0" xfId="1" applyNumberFormat="1" applyFont="1" applyBorder="1"/>
    <xf numFmtId="165" fontId="4" fillId="0" borderId="0" xfId="3" applyNumberFormat="1" applyFont="1" applyFill="1" applyBorder="1"/>
    <xf numFmtId="165" fontId="4" fillId="0" borderId="0" xfId="1" applyNumberFormat="1" applyFont="1"/>
    <xf numFmtId="9" fontId="4" fillId="0" borderId="0" xfId="2" applyNumberFormat="1" applyFont="1" applyFill="1"/>
    <xf numFmtId="49" fontId="4" fillId="0" borderId="0" xfId="2" applyNumberFormat="1" applyFont="1" applyFill="1" applyAlignment="1">
      <alignment horizontal="left" indent="1"/>
    </xf>
    <xf numFmtId="165" fontId="11" fillId="0" borderId="0" xfId="2" applyNumberFormat="1" applyFont="1" applyFill="1"/>
    <xf numFmtId="165" fontId="11" fillId="0" borderId="0" xfId="1" applyNumberFormat="1" applyFont="1" applyFill="1"/>
    <xf numFmtId="49" fontId="4" fillId="0" borderId="0" xfId="2" applyNumberFormat="1" applyFont="1" applyFill="1" applyAlignment="1"/>
    <xf numFmtId="3" fontId="4" fillId="0" borderId="0" xfId="1" applyNumberFormat="1" applyFont="1" applyFill="1" applyBorder="1"/>
    <xf numFmtId="3" fontId="4" fillId="0" borderId="0" xfId="1" applyNumberFormat="1" applyFont="1" applyFill="1"/>
    <xf numFmtId="166" fontId="4" fillId="0" borderId="0" xfId="1" applyNumberFormat="1" applyFont="1" applyFill="1"/>
    <xf numFmtId="49" fontId="5" fillId="0" borderId="0" xfId="2" applyNumberFormat="1" applyFont="1" applyFill="1" applyBorder="1" applyAlignment="1"/>
    <xf numFmtId="167" fontId="12" fillId="0" borderId="0" xfId="1" applyNumberFormat="1" applyFont="1" applyFill="1" applyBorder="1"/>
    <xf numFmtId="49" fontId="4" fillId="0" borderId="0" xfId="2" applyNumberFormat="1" applyFont="1" applyFill="1" applyBorder="1" applyAlignment="1">
      <alignment horizontal="left"/>
    </xf>
    <xf numFmtId="0" fontId="6" fillId="0" borderId="0" xfId="1" applyFont="1" applyBorder="1"/>
    <xf numFmtId="167" fontId="4" fillId="0" borderId="0" xfId="1" applyNumberFormat="1" applyFont="1" applyFill="1" applyBorder="1"/>
    <xf numFmtId="167" fontId="4" fillId="0" borderId="0" xfId="1" applyNumberFormat="1" applyFont="1" applyBorder="1"/>
    <xf numFmtId="168" fontId="4" fillId="0" borderId="0" xfId="1" applyNumberFormat="1" applyFont="1" applyFill="1" applyBorder="1"/>
    <xf numFmtId="168" fontId="4" fillId="0" borderId="0" xfId="1" applyNumberFormat="1" applyFont="1" applyBorder="1"/>
    <xf numFmtId="0" fontId="4" fillId="0" borderId="0" xfId="4" applyNumberFormat="1" applyFont="1" applyFill="1" applyBorder="1" applyAlignment="1">
      <alignment horizontal="left" vertical="center"/>
    </xf>
    <xf numFmtId="43" fontId="4" fillId="0" borderId="0" xfId="1" applyNumberFormat="1" applyFont="1" applyFill="1"/>
    <xf numFmtId="43" fontId="13" fillId="0" borderId="0" xfId="1" applyNumberFormat="1" applyFont="1" applyFill="1"/>
    <xf numFmtId="169" fontId="13" fillId="0" borderId="0" xfId="1" applyNumberFormat="1" applyFont="1" applyFill="1"/>
    <xf numFmtId="49" fontId="5" fillId="0" borderId="0" xfId="2" applyNumberFormat="1" applyFont="1" applyFill="1" applyBorder="1"/>
    <xf numFmtId="170" fontId="4" fillId="0" borderId="0" xfId="2" applyNumberFormat="1" applyFont="1" applyFill="1" applyBorder="1"/>
    <xf numFmtId="168" fontId="11" fillId="0" borderId="0" xfId="2" applyNumberFormat="1" applyFont="1" applyFill="1"/>
    <xf numFmtId="165" fontId="4" fillId="0" borderId="0" xfId="3" applyNumberFormat="1" applyFont="1" applyFill="1"/>
    <xf numFmtId="49" fontId="4" fillId="0" borderId="0" xfId="4" applyNumberFormat="1" applyFont="1" applyFill="1" applyBorder="1"/>
    <xf numFmtId="43" fontId="4" fillId="0" borderId="0" xfId="2" applyFont="1" applyFill="1"/>
    <xf numFmtId="43" fontId="4" fillId="0" borderId="0" xfId="2" applyFont="1" applyFill="1" applyBorder="1"/>
    <xf numFmtId="49" fontId="4" fillId="0" borderId="0" xfId="2" applyNumberFormat="1" applyFont="1" applyFill="1" applyAlignment="1">
      <alignment horizontal="left"/>
    </xf>
    <xf numFmtId="165" fontId="11" fillId="0" borderId="0" xfId="3" applyNumberFormat="1" applyFont="1" applyFill="1"/>
    <xf numFmtId="164" fontId="14" fillId="0" borderId="0" xfId="2" applyNumberFormat="1" applyFont="1" applyFill="1" applyBorder="1"/>
    <xf numFmtId="164" fontId="11" fillId="0" borderId="0" xfId="2" applyNumberFormat="1" applyFont="1" applyFill="1" applyBorder="1"/>
    <xf numFmtId="164" fontId="4" fillId="0" borderId="0" xfId="2" applyNumberFormat="1" applyFont="1" applyFill="1" applyBorder="1" applyAlignment="1"/>
    <xf numFmtId="164" fontId="4" fillId="0" borderId="0" xfId="1" applyNumberFormat="1" applyFont="1" applyFill="1"/>
    <xf numFmtId="164" fontId="4" fillId="0" borderId="0" xfId="2" applyNumberFormat="1" applyFont="1" applyFill="1" applyBorder="1" applyAlignment="1">
      <alignment horizontal="right"/>
    </xf>
    <xf numFmtId="164" fontId="11" fillId="0" borderId="0" xfId="2" applyNumberFormat="1" applyFont="1" applyFill="1"/>
    <xf numFmtId="164" fontId="4" fillId="0" borderId="0" xfId="2" applyNumberFormat="1" applyFont="1" applyFill="1"/>
    <xf numFmtId="49" fontId="4" fillId="0" borderId="0" xfId="2" applyNumberFormat="1" applyFont="1" applyFill="1" applyBorder="1"/>
    <xf numFmtId="49" fontId="5" fillId="0" borderId="0" xfId="4" applyNumberFormat="1" applyFont="1" applyFill="1" applyBorder="1"/>
    <xf numFmtId="49" fontId="4" fillId="0" borderId="0" xfId="2" applyNumberFormat="1" applyFont="1" applyFill="1"/>
    <xf numFmtId="164" fontId="4" fillId="0" borderId="1" xfId="2" applyNumberFormat="1" applyFont="1" applyFill="1" applyBorder="1"/>
    <xf numFmtId="164" fontId="4" fillId="0" borderId="1" xfId="1" applyNumberFormat="1" applyFont="1" applyFill="1" applyBorder="1"/>
    <xf numFmtId="0" fontId="4" fillId="0" borderId="1" xfId="1" applyFont="1" applyFill="1" applyBorder="1"/>
    <xf numFmtId="49" fontId="4" fillId="0" borderId="1" xfId="2" applyNumberFormat="1" applyFont="1" applyFill="1" applyBorder="1" applyAlignment="1">
      <alignment horizontal="left"/>
    </xf>
    <xf numFmtId="171" fontId="4" fillId="0" borderId="1" xfId="1" applyNumberFormat="1" applyFont="1" applyFill="1" applyBorder="1"/>
    <xf numFmtId="164" fontId="11" fillId="0" borderId="1" xfId="2" applyNumberFormat="1" applyFont="1" applyFill="1" applyBorder="1"/>
    <xf numFmtId="164" fontId="11" fillId="0" borderId="1" xfId="1" applyNumberFormat="1" applyFont="1" applyFill="1" applyBorder="1"/>
    <xf numFmtId="49" fontId="4" fillId="0" borderId="1" xfId="2" applyNumberFormat="1" applyFont="1" applyFill="1" applyBorder="1" applyAlignment="1">
      <alignment horizontal="left" indent="1"/>
    </xf>
    <xf numFmtId="164" fontId="11" fillId="0" borderId="0" xfId="1" applyNumberFormat="1" applyFont="1" applyFill="1"/>
    <xf numFmtId="49" fontId="5" fillId="0" borderId="0" xfId="2" applyNumberFormat="1" applyFont="1" applyFill="1"/>
    <xf numFmtId="164" fontId="4" fillId="0" borderId="0" xfId="3" applyNumberFormat="1" applyFont="1" applyFill="1" applyBorder="1"/>
    <xf numFmtId="164" fontId="4" fillId="0" borderId="0" xfId="2" applyNumberFormat="1" applyFont="1" applyFill="1" applyAlignment="1">
      <alignment horizontal="right"/>
    </xf>
    <xf numFmtId="9" fontId="4" fillId="0" borderId="0" xfId="3" applyNumberFormat="1" applyFont="1" applyFill="1" applyBorder="1"/>
    <xf numFmtId="9" fontId="4" fillId="0" borderId="0" xfId="2" applyNumberFormat="1" applyFont="1" applyFill="1" applyBorder="1"/>
    <xf numFmtId="165" fontId="9" fillId="0" borderId="0" xfId="3" applyNumberFormat="1" applyFont="1" applyFill="1" applyBorder="1"/>
    <xf numFmtId="0" fontId="5" fillId="0" borderId="0" xfId="1" applyFont="1" applyFill="1" applyBorder="1"/>
    <xf numFmtId="165" fontId="11" fillId="0" borderId="0" xfId="3" applyNumberFormat="1" applyFont="1" applyFill="1" applyBorder="1"/>
    <xf numFmtId="167" fontId="4" fillId="0" borderId="0" xfId="2" applyNumberFormat="1" applyFont="1" applyFill="1" applyBorder="1"/>
    <xf numFmtId="172" fontId="4" fillId="0" borderId="0" xfId="2" applyNumberFormat="1" applyFont="1" applyFill="1" applyBorder="1"/>
    <xf numFmtId="0" fontId="4" fillId="0" borderId="0" xfId="2" applyNumberFormat="1" applyFont="1" applyFill="1" applyBorder="1"/>
    <xf numFmtId="172" fontId="4" fillId="0" borderId="0" xfId="1" applyNumberFormat="1" applyFont="1"/>
    <xf numFmtId="172" fontId="4" fillId="0" borderId="0" xfId="1" applyNumberFormat="1" applyFont="1" applyFill="1"/>
    <xf numFmtId="173" fontId="4" fillId="0" borderId="0" xfId="2" applyNumberFormat="1" applyFont="1" applyFill="1" applyBorder="1"/>
    <xf numFmtId="167" fontId="4" fillId="0" borderId="0" xfId="3" applyNumberFormat="1" applyFont="1" applyFill="1"/>
    <xf numFmtId="167" fontId="4" fillId="0" borderId="0" xfId="3" applyNumberFormat="1" applyFont="1" applyFill="1" applyBorder="1"/>
    <xf numFmtId="168" fontId="4" fillId="0" borderId="0" xfId="3" applyNumberFormat="1" applyFont="1" applyFill="1" applyBorder="1"/>
    <xf numFmtId="49" fontId="5" fillId="0" borderId="0" xfId="1" applyNumberFormat="1" applyFont="1" applyFill="1" applyBorder="1" applyAlignment="1">
      <alignment horizontal="left" vertical="center"/>
    </xf>
    <xf numFmtId="164" fontId="2" fillId="0" borderId="0" xfId="1" applyNumberFormat="1" applyFont="1" applyFill="1"/>
    <xf numFmtId="164" fontId="2" fillId="4" borderId="0" xfId="1" applyNumberFormat="1" applyFont="1" applyFill="1"/>
    <xf numFmtId="164" fontId="2" fillId="0" borderId="0" xfId="2" applyNumberFormat="1" applyFont="1" applyFill="1" applyBorder="1"/>
    <xf numFmtId="164" fontId="4" fillId="0" borderId="0" xfId="2" applyNumberFormat="1" applyFont="1" applyBorder="1"/>
    <xf numFmtId="43" fontId="15" fillId="0" borderId="0" xfId="2" applyFont="1" applyFill="1" applyBorder="1" applyAlignment="1">
      <alignment horizontal="left"/>
    </xf>
    <xf numFmtId="164" fontId="4" fillId="0" borderId="0" xfId="2" applyNumberFormat="1" applyFont="1" applyFill="1" applyAlignment="1"/>
    <xf numFmtId="49" fontId="4" fillId="0" borderId="0" xfId="1" applyNumberFormat="1" applyFont="1" applyFill="1" applyBorder="1"/>
    <xf numFmtId="0" fontId="16" fillId="0" borderId="0" xfId="1" applyFont="1" applyFill="1" applyBorder="1"/>
    <xf numFmtId="164" fontId="16" fillId="0" borderId="0" xfId="1" applyNumberFormat="1" applyFont="1" applyFill="1" applyBorder="1"/>
    <xf numFmtId="164" fontId="16" fillId="0" borderId="0" xfId="2" applyNumberFormat="1" applyFont="1" applyFill="1" applyBorder="1"/>
    <xf numFmtId="164" fontId="16" fillId="0" borderId="0" xfId="2" applyNumberFormat="1" applyFont="1" applyFill="1" applyBorder="1" applyAlignment="1"/>
    <xf numFmtId="49" fontId="16" fillId="0" borderId="0" xfId="2" applyNumberFormat="1" applyFont="1" applyFill="1" applyBorder="1" applyAlignment="1">
      <alignment horizontal="left" indent="1"/>
    </xf>
    <xf numFmtId="164" fontId="16" fillId="0" borderId="0" xfId="2" applyNumberFormat="1" applyFont="1" applyFill="1" applyBorder="1" applyAlignment="1">
      <alignment wrapText="1"/>
    </xf>
    <xf numFmtId="164" fontId="11" fillId="0" borderId="0" xfId="1" applyNumberFormat="1" applyFont="1" applyFill="1" applyBorder="1"/>
    <xf numFmtId="164" fontId="11" fillId="0" borderId="0" xfId="2" applyNumberFormat="1" applyFont="1" applyFill="1" applyBorder="1" applyAlignment="1"/>
    <xf numFmtId="164" fontId="11" fillId="0" borderId="0" xfId="2" applyNumberFormat="1" applyFont="1" applyFill="1" applyBorder="1" applyAlignment="1">
      <alignment wrapText="1"/>
    </xf>
    <xf numFmtId="164" fontId="17" fillId="0" borderId="0" xfId="1" applyNumberFormat="1" applyFont="1" applyFill="1"/>
    <xf numFmtId="164" fontId="11" fillId="0" borderId="0" xfId="2" applyNumberFormat="1" applyFont="1" applyFill="1" applyAlignment="1"/>
    <xf numFmtId="164" fontId="11" fillId="0" borderId="0" xfId="2" applyNumberFormat="1" applyFont="1" applyFill="1" applyAlignment="1">
      <alignment wrapText="1"/>
    </xf>
    <xf numFmtId="164" fontId="10" fillId="0" borderId="0" xfId="1" applyNumberFormat="1" applyFont="1" applyFill="1"/>
    <xf numFmtId="174" fontId="4" fillId="0" borderId="0" xfId="1" applyNumberFormat="1" applyFont="1" applyFill="1"/>
    <xf numFmtId="164" fontId="18" fillId="0" borderId="0" xfId="1" applyNumberFormat="1" applyFont="1" applyFill="1" applyBorder="1" applyAlignment="1">
      <alignment horizontal="right" vertical="center"/>
    </xf>
    <xf numFmtId="164" fontId="5" fillId="0" borderId="0" xfId="1" applyNumberFormat="1" applyFont="1" applyFill="1" applyBorder="1" applyAlignment="1">
      <alignment horizontal="right" vertical="center"/>
    </xf>
    <xf numFmtId="164" fontId="18" fillId="0" borderId="0" xfId="2" applyNumberFormat="1" applyFont="1" applyFill="1" applyBorder="1" applyAlignment="1">
      <alignment horizontal="right" vertical="center"/>
    </xf>
    <xf numFmtId="49" fontId="4" fillId="0" borderId="0" xfId="1" applyNumberFormat="1" applyFont="1" applyFill="1" applyBorder="1" applyAlignment="1">
      <alignment horizontal="left" vertical="center"/>
    </xf>
    <xf numFmtId="164" fontId="9" fillId="0" borderId="0" xfId="2" applyNumberFormat="1" applyFont="1" applyFill="1" applyBorder="1"/>
    <xf numFmtId="17" fontId="5" fillId="0" borderId="2" xfId="1" applyNumberFormat="1" applyFont="1" applyFill="1" applyBorder="1" applyAlignment="1">
      <alignment horizontal="right" vertical="center"/>
    </xf>
    <xf numFmtId="175" fontId="5" fillId="0" borderId="2" xfId="1" applyNumberFormat="1" applyFont="1" applyFill="1" applyBorder="1" applyAlignment="1">
      <alignment horizontal="right" vertical="center"/>
    </xf>
    <xf numFmtId="49" fontId="4" fillId="0" borderId="2" xfId="1" applyNumberFormat="1" applyFont="1" applyFill="1" applyBorder="1" applyAlignment="1">
      <alignment horizontal="left" vertical="center"/>
    </xf>
    <xf numFmtId="43" fontId="15" fillId="0" borderId="0" xfId="2" applyFont="1" applyFill="1" applyBorder="1"/>
    <xf numFmtId="164" fontId="15" fillId="0" borderId="0" xfId="2" applyNumberFormat="1" applyFont="1" applyFill="1" applyBorder="1"/>
    <xf numFmtId="174" fontId="15" fillId="0" borderId="0" xfId="2" applyNumberFormat="1" applyFont="1" applyFill="1" applyBorder="1"/>
    <xf numFmtId="43" fontId="15" fillId="0" borderId="0" xfId="2" applyFont="1" applyBorder="1"/>
    <xf numFmtId="176" fontId="4" fillId="0" borderId="0" xfId="1" applyNumberFormat="1" applyFont="1" applyFill="1" applyBorder="1"/>
    <xf numFmtId="164" fontId="5" fillId="0" borderId="3" xfId="2" applyNumberFormat="1" applyFont="1" applyFill="1" applyBorder="1"/>
    <xf numFmtId="0" fontId="5" fillId="0" borderId="3" xfId="1" applyFont="1" applyFill="1" applyBorder="1"/>
    <xf numFmtId="164" fontId="4" fillId="0" borderId="0" xfId="2" applyNumberFormat="1" applyFont="1" applyFill="1" applyBorder="1" applyAlignment="1">
      <alignment vertical="center"/>
    </xf>
    <xf numFmtId="177" fontId="11" fillId="0" borderId="0" xfId="2" applyNumberFormat="1" applyFont="1" applyFill="1" applyBorder="1" applyAlignment="1">
      <alignment vertical="center"/>
    </xf>
    <xf numFmtId="177" fontId="4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/>
    <xf numFmtId="177" fontId="11" fillId="0" borderId="0" xfId="2" applyNumberFormat="1" applyFont="1" applyFill="1" applyBorder="1"/>
    <xf numFmtId="164" fontId="11" fillId="0" borderId="0" xfId="2" applyNumberFormat="1" applyFont="1" applyFill="1" applyBorder="1" applyAlignment="1">
      <alignment vertical="center"/>
    </xf>
    <xf numFmtId="164" fontId="11" fillId="0" borderId="0" xfId="2" applyNumberFormat="1" applyFont="1" applyBorder="1"/>
    <xf numFmtId="164" fontId="10" fillId="0" borderId="0" xfId="2" applyNumberFormat="1" applyFont="1" applyFill="1"/>
    <xf numFmtId="177" fontId="11" fillId="0" borderId="0" xfId="2" applyNumberFormat="1" applyFont="1" applyFill="1"/>
    <xf numFmtId="164" fontId="11" fillId="0" borderId="0" xfId="2" applyNumberFormat="1" applyFont="1" applyFill="1" applyAlignment="1">
      <alignment vertical="center"/>
    </xf>
    <xf numFmtId="164" fontId="11" fillId="0" borderId="0" xfId="2" applyNumberFormat="1" applyFont="1"/>
    <xf numFmtId="177" fontId="11" fillId="0" borderId="0" xfId="2" applyNumberFormat="1" applyFont="1" applyFill="1" applyAlignment="1">
      <alignment vertical="center"/>
    </xf>
    <xf numFmtId="164" fontId="4" fillId="0" borderId="0" xfId="2" applyNumberFormat="1" applyFont="1" applyFill="1" applyAlignment="1">
      <alignment vertical="center"/>
    </xf>
    <xf numFmtId="164" fontId="10" fillId="0" borderId="0" xfId="2" applyNumberFormat="1" applyFont="1" applyFill="1" applyAlignment="1">
      <alignment vertical="center"/>
    </xf>
    <xf numFmtId="164" fontId="5" fillId="0" borderId="0" xfId="2" applyNumberFormat="1" applyFont="1" applyFill="1" applyBorder="1" applyAlignment="1">
      <alignment vertical="center"/>
    </xf>
    <xf numFmtId="164" fontId="4" fillId="0" borderId="4" xfId="2" applyNumberFormat="1" applyFont="1" applyFill="1" applyBorder="1" applyAlignment="1">
      <alignment vertical="center"/>
    </xf>
    <xf numFmtId="164" fontId="4" fillId="0" borderId="5" xfId="2" applyNumberFormat="1" applyFont="1" applyFill="1" applyBorder="1" applyAlignment="1">
      <alignment vertical="center"/>
    </xf>
    <xf numFmtId="174" fontId="4" fillId="0" borderId="0" xfId="2" applyNumberFormat="1" applyFont="1" applyFill="1" applyBorder="1" applyAlignment="1">
      <alignment vertical="center"/>
    </xf>
    <xf numFmtId="49" fontId="4" fillId="0" borderId="0" xfId="2" applyNumberFormat="1" applyFont="1" applyFill="1" applyBorder="1" applyAlignment="1">
      <alignment horizontal="left" indent="2"/>
    </xf>
    <xf numFmtId="164" fontId="11" fillId="0" borderId="0" xfId="2" applyNumberFormat="1" applyFont="1" applyFill="1" applyAlignment="1">
      <alignment vertical="center" wrapText="1"/>
    </xf>
    <xf numFmtId="177" fontId="17" fillId="0" borderId="0" xfId="2" applyNumberFormat="1" applyFont="1" applyFill="1" applyAlignment="1">
      <alignment vertical="center"/>
    </xf>
    <xf numFmtId="49" fontId="4" fillId="0" borderId="0" xfId="2" applyNumberFormat="1" applyFont="1" applyFill="1" applyBorder="1" applyAlignment="1">
      <alignment horizontal="left" vertical="center" indent="1"/>
    </xf>
    <xf numFmtId="164" fontId="9" fillId="0" borderId="0" xfId="2" applyNumberFormat="1" applyFont="1" applyFill="1" applyAlignment="1">
      <alignment vertical="center"/>
    </xf>
    <xf numFmtId="177" fontId="4" fillId="0" borderId="0" xfId="2" applyNumberFormat="1" applyFont="1" applyFill="1" applyAlignment="1">
      <alignment vertical="center"/>
    </xf>
    <xf numFmtId="164" fontId="5" fillId="0" borderId="0" xfId="2" applyNumberFormat="1" applyFont="1" applyFill="1"/>
    <xf numFmtId="0" fontId="5" fillId="0" borderId="0" xfId="1" applyFont="1" applyFill="1"/>
    <xf numFmtId="0" fontId="5" fillId="0" borderId="0" xfId="1" applyFont="1" applyBorder="1"/>
    <xf numFmtId="164" fontId="5" fillId="0" borderId="0" xfId="1" applyNumberFormat="1" applyFont="1" applyFill="1"/>
    <xf numFmtId="165" fontId="14" fillId="0" borderId="0" xfId="3" applyNumberFormat="1" applyFont="1" applyFill="1" applyBorder="1"/>
    <xf numFmtId="49" fontId="19" fillId="0" borderId="0" xfId="2" applyNumberFormat="1" applyFont="1" applyFill="1" applyAlignment="1"/>
    <xf numFmtId="168" fontId="4" fillId="0" borderId="0" xfId="3" applyNumberFormat="1" applyFont="1" applyFill="1"/>
    <xf numFmtId="9" fontId="4" fillId="0" borderId="0" xfId="3" applyFont="1" applyFill="1"/>
    <xf numFmtId="171" fontId="4" fillId="0" borderId="0" xfId="1" applyNumberFormat="1" applyFont="1" applyFill="1"/>
    <xf numFmtId="171" fontId="4" fillId="0" borderId="0" xfId="1" applyNumberFormat="1" applyFont="1" applyFill="1" applyBorder="1"/>
    <xf numFmtId="168" fontId="4" fillId="0" borderId="0" xfId="1" applyNumberFormat="1" applyFont="1" applyFill="1"/>
    <xf numFmtId="49" fontId="19" fillId="0" borderId="0" xfId="2" applyNumberFormat="1" applyFont="1" applyFill="1" applyAlignment="1">
      <alignment horizontal="left"/>
    </xf>
    <xf numFmtId="164" fontId="5" fillId="0" borderId="0" xfId="2" applyNumberFormat="1" applyFont="1" applyFill="1" applyBorder="1"/>
    <xf numFmtId="171" fontId="5" fillId="0" borderId="0" xfId="1" applyNumberFormat="1" applyFont="1" applyFill="1" applyBorder="1"/>
    <xf numFmtId="176" fontId="5" fillId="0" borderId="0" xfId="1" applyNumberFormat="1" applyFont="1" applyFill="1" applyBorder="1"/>
    <xf numFmtId="49" fontId="5" fillId="0" borderId="0" xfId="2" applyNumberFormat="1" applyFont="1" applyFill="1" applyBorder="1" applyAlignment="1">
      <alignment horizontal="left"/>
    </xf>
    <xf numFmtId="177" fontId="5" fillId="0" borderId="3" xfId="2" applyNumberFormat="1" applyFont="1" applyFill="1" applyBorder="1"/>
    <xf numFmtId="177" fontId="5" fillId="0" borderId="0" xfId="2" applyNumberFormat="1" applyFont="1" applyFill="1" applyBorder="1"/>
    <xf numFmtId="171" fontId="5" fillId="0" borderId="3" xfId="1" applyNumberFormat="1" applyFont="1" applyFill="1" applyBorder="1"/>
    <xf numFmtId="176" fontId="5" fillId="0" borderId="3" xfId="1" applyNumberFormat="1" applyFont="1" applyFill="1" applyBorder="1"/>
    <xf numFmtId="49" fontId="5" fillId="0" borderId="3" xfId="2" applyNumberFormat="1" applyFont="1" applyFill="1" applyBorder="1" applyAlignment="1">
      <alignment horizontal="left"/>
    </xf>
    <xf numFmtId="177" fontId="4" fillId="0" borderId="0" xfId="2" applyNumberFormat="1" applyFont="1" applyFill="1"/>
    <xf numFmtId="177" fontId="4" fillId="0" borderId="0" xfId="2" applyNumberFormat="1" applyFont="1" applyFill="1" applyBorder="1"/>
    <xf numFmtId="177" fontId="4" fillId="0" borderId="0" xfId="1" applyNumberFormat="1" applyFont="1" applyFill="1"/>
    <xf numFmtId="177" fontId="11" fillId="0" borderId="0" xfId="1" applyNumberFormat="1" applyFont="1" applyFill="1"/>
    <xf numFmtId="177" fontId="4" fillId="0" borderId="0" xfId="1" applyNumberFormat="1" applyFont="1" applyFill="1" applyBorder="1"/>
    <xf numFmtId="171" fontId="11" fillId="0" borderId="0" xfId="1" applyNumberFormat="1" applyFont="1" applyFill="1"/>
    <xf numFmtId="178" fontId="10" fillId="0" borderId="0" xfId="2" applyNumberFormat="1" applyFont="1" applyFill="1"/>
    <xf numFmtId="178" fontId="11" fillId="0" borderId="0" xfId="2" applyNumberFormat="1" applyFont="1" applyFill="1"/>
    <xf numFmtId="178" fontId="4" fillId="0" borderId="0" xfId="1" applyNumberFormat="1" applyFont="1" applyFill="1" applyAlignment="1">
      <alignment horizontal="right"/>
    </xf>
    <xf numFmtId="178" fontId="4" fillId="0" borderId="0" xfId="3" applyNumberFormat="1" applyFont="1" applyFill="1" applyBorder="1"/>
    <xf numFmtId="179" fontId="4" fillId="0" borderId="0" xfId="1" applyNumberFormat="1" applyFont="1" applyFill="1"/>
    <xf numFmtId="179" fontId="4" fillId="0" borderId="0" xfId="2" applyNumberFormat="1" applyFont="1" applyFill="1"/>
    <xf numFmtId="179" fontId="4" fillId="0" borderId="0" xfId="3" applyNumberFormat="1" applyFont="1" applyFill="1"/>
    <xf numFmtId="0" fontId="4" fillId="0" borderId="0" xfId="1" applyNumberFormat="1" applyFont="1" applyFill="1" applyAlignment="1">
      <alignment horizontal="right"/>
    </xf>
    <xf numFmtId="178" fontId="4" fillId="0" borderId="0" xfId="3" applyNumberFormat="1" applyFont="1" applyFill="1"/>
    <xf numFmtId="178" fontId="4" fillId="0" borderId="0" xfId="2" applyNumberFormat="1" applyFont="1" applyFill="1" applyAlignment="1">
      <alignment horizontal="left"/>
    </xf>
    <xf numFmtId="177" fontId="11" fillId="0" borderId="0" xfId="2" applyNumberFormat="1" applyFont="1" applyFill="1" applyAlignment="1">
      <alignment horizontal="right"/>
    </xf>
    <xf numFmtId="166" fontId="4" fillId="0" borderId="0" xfId="2" applyNumberFormat="1" applyFont="1" applyFill="1"/>
    <xf numFmtId="166" fontId="4" fillId="0" borderId="0" xfId="2" applyNumberFormat="1" applyFont="1" applyFill="1" applyBorder="1"/>
    <xf numFmtId="9" fontId="4" fillId="0" borderId="0" xfId="1" applyNumberFormat="1" applyFont="1" applyFill="1"/>
    <xf numFmtId="180" fontId="20" fillId="0" borderId="0" xfId="1" applyNumberFormat="1" applyFont="1" applyFill="1"/>
    <xf numFmtId="3" fontId="4" fillId="0" borderId="3" xfId="1" applyNumberFormat="1" applyFont="1" applyFill="1" applyBorder="1"/>
    <xf numFmtId="49" fontId="4" fillId="0" borderId="3" xfId="2" applyNumberFormat="1" applyFont="1" applyFill="1" applyBorder="1"/>
    <xf numFmtId="3" fontId="17" fillId="0" borderId="0" xfId="1" applyNumberFormat="1" applyFont="1" applyFill="1" applyBorder="1"/>
    <xf numFmtId="3" fontId="11" fillId="0" borderId="0" xfId="1" applyNumberFormat="1" applyFont="1" applyFill="1" applyBorder="1"/>
    <xf numFmtId="3" fontId="17" fillId="0" borderId="0" xfId="1" applyNumberFormat="1" applyFont="1" applyFill="1"/>
    <xf numFmtId="3" fontId="11" fillId="0" borderId="0" xfId="1" applyNumberFormat="1" applyFont="1" applyFill="1"/>
    <xf numFmtId="3" fontId="21" fillId="0" borderId="0" xfId="1" applyNumberFormat="1" applyFont="1" applyFill="1"/>
    <xf numFmtId="166" fontId="4" fillId="0" borderId="0" xfId="1" applyNumberFormat="1" applyFont="1" applyFill="1" applyAlignment="1">
      <alignment horizontal="right"/>
    </xf>
    <xf numFmtId="165" fontId="11" fillId="0" borderId="0" xfId="1" applyNumberFormat="1" applyFont="1" applyFill="1" applyAlignment="1">
      <alignment horizontal="right"/>
    </xf>
    <xf numFmtId="169" fontId="11" fillId="0" borderId="0" xfId="1" applyNumberFormat="1" applyFont="1" applyFill="1" applyAlignment="1">
      <alignment horizontal="right"/>
    </xf>
    <xf numFmtId="165" fontId="11" fillId="0" borderId="0" xfId="3" applyNumberFormat="1" applyFont="1" applyFill="1" applyAlignment="1">
      <alignment horizontal="right"/>
    </xf>
    <xf numFmtId="165" fontId="4" fillId="0" borderId="0" xfId="1" applyNumberFormat="1" applyFont="1" applyFill="1" applyBorder="1"/>
    <xf numFmtId="166" fontId="17" fillId="0" borderId="0" xfId="1" applyNumberFormat="1" applyFont="1" applyFill="1"/>
    <xf numFmtId="169" fontId="4" fillId="0" borderId="0" xfId="1" applyNumberFormat="1" applyFont="1" applyFill="1" applyAlignment="1">
      <alignment horizontal="right"/>
    </xf>
    <xf numFmtId="181" fontId="4" fillId="0" borderId="0" xfId="1" applyNumberFormat="1" applyFont="1" applyFill="1" applyAlignment="1">
      <alignment horizontal="right"/>
    </xf>
    <xf numFmtId="166" fontId="4" fillId="0" borderId="0" xfId="1" applyNumberFormat="1" applyFont="1" applyFill="1" applyBorder="1"/>
    <xf numFmtId="166" fontId="14" fillId="5" borderId="0" xfId="1" applyNumberFormat="1" applyFont="1" applyFill="1"/>
    <xf numFmtId="165" fontId="4" fillId="0" borderId="0" xfId="1" applyNumberFormat="1" applyFont="1" applyFill="1" applyAlignment="1">
      <alignment horizontal="right"/>
    </xf>
    <xf numFmtId="166" fontId="21" fillId="0" borderId="0" xfId="1" applyNumberFormat="1" applyFont="1" applyFill="1"/>
    <xf numFmtId="166" fontId="11" fillId="0" borderId="0" xfId="1" applyNumberFormat="1" applyFont="1" applyFill="1"/>
    <xf numFmtId="166" fontId="15" fillId="0" borderId="0" xfId="1" applyNumberFormat="1" applyFont="1" applyFill="1"/>
    <xf numFmtId="168" fontId="2" fillId="0" borderId="0" xfId="1" applyNumberFormat="1" applyFont="1" applyFill="1"/>
    <xf numFmtId="171" fontId="10" fillId="0" borderId="0" xfId="1" applyNumberFormat="1" applyFont="1" applyFill="1"/>
    <xf numFmtId="164" fontId="22" fillId="0" borderId="0" xfId="2" applyNumberFormat="1" applyFont="1" applyFill="1" applyBorder="1"/>
    <xf numFmtId="164" fontId="22" fillId="0" borderId="3" xfId="2" applyNumberFormat="1" applyFont="1" applyFill="1" applyBorder="1"/>
    <xf numFmtId="178" fontId="4" fillId="0" borderId="0" xfId="1" applyNumberFormat="1" applyFont="1" applyFill="1"/>
    <xf numFmtId="177" fontId="11" fillId="0" borderId="0" xfId="3" applyNumberFormat="1" applyFont="1" applyFill="1"/>
    <xf numFmtId="9" fontId="4" fillId="0" borderId="0" xfId="3" applyFont="1" applyFill="1" applyBorder="1"/>
    <xf numFmtId="177" fontId="4" fillId="0" borderId="0" xfId="3" applyNumberFormat="1" applyFont="1" applyFill="1"/>
    <xf numFmtId="177" fontId="4" fillId="0" borderId="3" xfId="2" applyNumberFormat="1" applyFont="1" applyFill="1" applyBorder="1"/>
    <xf numFmtId="177" fontId="4" fillId="0" borderId="3" xfId="1" applyNumberFormat="1" applyFont="1" applyFill="1" applyBorder="1"/>
    <xf numFmtId="171" fontId="4" fillId="0" borderId="3" xfId="1" applyNumberFormat="1" applyFont="1" applyFill="1" applyBorder="1"/>
    <xf numFmtId="164" fontId="4" fillId="0" borderId="3" xfId="2" applyNumberFormat="1" applyFont="1" applyFill="1" applyBorder="1"/>
    <xf numFmtId="164" fontId="11" fillId="0" borderId="0" xfId="2" applyNumberFormat="1" applyFont="1" applyFill="1" applyBorder="1" applyAlignment="1">
      <alignment horizontal="right"/>
    </xf>
    <xf numFmtId="177" fontId="4" fillId="0" borderId="0" xfId="2" applyNumberFormat="1" applyFont="1" applyFill="1" applyBorder="1" applyAlignment="1">
      <alignment horizontal="right"/>
    </xf>
    <xf numFmtId="177" fontId="4" fillId="0" borderId="0" xfId="1" applyNumberFormat="1" applyFont="1" applyFill="1" applyBorder="1" applyAlignment="1">
      <alignment horizontal="right"/>
    </xf>
    <xf numFmtId="164" fontId="4" fillId="0" borderId="0" xfId="1" applyNumberFormat="1" applyFont="1" applyFill="1" applyBorder="1" applyAlignment="1">
      <alignment horizontal="right"/>
    </xf>
    <xf numFmtId="164" fontId="11" fillId="0" borderId="0" xfId="3" applyNumberFormat="1" applyFont="1" applyFill="1"/>
    <xf numFmtId="3" fontId="14" fillId="0" borderId="0" xfId="1" applyNumberFormat="1" applyFont="1" applyFill="1" applyBorder="1"/>
    <xf numFmtId="3" fontId="14" fillId="0" borderId="0" xfId="1" applyNumberFormat="1" applyFont="1" applyFill="1"/>
    <xf numFmtId="0" fontId="14" fillId="0" borderId="0" xfId="1" applyFont="1" applyFill="1"/>
    <xf numFmtId="166" fontId="14" fillId="0" borderId="0" xfId="1" applyNumberFormat="1" applyFont="1" applyFill="1"/>
    <xf numFmtId="166" fontId="9" fillId="0" borderId="0" xfId="1" applyNumberFormat="1" applyFont="1" applyFill="1"/>
    <xf numFmtId="166" fontId="10" fillId="0" borderId="0" xfId="1" applyNumberFormat="1" applyFont="1" applyFill="1"/>
    <xf numFmtId="181" fontId="4" fillId="0" borderId="0" xfId="1" applyNumberFormat="1" applyFont="1" applyFill="1"/>
    <xf numFmtId="168" fontId="4" fillId="0" borderId="0" xfId="1" applyNumberFormat="1" applyFont="1"/>
    <xf numFmtId="168" fontId="4" fillId="0" borderId="0" xfId="2" applyNumberFormat="1" applyFont="1" applyFill="1" applyBorder="1"/>
    <xf numFmtId="168" fontId="4" fillId="0" borderId="0" xfId="2" applyNumberFormat="1" applyFont="1" applyFill="1" applyBorder="1" applyAlignment="1">
      <alignment horizontal="left" indent="2"/>
    </xf>
    <xf numFmtId="168" fontId="6" fillId="0" borderId="0" xfId="1" applyNumberFormat="1" applyFont="1"/>
    <xf numFmtId="166" fontId="23" fillId="0" borderId="0" xfId="2" applyNumberFormat="1" applyFont="1" applyFill="1" applyBorder="1"/>
    <xf numFmtId="49" fontId="19" fillId="0" borderId="0" xfId="2" applyNumberFormat="1" applyFont="1" applyFill="1" applyBorder="1" applyAlignment="1">
      <alignment horizontal="left"/>
    </xf>
    <xf numFmtId="168" fontId="12" fillId="0" borderId="0" xfId="3" applyNumberFormat="1" applyFont="1" applyFill="1"/>
    <xf numFmtId="164" fontId="24" fillId="0" borderId="0" xfId="2" applyNumberFormat="1" applyFont="1" applyFill="1" applyBorder="1"/>
    <xf numFmtId="0" fontId="5" fillId="0" borderId="3" xfId="1" applyFont="1" applyBorder="1"/>
    <xf numFmtId="164" fontId="24" fillId="0" borderId="3" xfId="2" applyNumberFormat="1" applyFont="1" applyFill="1" applyBorder="1"/>
    <xf numFmtId="49" fontId="5" fillId="0" borderId="3" xfId="2" applyNumberFormat="1" applyFont="1" applyFill="1" applyBorder="1" applyAlignment="1">
      <alignment horizontal="left" indent="1"/>
    </xf>
    <xf numFmtId="164" fontId="21" fillId="0" borderId="0" xfId="2" applyNumberFormat="1" applyFont="1" applyFill="1"/>
    <xf numFmtId="164" fontId="14" fillId="0" borderId="0" xfId="2" applyNumberFormat="1" applyFont="1" applyFill="1"/>
    <xf numFmtId="176" fontId="4" fillId="0" borderId="0" xfId="2" applyNumberFormat="1" applyFont="1" applyFill="1" applyAlignment="1">
      <alignment horizontal="left" indent="1"/>
    </xf>
    <xf numFmtId="164" fontId="17" fillId="0" borderId="0" xfId="2" applyNumberFormat="1" applyFont="1" applyFill="1"/>
    <xf numFmtId="179" fontId="21" fillId="0" borderId="0" xfId="1" applyNumberFormat="1" applyFont="1" applyFill="1"/>
    <xf numFmtId="179" fontId="14" fillId="0" borderId="0" xfId="2" applyNumberFormat="1" applyFont="1" applyFill="1"/>
    <xf numFmtId="179" fontId="21" fillId="0" borderId="0" xfId="2" applyNumberFormat="1" applyFont="1" applyFill="1"/>
    <xf numFmtId="178" fontId="4" fillId="0" borderId="0" xfId="1" applyNumberFormat="1" applyFont="1" applyFill="1" applyBorder="1"/>
    <xf numFmtId="178" fontId="19" fillId="0" borderId="0" xfId="2" applyNumberFormat="1" applyFont="1" applyFill="1"/>
    <xf numFmtId="178" fontId="4" fillId="0" borderId="0" xfId="2" applyNumberFormat="1" applyFont="1" applyFill="1"/>
    <xf numFmtId="179" fontId="11" fillId="0" borderId="0" xfId="2" applyNumberFormat="1" applyFont="1" applyFill="1"/>
    <xf numFmtId="0" fontId="15" fillId="0" borderId="0" xfId="1" applyFont="1" applyFill="1"/>
    <xf numFmtId="179" fontId="10" fillId="0" borderId="0" xfId="2" applyNumberFormat="1" applyFont="1" applyFill="1"/>
    <xf numFmtId="0" fontId="12" fillId="0" borderId="0" xfId="1" applyFont="1"/>
    <xf numFmtId="168" fontId="12" fillId="0" borderId="0" xfId="1" applyNumberFormat="1" applyFont="1" applyFill="1"/>
    <xf numFmtId="43" fontId="4" fillId="0" borderId="3" xfId="2" applyFont="1" applyFill="1" applyBorder="1"/>
    <xf numFmtId="49" fontId="4" fillId="0" borderId="3" xfId="2" applyNumberFormat="1" applyFont="1" applyFill="1" applyBorder="1" applyAlignment="1"/>
    <xf numFmtId="49" fontId="4" fillId="0" borderId="0" xfId="2" applyNumberFormat="1" applyFont="1" applyFill="1" applyBorder="1" applyAlignment="1"/>
    <xf numFmtId="179" fontId="25" fillId="0" borderId="0" xfId="1" applyNumberFormat="1" applyFont="1" applyFill="1" applyBorder="1"/>
    <xf numFmtId="179" fontId="11" fillId="0" borderId="0" xfId="1" applyNumberFormat="1" applyFont="1" applyFill="1"/>
    <xf numFmtId="168" fontId="11" fillId="0" borderId="0" xfId="1" applyNumberFormat="1" applyFont="1" applyFill="1"/>
    <xf numFmtId="182" fontId="10" fillId="5" borderId="0" xfId="1" applyNumberFormat="1" applyFont="1" applyFill="1" applyBorder="1"/>
    <xf numFmtId="182" fontId="4" fillId="0" borderId="0" xfId="1" applyNumberFormat="1" applyFont="1" applyFill="1"/>
    <xf numFmtId="168" fontId="14" fillId="0" borderId="0" xfId="3" applyNumberFormat="1" applyFont="1" applyFill="1"/>
    <xf numFmtId="168" fontId="4" fillId="0" borderId="0" xfId="3" applyNumberFormat="1" applyFont="1"/>
    <xf numFmtId="168" fontId="11" fillId="0" borderId="0" xfId="3" applyNumberFormat="1" applyFont="1" applyFill="1" applyBorder="1" applyAlignment="1">
      <alignment horizontal="right"/>
    </xf>
    <xf numFmtId="168" fontId="4" fillId="0" borderId="0" xfId="3" applyNumberFormat="1" applyFont="1" applyFill="1" applyBorder="1" applyAlignment="1">
      <alignment horizontal="right"/>
    </xf>
    <xf numFmtId="0" fontId="5" fillId="0" borderId="0" xfId="1" applyFont="1"/>
    <xf numFmtId="168" fontId="5" fillId="0" borderId="0" xfId="3" applyNumberFormat="1" applyFont="1" applyFill="1" applyBorder="1"/>
    <xf numFmtId="0" fontId="26" fillId="0" borderId="0" xfId="1" applyFont="1"/>
    <xf numFmtId="168" fontId="4" fillId="0" borderId="0" xfId="3" quotePrefix="1" applyNumberFormat="1" applyFont="1" applyFill="1" applyBorder="1" applyAlignment="1">
      <alignment horizontal="right"/>
    </xf>
    <xf numFmtId="168" fontId="11" fillId="0" borderId="0" xfId="3" quotePrefix="1" applyNumberFormat="1" applyFont="1" applyFill="1" applyBorder="1" applyAlignment="1">
      <alignment horizontal="right"/>
    </xf>
    <xf numFmtId="168" fontId="5" fillId="0" borderId="0" xfId="3" applyNumberFormat="1" applyFont="1" applyFill="1"/>
    <xf numFmtId="168" fontId="5" fillId="0" borderId="0" xfId="1" applyNumberFormat="1" applyFont="1" applyBorder="1"/>
    <xf numFmtId="168" fontId="5" fillId="0" borderId="0" xfId="1" applyNumberFormat="1" applyFont="1" applyFill="1"/>
    <xf numFmtId="49" fontId="5" fillId="0" borderId="0" xfId="2" applyNumberFormat="1" applyFont="1" applyFill="1" applyAlignment="1"/>
    <xf numFmtId="168" fontId="10" fillId="0" borderId="0" xfId="3" applyNumberFormat="1" applyFont="1" applyFill="1"/>
    <xf numFmtId="43" fontId="5" fillId="0" borderId="0" xfId="2" applyNumberFormat="1" applyFont="1" applyFill="1" applyBorder="1"/>
    <xf numFmtId="169" fontId="4" fillId="0" borderId="0" xfId="1" applyNumberFormat="1" applyFont="1" applyFill="1"/>
    <xf numFmtId="3" fontId="11" fillId="5" borderId="0" xfId="1" applyNumberFormat="1" applyFont="1" applyFill="1"/>
    <xf numFmtId="43" fontId="4" fillId="0" borderId="0" xfId="2" applyNumberFormat="1" applyFont="1" applyFill="1"/>
    <xf numFmtId="9" fontId="4" fillId="0" borderId="0" xfId="1" applyNumberFormat="1" applyFont="1"/>
    <xf numFmtId="164" fontId="19" fillId="0" borderId="0" xfId="2" applyNumberFormat="1" applyFont="1" applyFill="1" applyBorder="1"/>
    <xf numFmtId="43" fontId="13" fillId="0" borderId="0" xfId="1" applyNumberFormat="1" applyFont="1" applyFill="1" applyBorder="1"/>
    <xf numFmtId="174" fontId="13" fillId="0" borderId="0" xfId="1" applyNumberFormat="1" applyFont="1" applyFill="1"/>
    <xf numFmtId="43" fontId="13" fillId="0" borderId="0" xfId="2" applyNumberFormat="1" applyFont="1" applyFill="1"/>
    <xf numFmtId="43" fontId="11" fillId="0" borderId="0" xfId="2" applyFont="1" applyFill="1" applyBorder="1"/>
    <xf numFmtId="43" fontId="4" fillId="0" borderId="0" xfId="2" applyNumberFormat="1" applyFont="1" applyFill="1" applyBorder="1" applyAlignment="1">
      <alignment vertical="center"/>
    </xf>
    <xf numFmtId="176" fontId="4" fillId="0" borderId="0" xfId="2" applyNumberFormat="1" applyFont="1" applyFill="1" applyBorder="1"/>
    <xf numFmtId="43" fontId="5" fillId="0" borderId="0" xfId="2" applyFont="1" applyFill="1" applyBorder="1"/>
    <xf numFmtId="176" fontId="15" fillId="0" borderId="0" xfId="1" applyNumberFormat="1" applyFont="1" applyFill="1" applyBorder="1"/>
    <xf numFmtId="176" fontId="15" fillId="0" borderId="0" xfId="1" applyNumberFormat="1" applyFont="1" applyBorder="1"/>
    <xf numFmtId="176" fontId="15" fillId="0" borderId="0" xfId="3" applyNumberFormat="1" applyFont="1" applyFill="1" applyBorder="1"/>
    <xf numFmtId="176" fontId="15" fillId="0" borderId="0" xfId="2" applyNumberFormat="1" applyFont="1" applyFill="1" applyBorder="1" applyAlignment="1">
      <alignment horizontal="left"/>
    </xf>
    <xf numFmtId="183" fontId="4" fillId="0" borderId="0" xfId="1" applyNumberFormat="1" applyFont="1" applyFill="1" applyBorder="1"/>
    <xf numFmtId="164" fontId="27" fillId="0" borderId="3" xfId="2" applyNumberFormat="1" applyFont="1" applyFill="1" applyBorder="1"/>
    <xf numFmtId="164" fontId="5" fillId="0" borderId="0" xfId="2" applyNumberFormat="1" applyFont="1" applyBorder="1"/>
    <xf numFmtId="49" fontId="5" fillId="0" borderId="3" xfId="2" applyNumberFormat="1" applyFont="1" applyFill="1" applyBorder="1"/>
    <xf numFmtId="49" fontId="4" fillId="0" borderId="0" xfId="1" applyNumberFormat="1" applyFont="1" applyFill="1" applyBorder="1" applyAlignment="1">
      <alignment horizontal="left" indent="1"/>
    </xf>
    <xf numFmtId="0" fontId="5" fillId="0" borderId="0" xfId="1" applyNumberFormat="1" applyFont="1" applyFill="1" applyBorder="1" applyAlignment="1">
      <alignment horizontal="left" vertical="center"/>
    </xf>
    <xf numFmtId="184" fontId="5" fillId="0" borderId="0" xfId="2" applyNumberFormat="1" applyFont="1" applyFill="1" applyBorder="1"/>
    <xf numFmtId="164" fontId="28" fillId="0" borderId="0" xfId="2" applyNumberFormat="1" applyFont="1" applyFill="1" applyBorder="1"/>
    <xf numFmtId="183" fontId="4" fillId="0" borderId="0" xfId="2" applyNumberFormat="1" applyFont="1" applyFill="1" applyBorder="1"/>
    <xf numFmtId="174" fontId="4" fillId="0" borderId="0" xfId="2" applyNumberFormat="1" applyFont="1" applyFill="1" applyBorder="1"/>
    <xf numFmtId="41" fontId="4" fillId="0" borderId="0" xfId="1" applyNumberFormat="1" applyFont="1" applyFill="1" applyBorder="1"/>
    <xf numFmtId="177" fontId="5" fillId="0" borderId="0" xfId="3" quotePrefix="1" applyNumberFormat="1" applyFont="1" applyFill="1" applyBorder="1" applyAlignment="1">
      <alignment horizontal="right"/>
    </xf>
    <xf numFmtId="165" fontId="5" fillId="0" borderId="0" xfId="3" quotePrefix="1" applyNumberFormat="1" applyFont="1" applyFill="1" applyBorder="1" applyAlignment="1">
      <alignment horizontal="right"/>
    </xf>
    <xf numFmtId="41" fontId="5" fillId="0" borderId="0" xfId="1" quotePrefix="1" applyNumberFormat="1" applyFont="1" applyFill="1" applyBorder="1" applyAlignment="1">
      <alignment horizontal="right"/>
    </xf>
    <xf numFmtId="9" fontId="5" fillId="0" borderId="0" xfId="3" quotePrefix="1" applyFont="1" applyFill="1" applyBorder="1" applyAlignment="1">
      <alignment horizontal="right"/>
    </xf>
    <xf numFmtId="9" fontId="5" fillId="0" borderId="0" xfId="3" applyNumberFormat="1" applyFont="1" applyFill="1" applyBorder="1" applyAlignment="1">
      <alignment horizontal="right"/>
    </xf>
    <xf numFmtId="41" fontId="22" fillId="0" borderId="0" xfId="1" quotePrefix="1" applyNumberFormat="1" applyFont="1" applyFill="1" applyBorder="1" applyAlignment="1">
      <alignment horizontal="right"/>
    </xf>
    <xf numFmtId="49" fontId="5" fillId="0" borderId="0" xfId="1" applyNumberFormat="1" applyFont="1" applyFill="1" applyBorder="1" applyAlignment="1">
      <alignment horizontal="left"/>
    </xf>
    <xf numFmtId="0" fontId="29" fillId="0" borderId="0" xfId="1" applyFont="1" applyFill="1" applyBorder="1"/>
    <xf numFmtId="185" fontId="30" fillId="0" borderId="0" xfId="1" applyNumberFormat="1" applyFont="1" applyFill="1" applyBorder="1" applyAlignment="1">
      <alignment horizontal="right" vertical="center"/>
    </xf>
    <xf numFmtId="17" fontId="30" fillId="0" borderId="0" xfId="1" applyNumberFormat="1" applyFont="1" applyFill="1" applyBorder="1" applyAlignment="1">
      <alignment horizontal="right" vertical="center"/>
    </xf>
    <xf numFmtId="175" fontId="30" fillId="0" borderId="0" xfId="1" applyNumberFormat="1" applyFont="1" applyFill="1" applyBorder="1" applyAlignment="1">
      <alignment horizontal="right" vertical="center"/>
    </xf>
    <xf numFmtId="185" fontId="30" fillId="0" borderId="2" xfId="1" applyNumberFormat="1" applyFont="1" applyFill="1" applyBorder="1" applyAlignment="1">
      <alignment horizontal="right" vertical="center"/>
    </xf>
    <xf numFmtId="17" fontId="30" fillId="0" borderId="2" xfId="1" applyNumberFormat="1" applyFont="1" applyFill="1" applyBorder="1" applyAlignment="1">
      <alignment horizontal="right" vertical="center"/>
    </xf>
    <xf numFmtId="175" fontId="30" fillId="0" borderId="2" xfId="1" applyNumberFormat="1" applyFont="1" applyFill="1" applyBorder="1" applyAlignment="1">
      <alignment horizontal="right" vertical="center"/>
    </xf>
    <xf numFmtId="0" fontId="4" fillId="3" borderId="0" xfId="2" applyNumberFormat="1" applyFont="1" applyFill="1" applyAlignment="1">
      <alignment horizontal="right"/>
    </xf>
    <xf numFmtId="0" fontId="3" fillId="3" borderId="0" xfId="1" applyFill="1" applyBorder="1"/>
    <xf numFmtId="17" fontId="4" fillId="2" borderId="0" xfId="2" applyNumberFormat="1" applyFont="1" applyFill="1"/>
    <xf numFmtId="0" fontId="3" fillId="2" borderId="0" xfId="1" applyFont="1" applyFill="1" applyBorder="1"/>
    <xf numFmtId="186" fontId="4" fillId="2" borderId="0" xfId="1" applyNumberFormat="1" applyFont="1" applyFill="1"/>
    <xf numFmtId="41" fontId="4" fillId="2" borderId="0" xfId="1" applyNumberFormat="1" applyFont="1" applyFill="1"/>
    <xf numFmtId="0" fontId="3" fillId="2" borderId="0" xfId="1" applyFont="1" applyFill="1"/>
    <xf numFmtId="41" fontId="4" fillId="2" borderId="0" xfId="2" applyNumberFormat="1" applyFont="1" applyFill="1"/>
    <xf numFmtId="0" fontId="3" fillId="0" borderId="0" xfId="1" applyFill="1"/>
    <xf numFmtId="0" fontId="3" fillId="0" borderId="0" xfId="1" applyFill="1" applyBorder="1"/>
    <xf numFmtId="49" fontId="5" fillId="0" borderId="0" xfId="1" applyNumberFormat="1" applyFont="1" applyFill="1" applyBorder="1" applyAlignment="1">
      <alignment vertical="center"/>
    </xf>
    <xf numFmtId="187" fontId="5" fillId="0" borderId="0" xfId="1" applyNumberFormat="1" applyFont="1" applyFill="1"/>
    <xf numFmtId="49" fontId="31" fillId="0" borderId="0" xfId="1" applyNumberFormat="1" applyFont="1" applyFill="1" applyBorder="1"/>
    <xf numFmtId="49" fontId="5" fillId="0" borderId="2" xfId="1" applyNumberFormat="1" applyFont="1" applyFill="1" applyBorder="1" applyAlignment="1">
      <alignment horizontal="left" vertical="center"/>
    </xf>
    <xf numFmtId="49" fontId="4" fillId="0" borderId="3" xfId="1" applyNumberFormat="1" applyFont="1" applyFill="1" applyBorder="1" applyAlignment="1">
      <alignment horizontal="left" vertical="center"/>
    </xf>
    <xf numFmtId="164" fontId="4" fillId="0" borderId="3" xfId="2" applyNumberFormat="1" applyFont="1" applyFill="1" applyBorder="1" applyAlignment="1">
      <alignment vertical="center"/>
    </xf>
    <xf numFmtId="49" fontId="5" fillId="0" borderId="3" xfId="2" applyNumberFormat="1" applyFont="1" applyFill="1" applyBorder="1" applyAlignment="1">
      <alignment vertical="center"/>
    </xf>
    <xf numFmtId="164" fontId="5" fillId="0" borderId="3" xfId="2" applyNumberFormat="1" applyFont="1" applyFill="1" applyBorder="1" applyAlignment="1">
      <alignment vertical="center"/>
    </xf>
    <xf numFmtId="164" fontId="11" fillId="0" borderId="3" xfId="2" applyNumberFormat="1" applyFont="1" applyFill="1" applyBorder="1" applyAlignment="1">
      <alignment vertical="center"/>
    </xf>
    <xf numFmtId="177" fontId="11" fillId="0" borderId="3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177" fontId="5" fillId="0" borderId="3" xfId="2" applyNumberFormat="1" applyFont="1" applyFill="1" applyBorder="1" applyAlignment="1">
      <alignment vertical="center"/>
    </xf>
    <xf numFmtId="164" fontId="5" fillId="0" borderId="3" xfId="1" applyNumberFormat="1" applyFont="1" applyFill="1" applyBorder="1"/>
    <xf numFmtId="164" fontId="5" fillId="0" borderId="3" xfId="2" applyNumberFormat="1" applyFont="1" applyFill="1" applyBorder="1" applyAlignment="1"/>
    <xf numFmtId="49" fontId="0" fillId="0" borderId="0" xfId="0" applyNumberFormat="1"/>
    <xf numFmtId="0" fontId="4" fillId="2" borderId="0" xfId="1" applyFont="1" applyFill="1" applyBorder="1"/>
    <xf numFmtId="0" fontId="3" fillId="2" borderId="0" xfId="1" applyFill="1"/>
    <xf numFmtId="173" fontId="4" fillId="0" borderId="0" xfId="1" applyNumberFormat="1" applyFont="1" applyFill="1"/>
    <xf numFmtId="190" fontId="12" fillId="0" borderId="0" xfId="1" applyNumberFormat="1" applyFont="1" applyFill="1"/>
    <xf numFmtId="3" fontId="11" fillId="0" borderId="3" xfId="1" applyNumberFormat="1" applyFont="1" applyFill="1" applyBorder="1"/>
    <xf numFmtId="192" fontId="4" fillId="0" borderId="0" xfId="2" applyNumberFormat="1" applyFont="1" applyFill="1" applyAlignment="1">
      <alignment vertical="center"/>
    </xf>
    <xf numFmtId="0" fontId="44" fillId="0" borderId="0" xfId="1" applyFont="1"/>
    <xf numFmtId="0" fontId="45" fillId="0" borderId="0" xfId="1" applyFont="1" applyFill="1"/>
    <xf numFmtId="0" fontId="45" fillId="0" borderId="0" xfId="1" applyFont="1" applyBorder="1"/>
    <xf numFmtId="17" fontId="46" fillId="0" borderId="0" xfId="1" applyNumberFormat="1" applyFont="1" applyFill="1" applyBorder="1" applyAlignment="1">
      <alignment horizontal="right" vertical="center"/>
    </xf>
    <xf numFmtId="0" fontId="45" fillId="0" borderId="0" xfId="1" applyFont="1" applyFill="1" applyBorder="1"/>
    <xf numFmtId="0" fontId="47" fillId="0" borderId="0" xfId="1" applyFont="1"/>
    <xf numFmtId="0" fontId="45" fillId="0" borderId="0" xfId="1" applyFont="1"/>
    <xf numFmtId="194" fontId="11" fillId="5" borderId="0" xfId="1" applyNumberFormat="1" applyFont="1" applyFill="1"/>
    <xf numFmtId="174" fontId="2" fillId="4" borderId="0" xfId="1" applyNumberFormat="1" applyFont="1" applyFill="1"/>
    <xf numFmtId="0" fontId="48" fillId="0" borderId="0" xfId="1" applyFont="1" applyFill="1" applyAlignment="1">
      <alignment horizontal="right"/>
    </xf>
    <xf numFmtId="0" fontId="3" fillId="7" borderId="0" xfId="34" applyFont="1" applyFill="1" applyAlignment="1">
      <alignment vertical="top"/>
    </xf>
    <xf numFmtId="0" fontId="3" fillId="7" borderId="0" xfId="1" applyFill="1" applyAlignment="1">
      <alignment vertical="top"/>
    </xf>
    <xf numFmtId="0" fontId="3" fillId="7" borderId="0" xfId="1" applyFill="1"/>
    <xf numFmtId="0" fontId="43" fillId="7" borderId="0" xfId="34" applyFont="1" applyFill="1" applyAlignment="1">
      <alignment horizontal="left" vertical="top"/>
    </xf>
    <xf numFmtId="0" fontId="3" fillId="7" borderId="0" xfId="1" applyFont="1" applyFill="1" applyAlignment="1">
      <alignment vertical="top"/>
    </xf>
    <xf numFmtId="0" fontId="50" fillId="7" borderId="0" xfId="34" applyFont="1" applyFill="1" applyAlignment="1">
      <alignment vertical="top"/>
    </xf>
    <xf numFmtId="0" fontId="0" fillId="7" borderId="0" xfId="0" applyFill="1" applyAlignment="1">
      <alignment vertical="top"/>
    </xf>
    <xf numFmtId="0" fontId="51" fillId="7" borderId="0" xfId="0" applyFont="1" applyFill="1" applyAlignment="1">
      <alignment vertical="top"/>
    </xf>
    <xf numFmtId="0" fontId="52" fillId="7" borderId="0" xfId="0" applyFont="1" applyFill="1" applyAlignment="1">
      <alignment vertical="top"/>
    </xf>
    <xf numFmtId="0" fontId="52" fillId="7" borderId="0" xfId="0" applyFont="1" applyFill="1" applyAlignment="1">
      <alignment vertical="top"/>
    </xf>
    <xf numFmtId="0" fontId="51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0" fillId="7" borderId="11" xfId="0" applyFill="1" applyBorder="1" applyAlignment="1">
      <alignment vertical="top"/>
    </xf>
    <xf numFmtId="0" fontId="51" fillId="7" borderId="7" xfId="0" applyFont="1" applyFill="1" applyBorder="1" applyAlignment="1">
      <alignment vertical="top"/>
    </xf>
    <xf numFmtId="0" fontId="51" fillId="7" borderId="8" xfId="0" applyFont="1" applyFill="1" applyBorder="1" applyAlignment="1">
      <alignment vertical="top"/>
    </xf>
    <xf numFmtId="0" fontId="51" fillId="7" borderId="9" xfId="0" applyFont="1" applyFill="1" applyBorder="1" applyAlignment="1">
      <alignment vertical="top"/>
    </xf>
    <xf numFmtId="0" fontId="51" fillId="7" borderId="10" xfId="0" applyFont="1" applyFill="1" applyBorder="1" applyAlignment="1">
      <alignment vertical="top"/>
    </xf>
    <xf numFmtId="9" fontId="51" fillId="7" borderId="7" xfId="0" applyNumberFormat="1" applyFont="1" applyFill="1" applyBorder="1" applyAlignment="1">
      <alignment vertical="top"/>
    </xf>
    <xf numFmtId="3" fontId="51" fillId="7" borderId="7" xfId="0" applyNumberFormat="1" applyFont="1" applyFill="1" applyBorder="1" applyAlignment="1">
      <alignment vertical="top"/>
    </xf>
    <xf numFmtId="0" fontId="0" fillId="7" borderId="12" xfId="0" applyFill="1" applyBorder="1" applyAlignment="1">
      <alignment vertical="top"/>
    </xf>
    <xf numFmtId="2" fontId="3" fillId="0" borderId="0" xfId="1" applyNumberFormat="1" applyAlignment="1">
      <alignment horizontal="left"/>
    </xf>
    <xf numFmtId="0" fontId="3" fillId="0" borderId="0" xfId="1" applyNumberFormat="1" applyAlignment="1">
      <alignment horizontal="left"/>
    </xf>
    <xf numFmtId="1" fontId="3" fillId="0" borderId="0" xfId="1" applyNumberFormat="1" applyAlignment="1">
      <alignment horizontal="left"/>
    </xf>
    <xf numFmtId="228" fontId="3" fillId="0" borderId="0" xfId="1" applyNumberFormat="1" applyAlignment="1">
      <alignment horizontal="left"/>
    </xf>
    <xf numFmtId="49" fontId="3" fillId="0" borderId="0" xfId="1" applyNumberFormat="1"/>
  </cellXfs>
  <cellStyles count="35">
    <cellStyle name="          _x000d__x000a_network.drv=netware." xfId="5"/>
    <cellStyle name=" 1" xfId="26"/>
    <cellStyle name=" 1 2" xfId="27"/>
    <cellStyle name="_x000a_386grabber=M" xfId="4"/>
    <cellStyle name="_SUMMARY " xfId="6"/>
    <cellStyle name="0_Capex &amp; Depreciation " xfId="7"/>
    <cellStyle name="0_Valuing BP " xfId="8"/>
    <cellStyle name="c_HardInc " xfId="9"/>
    <cellStyle name="Comma 2" xfId="2"/>
    <cellStyle name="Comma 2 2" xfId="10"/>
    <cellStyle name="Comma 2 3" xfId="11"/>
    <cellStyle name="Comma 3 2" xfId="12"/>
    <cellStyle name="Comma 8" xfId="13"/>
    <cellStyle name="Currency 3" xfId="14"/>
    <cellStyle name="Currency 6" xfId="28"/>
    <cellStyle name="Normal" xfId="0" builtinId="0"/>
    <cellStyle name="Normal 2" xfId="1"/>
    <cellStyle name="Normal 2 2" xfId="25"/>
    <cellStyle name="Normal 3" xfId="15"/>
    <cellStyle name="Normal 4" xfId="32"/>
    <cellStyle name="Normal 5" xfId="16"/>
    <cellStyle name="Normal 6" xfId="29"/>
    <cellStyle name="Normal_DisclaimerSheet Samples" xfId="34"/>
    <cellStyle name="p " xfId="17"/>
    <cellStyle name="Percent 2" xfId="3"/>
    <cellStyle name="Percent 3" xfId="33"/>
    <cellStyle name="Percent 4" xfId="30"/>
    <cellStyle name="Percent 7" xfId="18"/>
    <cellStyle name="RRSInstruction" xfId="19"/>
    <cellStyle name="s_HardInc " xfId="20"/>
    <cellStyle name="s_Valuation " xfId="21"/>
    <cellStyle name="ssp " xfId="22"/>
    <cellStyle name="Subtotal 2" xfId="31"/>
    <cellStyle name="콤마 [0]_#3이설 견적_준공내역총괄표 " xfId="23"/>
    <cellStyle name="콤마_#3이설 견적_준공내역총괄표 " xfId="24"/>
  </cellStyles>
  <dxfs count="7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9</xdr:col>
      <xdr:colOff>114300</xdr:colOff>
      <xdr:row>184</xdr:row>
      <xdr:rowOff>104775</xdr:rowOff>
    </xdr:to>
    <xdr:pic>
      <xdr:nvPicPr>
        <xdr:cNvPr id="33793" name="Picture 1" descr="C:\Users\lynagcon\AppData\Local\Temp\MercuryPriceRatingHistoryChart\HP.N_2018_04_11_00_10_3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221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75"/>
  <sheetViews>
    <sheetView showGridLines="0" tabSelected="1" workbookViewId="0">
      <selection activeCell="Z1" sqref="Z1"/>
    </sheetView>
  </sheetViews>
  <sheetFormatPr defaultRowHeight="12.75"/>
  <cols>
    <col min="1" max="1" width="25.83203125" style="373" customWidth="1"/>
    <col min="2" max="5" width="9.33203125" style="373"/>
    <col min="6" max="6" width="18.83203125" style="373" customWidth="1"/>
    <col min="7" max="256" width="9.33203125" style="373"/>
    <col min="257" max="257" width="117.5" style="373" customWidth="1"/>
    <col min="258" max="512" width="9.33203125" style="373"/>
    <col min="513" max="513" width="117.5" style="373" customWidth="1"/>
    <col min="514" max="768" width="9.33203125" style="373"/>
    <col min="769" max="769" width="117.5" style="373" customWidth="1"/>
    <col min="770" max="1024" width="9.33203125" style="373"/>
    <col min="1025" max="1025" width="117.5" style="373" customWidth="1"/>
    <col min="1026" max="1280" width="9.33203125" style="373"/>
    <col min="1281" max="1281" width="117.5" style="373" customWidth="1"/>
    <col min="1282" max="1536" width="9.33203125" style="373"/>
    <col min="1537" max="1537" width="117.5" style="373" customWidth="1"/>
    <col min="1538" max="1792" width="9.33203125" style="373"/>
    <col min="1793" max="1793" width="117.5" style="373" customWidth="1"/>
    <col min="1794" max="2048" width="9.33203125" style="373"/>
    <col min="2049" max="2049" width="117.5" style="373" customWidth="1"/>
    <col min="2050" max="2304" width="9.33203125" style="373"/>
    <col min="2305" max="2305" width="117.5" style="373" customWidth="1"/>
    <col min="2306" max="2560" width="9.33203125" style="373"/>
    <col min="2561" max="2561" width="117.5" style="373" customWidth="1"/>
    <col min="2562" max="2816" width="9.33203125" style="373"/>
    <col min="2817" max="2817" width="117.5" style="373" customWidth="1"/>
    <col min="2818" max="3072" width="9.33203125" style="373"/>
    <col min="3073" max="3073" width="117.5" style="373" customWidth="1"/>
    <col min="3074" max="3328" width="9.33203125" style="373"/>
    <col min="3329" max="3329" width="117.5" style="373" customWidth="1"/>
    <col min="3330" max="3584" width="9.33203125" style="373"/>
    <col min="3585" max="3585" width="117.5" style="373" customWidth="1"/>
    <col min="3586" max="3840" width="9.33203125" style="373"/>
    <col min="3841" max="3841" width="117.5" style="373" customWidth="1"/>
    <col min="3842" max="4096" width="9.33203125" style="373"/>
    <col min="4097" max="4097" width="117.5" style="373" customWidth="1"/>
    <col min="4098" max="4352" width="9.33203125" style="373"/>
    <col min="4353" max="4353" width="117.5" style="373" customWidth="1"/>
    <col min="4354" max="4608" width="9.33203125" style="373"/>
    <col min="4609" max="4609" width="117.5" style="373" customWidth="1"/>
    <col min="4610" max="4864" width="9.33203125" style="373"/>
    <col min="4865" max="4865" width="117.5" style="373" customWidth="1"/>
    <col min="4866" max="5120" width="9.33203125" style="373"/>
    <col min="5121" max="5121" width="117.5" style="373" customWidth="1"/>
    <col min="5122" max="5376" width="9.33203125" style="373"/>
    <col min="5377" max="5377" width="117.5" style="373" customWidth="1"/>
    <col min="5378" max="5632" width="9.33203125" style="373"/>
    <col min="5633" max="5633" width="117.5" style="373" customWidth="1"/>
    <col min="5634" max="5888" width="9.33203125" style="373"/>
    <col min="5889" max="5889" width="117.5" style="373" customWidth="1"/>
    <col min="5890" max="6144" width="9.33203125" style="373"/>
    <col min="6145" max="6145" width="117.5" style="373" customWidth="1"/>
    <col min="6146" max="6400" width="9.33203125" style="373"/>
    <col min="6401" max="6401" width="117.5" style="373" customWidth="1"/>
    <col min="6402" max="6656" width="9.33203125" style="373"/>
    <col min="6657" max="6657" width="117.5" style="373" customWidth="1"/>
    <col min="6658" max="6912" width="9.33203125" style="373"/>
    <col min="6913" max="6913" width="117.5" style="373" customWidth="1"/>
    <col min="6914" max="7168" width="9.33203125" style="373"/>
    <col min="7169" max="7169" width="117.5" style="373" customWidth="1"/>
    <col min="7170" max="7424" width="9.33203125" style="373"/>
    <col min="7425" max="7425" width="117.5" style="373" customWidth="1"/>
    <col min="7426" max="7680" width="9.33203125" style="373"/>
    <col min="7681" max="7681" width="117.5" style="373" customWidth="1"/>
    <col min="7682" max="7936" width="9.33203125" style="373"/>
    <col min="7937" max="7937" width="117.5" style="373" customWidth="1"/>
    <col min="7938" max="8192" width="9.33203125" style="373"/>
    <col min="8193" max="8193" width="117.5" style="373" customWidth="1"/>
    <col min="8194" max="8448" width="9.33203125" style="373"/>
    <col min="8449" max="8449" width="117.5" style="373" customWidth="1"/>
    <col min="8450" max="8704" width="9.33203125" style="373"/>
    <col min="8705" max="8705" width="117.5" style="373" customWidth="1"/>
    <col min="8706" max="8960" width="9.33203125" style="373"/>
    <col min="8961" max="8961" width="117.5" style="373" customWidth="1"/>
    <col min="8962" max="9216" width="9.33203125" style="373"/>
    <col min="9217" max="9217" width="117.5" style="373" customWidth="1"/>
    <col min="9218" max="9472" width="9.33203125" style="373"/>
    <col min="9473" max="9473" width="117.5" style="373" customWidth="1"/>
    <col min="9474" max="9728" width="9.33203125" style="373"/>
    <col min="9729" max="9729" width="117.5" style="373" customWidth="1"/>
    <col min="9730" max="9984" width="9.33203125" style="373"/>
    <col min="9985" max="9985" width="117.5" style="373" customWidth="1"/>
    <col min="9986" max="10240" width="9.33203125" style="373"/>
    <col min="10241" max="10241" width="117.5" style="373" customWidth="1"/>
    <col min="10242" max="10496" width="9.33203125" style="373"/>
    <col min="10497" max="10497" width="117.5" style="373" customWidth="1"/>
    <col min="10498" max="10752" width="9.33203125" style="373"/>
    <col min="10753" max="10753" width="117.5" style="373" customWidth="1"/>
    <col min="10754" max="11008" width="9.33203125" style="373"/>
    <col min="11009" max="11009" width="117.5" style="373" customWidth="1"/>
    <col min="11010" max="11264" width="9.33203125" style="373"/>
    <col min="11265" max="11265" width="117.5" style="373" customWidth="1"/>
    <col min="11266" max="11520" width="9.33203125" style="373"/>
    <col min="11521" max="11521" width="117.5" style="373" customWidth="1"/>
    <col min="11522" max="11776" width="9.33203125" style="373"/>
    <col min="11777" max="11777" width="117.5" style="373" customWidth="1"/>
    <col min="11778" max="12032" width="9.33203125" style="373"/>
    <col min="12033" max="12033" width="117.5" style="373" customWidth="1"/>
    <col min="12034" max="12288" width="9.33203125" style="373"/>
    <col min="12289" max="12289" width="117.5" style="373" customWidth="1"/>
    <col min="12290" max="12544" width="9.33203125" style="373"/>
    <col min="12545" max="12545" width="117.5" style="373" customWidth="1"/>
    <col min="12546" max="12800" width="9.33203125" style="373"/>
    <col min="12801" max="12801" width="117.5" style="373" customWidth="1"/>
    <col min="12802" max="13056" width="9.33203125" style="373"/>
    <col min="13057" max="13057" width="117.5" style="373" customWidth="1"/>
    <col min="13058" max="13312" width="9.33203125" style="373"/>
    <col min="13313" max="13313" width="117.5" style="373" customWidth="1"/>
    <col min="13314" max="13568" width="9.33203125" style="373"/>
    <col min="13569" max="13569" width="117.5" style="373" customWidth="1"/>
    <col min="13570" max="13824" width="9.33203125" style="373"/>
    <col min="13825" max="13825" width="117.5" style="373" customWidth="1"/>
    <col min="13826" max="14080" width="9.33203125" style="373"/>
    <col min="14081" max="14081" width="117.5" style="373" customWidth="1"/>
    <col min="14082" max="14336" width="9.33203125" style="373"/>
    <col min="14337" max="14337" width="117.5" style="373" customWidth="1"/>
    <col min="14338" max="14592" width="9.33203125" style="373"/>
    <col min="14593" max="14593" width="117.5" style="373" customWidth="1"/>
    <col min="14594" max="14848" width="9.33203125" style="373"/>
    <col min="14849" max="14849" width="117.5" style="373" customWidth="1"/>
    <col min="14850" max="15104" width="9.33203125" style="373"/>
    <col min="15105" max="15105" width="117.5" style="373" customWidth="1"/>
    <col min="15106" max="15360" width="9.33203125" style="373"/>
    <col min="15361" max="15361" width="117.5" style="373" customWidth="1"/>
    <col min="15362" max="15616" width="9.33203125" style="373"/>
    <col min="15617" max="15617" width="117.5" style="373" customWidth="1"/>
    <col min="15618" max="15872" width="9.33203125" style="373"/>
    <col min="15873" max="15873" width="117.5" style="373" customWidth="1"/>
    <col min="15874" max="16128" width="9.33203125" style="373"/>
    <col min="16129" max="16129" width="117.5" style="373" customWidth="1"/>
    <col min="16130" max="16384" width="9.33203125" style="373"/>
  </cols>
  <sheetData>
    <row r="1" spans="1:8" ht="30" customHeight="1">
      <c r="A1" s="371"/>
      <c r="B1" s="372"/>
      <c r="C1" s="372"/>
      <c r="D1" s="372"/>
      <c r="E1" s="372"/>
      <c r="F1" s="372"/>
      <c r="G1" s="372"/>
      <c r="H1" s="372"/>
    </row>
    <row r="2" spans="1:8" ht="14.25">
      <c r="A2" s="374" t="s">
        <v>403</v>
      </c>
      <c r="B2" s="372"/>
      <c r="C2" s="372"/>
      <c r="D2" s="372"/>
      <c r="E2" s="372"/>
      <c r="F2" s="372"/>
      <c r="G2" s="372"/>
      <c r="H2" s="372"/>
    </row>
    <row r="3" spans="1:8" ht="14.25">
      <c r="A3" s="374" t="s">
        <v>404</v>
      </c>
      <c r="B3" s="372"/>
      <c r="C3" s="372"/>
      <c r="D3" s="372"/>
      <c r="E3" s="372"/>
      <c r="F3" s="372"/>
      <c r="G3" s="372"/>
      <c r="H3" s="372"/>
    </row>
    <row r="4" spans="1:8" ht="14.25">
      <c r="A4" s="374" t="s">
        <v>405</v>
      </c>
      <c r="B4" s="372"/>
      <c r="C4" s="372"/>
      <c r="D4" s="372"/>
      <c r="E4" s="372"/>
      <c r="F4" s="372"/>
      <c r="G4" s="372"/>
      <c r="H4" s="372"/>
    </row>
    <row r="5" spans="1:8" ht="14.25">
      <c r="A5" s="374" t="s">
        <v>406</v>
      </c>
      <c r="B5" s="372"/>
      <c r="C5" s="372"/>
      <c r="D5" s="372"/>
      <c r="E5" s="372"/>
      <c r="F5" s="372"/>
      <c r="G5" s="372"/>
      <c r="H5" s="372"/>
    </row>
    <row r="6" spans="1:8" ht="14.25">
      <c r="A6" s="374"/>
      <c r="B6" s="372"/>
      <c r="C6" s="372"/>
      <c r="D6" s="372"/>
      <c r="E6" s="372"/>
      <c r="F6" s="372"/>
      <c r="G6" s="372"/>
      <c r="H6" s="372"/>
    </row>
    <row r="7" spans="1:8">
      <c r="A7" s="371" t="s">
        <v>407</v>
      </c>
      <c r="B7" s="372"/>
      <c r="C7" s="372"/>
      <c r="D7" s="372"/>
      <c r="E7" s="372"/>
      <c r="F7" s="372"/>
      <c r="G7" s="372"/>
      <c r="H7" s="372"/>
    </row>
    <row r="8" spans="1:8">
      <c r="A8" s="371" t="s">
        <v>408</v>
      </c>
      <c r="B8" s="372"/>
      <c r="C8" s="372"/>
      <c r="D8" s="372"/>
      <c r="E8" s="372"/>
      <c r="F8" s="372"/>
      <c r="G8" s="372"/>
      <c r="H8" s="372"/>
    </row>
    <row r="9" spans="1:8">
      <c r="A9" s="371"/>
      <c r="B9" s="372"/>
      <c r="C9" s="372"/>
      <c r="D9" s="372"/>
      <c r="E9" s="372"/>
      <c r="F9" s="372"/>
      <c r="G9" s="372"/>
      <c r="H9" s="372"/>
    </row>
    <row r="10" spans="1:8">
      <c r="A10" s="375" t="s">
        <v>409</v>
      </c>
      <c r="B10" s="372"/>
      <c r="C10" s="372"/>
      <c r="D10" s="372"/>
      <c r="E10" s="372"/>
      <c r="F10" s="372"/>
      <c r="G10" s="372"/>
      <c r="H10" s="372"/>
    </row>
    <row r="11" spans="1:8">
      <c r="A11" s="375" t="s">
        <v>410</v>
      </c>
      <c r="B11" s="372"/>
      <c r="C11" s="372"/>
      <c r="D11" s="372"/>
      <c r="E11" s="372"/>
      <c r="F11" s="372"/>
      <c r="G11" s="372"/>
      <c r="H11" s="372"/>
    </row>
    <row r="12" spans="1:8">
      <c r="A12" s="375" t="s">
        <v>411</v>
      </c>
      <c r="B12" s="372"/>
      <c r="C12" s="372"/>
      <c r="D12" s="372"/>
      <c r="E12" s="372"/>
      <c r="F12" s="372"/>
      <c r="G12" s="372"/>
      <c r="H12" s="372"/>
    </row>
    <row r="13" spans="1:8">
      <c r="A13" s="375" t="s">
        <v>412</v>
      </c>
      <c r="B13" s="372"/>
      <c r="C13" s="372"/>
      <c r="D13" s="372"/>
      <c r="E13" s="372"/>
      <c r="F13" s="372"/>
      <c r="G13" s="372"/>
      <c r="H13" s="372"/>
    </row>
    <row r="14" spans="1:8">
      <c r="A14" s="375" t="s">
        <v>413</v>
      </c>
      <c r="B14" s="372"/>
      <c r="C14" s="372"/>
      <c r="D14" s="372"/>
      <c r="E14" s="372"/>
      <c r="F14" s="372"/>
      <c r="G14" s="372"/>
      <c r="H14" s="372"/>
    </row>
    <row r="15" spans="1:8">
      <c r="A15" s="375" t="s">
        <v>414</v>
      </c>
      <c r="B15" s="372"/>
      <c r="C15" s="372"/>
      <c r="D15" s="372"/>
      <c r="E15" s="372"/>
      <c r="F15" s="372"/>
      <c r="G15" s="372"/>
      <c r="H15" s="372"/>
    </row>
    <row r="16" spans="1:8">
      <c r="A16" s="375"/>
      <c r="B16" s="372"/>
      <c r="C16" s="372"/>
      <c r="D16" s="372"/>
      <c r="E16" s="372"/>
      <c r="F16" s="372"/>
      <c r="G16" s="372"/>
      <c r="H16" s="372"/>
    </row>
    <row r="17" spans="1:8">
      <c r="A17" s="375" t="s">
        <v>400</v>
      </c>
      <c r="B17" s="372"/>
      <c r="C17" s="372"/>
      <c r="D17" s="372"/>
      <c r="E17" s="372"/>
      <c r="F17" s="372"/>
      <c r="G17" s="372"/>
      <c r="H17" s="372"/>
    </row>
    <row r="18" spans="1:8">
      <c r="A18" s="375"/>
      <c r="B18" s="372"/>
      <c r="C18" s="372"/>
      <c r="D18" s="372"/>
      <c r="E18" s="372"/>
      <c r="F18" s="372"/>
      <c r="G18" s="372"/>
      <c r="H18" s="372"/>
    </row>
    <row r="19" spans="1:8">
      <c r="A19" s="375" t="s">
        <v>401</v>
      </c>
      <c r="B19" s="372"/>
      <c r="C19" s="372"/>
      <c r="D19" s="372"/>
      <c r="E19" s="372"/>
      <c r="F19" s="372"/>
      <c r="G19" s="372"/>
      <c r="H19" s="372"/>
    </row>
    <row r="20" spans="1:8">
      <c r="A20" s="371"/>
      <c r="B20" s="372"/>
      <c r="C20" s="372"/>
      <c r="D20" s="372"/>
      <c r="E20" s="372"/>
      <c r="F20" s="372"/>
      <c r="G20" s="372"/>
      <c r="H20" s="372"/>
    </row>
    <row r="21" spans="1:8">
      <c r="A21" s="376" t="s">
        <v>402</v>
      </c>
      <c r="B21" s="372"/>
      <c r="C21" s="372"/>
      <c r="D21" s="372"/>
      <c r="E21" s="372"/>
      <c r="F21" s="372"/>
      <c r="G21" s="372"/>
      <c r="H21" s="372"/>
    </row>
    <row r="22" spans="1:8">
      <c r="A22" s="377"/>
      <c r="B22" s="377"/>
      <c r="C22" s="377"/>
      <c r="D22" s="377"/>
      <c r="E22" s="377"/>
      <c r="F22" s="377"/>
      <c r="G22" s="377"/>
      <c r="H22" s="377"/>
    </row>
    <row r="23" spans="1:8">
      <c r="A23" s="378" t="s">
        <v>682</v>
      </c>
      <c r="B23" s="377"/>
      <c r="C23" s="377"/>
      <c r="D23" s="377"/>
      <c r="E23" s="377"/>
      <c r="F23" s="377"/>
      <c r="G23" s="377"/>
      <c r="H23" s="377"/>
    </row>
    <row r="24" spans="1:8">
      <c r="A24" s="378" t="s">
        <v>683</v>
      </c>
      <c r="B24" s="377"/>
      <c r="C24" s="377"/>
      <c r="D24" s="377"/>
      <c r="E24" s="377"/>
      <c r="F24" s="377"/>
      <c r="G24" s="377"/>
      <c r="H24" s="377"/>
    </row>
    <row r="25" spans="1:8">
      <c r="A25" s="378" t="s">
        <v>684</v>
      </c>
      <c r="B25" s="377"/>
      <c r="C25" s="377"/>
      <c r="D25" s="377"/>
      <c r="E25" s="377"/>
      <c r="F25" s="377"/>
      <c r="G25" s="377"/>
      <c r="H25" s="377"/>
    </row>
    <row r="26" spans="1:8">
      <c r="A26" s="378" t="s">
        <v>685</v>
      </c>
      <c r="B26" s="377"/>
      <c r="C26" s="377"/>
      <c r="D26" s="377"/>
      <c r="E26" s="377"/>
      <c r="F26" s="377"/>
      <c r="G26" s="377"/>
      <c r="H26" s="377"/>
    </row>
    <row r="27" spans="1:8">
      <c r="A27" s="377"/>
      <c r="B27" s="377"/>
      <c r="C27" s="377"/>
      <c r="D27" s="377"/>
      <c r="E27" s="377"/>
      <c r="F27" s="377"/>
      <c r="G27" s="377"/>
      <c r="H27" s="377"/>
    </row>
    <row r="28" spans="1:8">
      <c r="A28" s="377"/>
      <c r="B28" s="377"/>
      <c r="C28" s="377"/>
      <c r="D28" s="377"/>
      <c r="E28" s="377"/>
      <c r="F28" s="377"/>
      <c r="G28" s="377"/>
      <c r="H28" s="377"/>
    </row>
    <row r="29" spans="1:8">
      <c r="A29" s="378" t="s">
        <v>677</v>
      </c>
      <c r="B29" s="377"/>
      <c r="C29" s="377"/>
      <c r="D29" s="377"/>
      <c r="E29" s="377"/>
      <c r="F29" s="377"/>
      <c r="G29" s="377"/>
      <c r="H29" s="377"/>
    </row>
    <row r="30" spans="1:8">
      <c r="A30" s="378" t="s">
        <v>678</v>
      </c>
      <c r="B30" s="377"/>
      <c r="C30" s="377"/>
      <c r="D30" s="377"/>
      <c r="E30" s="377"/>
      <c r="F30" s="377"/>
      <c r="G30" s="377"/>
      <c r="H30" s="377"/>
    </row>
    <row r="31" spans="1:8">
      <c r="A31" s="378" t="s">
        <v>679</v>
      </c>
      <c r="B31" s="377"/>
      <c r="C31" s="377"/>
      <c r="D31" s="377"/>
      <c r="E31" s="377"/>
      <c r="F31" s="377"/>
      <c r="G31" s="377"/>
      <c r="H31" s="377"/>
    </row>
    <row r="32" spans="1:8">
      <c r="A32" s="378" t="s">
        <v>680</v>
      </c>
      <c r="B32" s="377"/>
      <c r="C32" s="377"/>
      <c r="D32" s="377"/>
      <c r="E32" s="377"/>
      <c r="F32" s="377"/>
      <c r="G32" s="377"/>
      <c r="H32" s="377"/>
    </row>
    <row r="33" spans="1:8">
      <c r="A33" s="378" t="s">
        <v>681</v>
      </c>
      <c r="B33" s="377"/>
      <c r="C33" s="377"/>
      <c r="D33" s="377"/>
      <c r="E33" s="377"/>
      <c r="F33" s="377"/>
      <c r="G33" s="377"/>
      <c r="H33" s="377"/>
    </row>
    <row r="34" spans="1:8">
      <c r="A34" s="377"/>
      <c r="B34" s="377"/>
      <c r="C34" s="377"/>
      <c r="D34" s="377"/>
      <c r="E34" s="377"/>
      <c r="F34" s="377"/>
      <c r="G34" s="377"/>
      <c r="H34" s="377"/>
    </row>
    <row r="35" spans="1:8">
      <c r="A35" s="378" t="s">
        <v>673</v>
      </c>
      <c r="B35" s="377"/>
      <c r="C35" s="377"/>
      <c r="D35" s="377"/>
      <c r="E35" s="377"/>
      <c r="F35" s="377"/>
      <c r="G35" s="377"/>
      <c r="H35" s="377"/>
    </row>
    <row r="36" spans="1:8">
      <c r="A36" s="378" t="s">
        <v>674</v>
      </c>
      <c r="B36" s="377"/>
      <c r="C36" s="377"/>
      <c r="D36" s="377"/>
      <c r="E36" s="377"/>
      <c r="F36" s="377"/>
      <c r="G36" s="377"/>
      <c r="H36" s="377"/>
    </row>
    <row r="37" spans="1:8">
      <c r="A37" s="378" t="s">
        <v>675</v>
      </c>
      <c r="B37" s="377"/>
      <c r="C37" s="377"/>
      <c r="D37" s="377"/>
      <c r="E37" s="377"/>
      <c r="F37" s="377"/>
      <c r="G37" s="377"/>
      <c r="H37" s="377"/>
    </row>
    <row r="38" spans="1:8">
      <c r="A38" s="378" t="s">
        <v>676</v>
      </c>
      <c r="B38" s="377"/>
      <c r="C38" s="377"/>
      <c r="D38" s="377"/>
      <c r="E38" s="377"/>
      <c r="F38" s="377"/>
      <c r="G38" s="377"/>
      <c r="H38" s="377"/>
    </row>
    <row r="39" spans="1:8">
      <c r="A39" s="377"/>
      <c r="B39" s="377"/>
      <c r="C39" s="377"/>
      <c r="D39" s="377"/>
      <c r="E39" s="377"/>
      <c r="F39" s="377"/>
      <c r="G39" s="377"/>
      <c r="H39" s="377"/>
    </row>
    <row r="40" spans="1:8">
      <c r="A40" s="378" t="s">
        <v>667</v>
      </c>
      <c r="B40" s="377"/>
      <c r="C40" s="377"/>
      <c r="D40" s="377"/>
      <c r="E40" s="377"/>
      <c r="F40" s="377"/>
      <c r="G40" s="377"/>
      <c r="H40" s="377"/>
    </row>
    <row r="41" spans="1:8">
      <c r="A41" s="378" t="s">
        <v>668</v>
      </c>
      <c r="B41" s="377"/>
      <c r="C41" s="377"/>
      <c r="D41" s="377"/>
      <c r="E41" s="377"/>
      <c r="F41" s="377"/>
      <c r="G41" s="377"/>
      <c r="H41" s="377"/>
    </row>
    <row r="42" spans="1:8">
      <c r="A42" s="378" t="s">
        <v>669</v>
      </c>
      <c r="B42" s="377"/>
      <c r="C42" s="377"/>
      <c r="D42" s="377"/>
      <c r="E42" s="377"/>
      <c r="F42" s="377"/>
      <c r="G42" s="377"/>
      <c r="H42" s="377"/>
    </row>
    <row r="43" spans="1:8">
      <c r="A43" s="378" t="s">
        <v>670</v>
      </c>
      <c r="B43" s="377"/>
      <c r="C43" s="377"/>
      <c r="D43" s="377"/>
      <c r="E43" s="377"/>
      <c r="F43" s="377"/>
      <c r="G43" s="377"/>
      <c r="H43" s="377"/>
    </row>
    <row r="44" spans="1:8">
      <c r="A44" s="378" t="s">
        <v>671</v>
      </c>
      <c r="B44" s="377"/>
      <c r="C44" s="377"/>
      <c r="D44" s="377"/>
      <c r="E44" s="377"/>
      <c r="F44" s="377"/>
      <c r="G44" s="377"/>
      <c r="H44" s="377"/>
    </row>
    <row r="45" spans="1:8">
      <c r="A45" s="378" t="s">
        <v>672</v>
      </c>
      <c r="B45" s="377"/>
      <c r="C45" s="377"/>
      <c r="D45" s="377"/>
      <c r="E45" s="377"/>
      <c r="F45" s="377"/>
      <c r="G45" s="377"/>
      <c r="H45" s="377"/>
    </row>
    <row r="46" spans="1:8">
      <c r="A46" s="377"/>
      <c r="B46" s="377"/>
      <c r="C46" s="377"/>
      <c r="D46" s="377"/>
      <c r="E46" s="377"/>
      <c r="F46" s="377"/>
      <c r="G46" s="377"/>
      <c r="H46" s="377"/>
    </row>
    <row r="47" spans="1:8" ht="15.75">
      <c r="A47" s="379" t="s">
        <v>415</v>
      </c>
      <c r="B47" s="377"/>
      <c r="C47" s="377"/>
      <c r="D47" s="377"/>
      <c r="E47" s="377"/>
      <c r="F47" s="377"/>
      <c r="G47" s="377"/>
      <c r="H47" s="377"/>
    </row>
    <row r="48" spans="1:8">
      <c r="A48" s="377"/>
      <c r="B48" s="377"/>
      <c r="C48" s="377"/>
      <c r="D48" s="377"/>
      <c r="E48" s="377"/>
      <c r="F48" s="377"/>
      <c r="G48" s="377"/>
      <c r="H48" s="377"/>
    </row>
    <row r="49" spans="1:8">
      <c r="A49" s="378" t="s">
        <v>663</v>
      </c>
      <c r="B49" s="377"/>
      <c r="C49" s="377"/>
      <c r="D49" s="377"/>
      <c r="E49" s="377"/>
      <c r="F49" s="377"/>
      <c r="G49" s="377"/>
      <c r="H49" s="377"/>
    </row>
    <row r="50" spans="1:8">
      <c r="A50" s="378" t="s">
        <v>664</v>
      </c>
      <c r="B50" s="377"/>
      <c r="C50" s="377"/>
      <c r="D50" s="377"/>
      <c r="E50" s="377"/>
      <c r="F50" s="377"/>
      <c r="G50" s="377"/>
      <c r="H50" s="377"/>
    </row>
    <row r="51" spans="1:8">
      <c r="A51" s="378" t="s">
        <v>665</v>
      </c>
      <c r="B51" s="377"/>
      <c r="C51" s="377"/>
      <c r="D51" s="377"/>
      <c r="E51" s="377"/>
      <c r="F51" s="377"/>
      <c r="G51" s="377"/>
      <c r="H51" s="377"/>
    </row>
    <row r="52" spans="1:8">
      <c r="A52" s="378" t="s">
        <v>666</v>
      </c>
      <c r="B52" s="377"/>
      <c r="C52" s="377"/>
      <c r="D52" s="377"/>
      <c r="E52" s="377"/>
      <c r="F52" s="377"/>
      <c r="G52" s="377"/>
      <c r="H52" s="377"/>
    </row>
    <row r="53" spans="1:8">
      <c r="A53" s="377"/>
      <c r="B53" s="377"/>
      <c r="C53" s="377"/>
      <c r="D53" s="377"/>
      <c r="E53" s="377"/>
      <c r="F53" s="377"/>
      <c r="G53" s="377"/>
      <c r="H53" s="377"/>
    </row>
    <row r="54" spans="1:8">
      <c r="A54" s="378" t="s">
        <v>416</v>
      </c>
      <c r="B54" s="377"/>
      <c r="C54" s="377"/>
      <c r="D54" s="377"/>
      <c r="E54" s="377"/>
      <c r="F54" s="377"/>
      <c r="G54" s="377"/>
      <c r="H54" s="377"/>
    </row>
    <row r="55" spans="1:8">
      <c r="A55" s="377"/>
      <c r="B55" s="377"/>
      <c r="C55" s="377"/>
      <c r="D55" s="377"/>
      <c r="E55" s="377"/>
      <c r="F55" s="377"/>
      <c r="G55" s="377"/>
      <c r="H55" s="377"/>
    </row>
    <row r="56" spans="1:8" ht="15.75">
      <c r="A56" s="379" t="s">
        <v>417</v>
      </c>
      <c r="B56" s="377"/>
      <c r="C56" s="377"/>
      <c r="D56" s="377"/>
      <c r="E56" s="377"/>
      <c r="F56" s="377"/>
      <c r="G56" s="377"/>
      <c r="H56" s="377"/>
    </row>
    <row r="57" spans="1:8">
      <c r="A57" s="377"/>
      <c r="B57" s="377"/>
      <c r="C57" s="377"/>
      <c r="D57" s="377"/>
      <c r="E57" s="377"/>
      <c r="F57" s="377"/>
      <c r="G57" s="377"/>
      <c r="H57" s="377"/>
    </row>
    <row r="58" spans="1:8">
      <c r="A58" s="378" t="s">
        <v>661</v>
      </c>
      <c r="B58" s="377"/>
      <c r="C58" s="377"/>
      <c r="D58" s="377"/>
      <c r="E58" s="377"/>
      <c r="F58" s="377"/>
      <c r="G58" s="377"/>
      <c r="H58" s="377"/>
    </row>
    <row r="59" spans="1:8">
      <c r="A59" s="378" t="s">
        <v>662</v>
      </c>
      <c r="B59" s="377"/>
      <c r="C59" s="377"/>
      <c r="D59" s="377"/>
      <c r="E59" s="377"/>
      <c r="F59" s="377"/>
      <c r="G59" s="377"/>
      <c r="H59" s="377"/>
    </row>
    <row r="60" spans="1:8">
      <c r="A60" s="377"/>
      <c r="B60" s="377"/>
      <c r="C60" s="377"/>
      <c r="D60" s="377"/>
      <c r="E60" s="377"/>
      <c r="F60" s="377"/>
      <c r="G60" s="377"/>
      <c r="H60" s="377"/>
    </row>
    <row r="61" spans="1:8" ht="15.75">
      <c r="A61" s="379" t="s">
        <v>418</v>
      </c>
      <c r="B61" s="377"/>
      <c r="C61" s="377"/>
      <c r="D61" s="377"/>
      <c r="E61" s="377"/>
      <c r="F61" s="377"/>
      <c r="G61" s="377"/>
      <c r="H61" s="377"/>
    </row>
    <row r="62" spans="1:8">
      <c r="A62" s="377"/>
      <c r="B62" s="377"/>
      <c r="C62" s="377"/>
      <c r="D62" s="377"/>
      <c r="E62" s="377"/>
      <c r="F62" s="377"/>
      <c r="G62" s="377"/>
      <c r="H62" s="377"/>
    </row>
    <row r="63" spans="1:8">
      <c r="A63" s="378" t="s">
        <v>419</v>
      </c>
      <c r="B63" s="377"/>
      <c r="C63" s="377"/>
      <c r="D63" s="377"/>
      <c r="E63" s="377"/>
      <c r="F63" s="377"/>
      <c r="G63" s="377"/>
      <c r="H63" s="377"/>
    </row>
    <row r="64" spans="1:8">
      <c r="A64" s="377"/>
      <c r="B64" s="377"/>
      <c r="C64" s="377"/>
      <c r="D64" s="377"/>
      <c r="E64" s="377"/>
      <c r="F64" s="377"/>
      <c r="G64" s="377"/>
      <c r="H64" s="377"/>
    </row>
    <row r="65" spans="1:8">
      <c r="A65" s="378" t="s">
        <v>656</v>
      </c>
      <c r="B65" s="377"/>
      <c r="C65" s="377"/>
      <c r="D65" s="377"/>
      <c r="E65" s="377"/>
      <c r="F65" s="377"/>
      <c r="G65" s="377"/>
      <c r="H65" s="377"/>
    </row>
    <row r="66" spans="1:8">
      <c r="A66" s="378" t="s">
        <v>657</v>
      </c>
      <c r="B66" s="377"/>
      <c r="C66" s="377"/>
      <c r="D66" s="377"/>
      <c r="E66" s="377"/>
      <c r="F66" s="377"/>
      <c r="G66" s="377"/>
      <c r="H66" s="377"/>
    </row>
    <row r="67" spans="1:8">
      <c r="A67" s="378" t="s">
        <v>658</v>
      </c>
      <c r="B67" s="377"/>
      <c r="C67" s="377"/>
      <c r="D67" s="377"/>
      <c r="E67" s="377"/>
      <c r="F67" s="377"/>
      <c r="G67" s="377"/>
      <c r="H67" s="377"/>
    </row>
    <row r="68" spans="1:8">
      <c r="A68" s="378" t="s">
        <v>659</v>
      </c>
      <c r="B68" s="377"/>
      <c r="C68" s="377"/>
      <c r="D68" s="377"/>
      <c r="E68" s="377"/>
      <c r="F68" s="377"/>
      <c r="G68" s="377"/>
      <c r="H68" s="377"/>
    </row>
    <row r="69" spans="1:8">
      <c r="A69" s="378" t="s">
        <v>660</v>
      </c>
      <c r="B69" s="377"/>
      <c r="C69" s="377"/>
      <c r="D69" s="377"/>
      <c r="E69" s="377"/>
      <c r="F69" s="377"/>
      <c r="G69" s="377"/>
      <c r="H69" s="377"/>
    </row>
    <row r="70" spans="1:8">
      <c r="A70" s="378" t="s">
        <v>545</v>
      </c>
      <c r="B70" s="377"/>
      <c r="C70" s="377"/>
      <c r="D70" s="377"/>
      <c r="E70" s="377"/>
      <c r="F70" s="377"/>
      <c r="G70" s="377"/>
      <c r="H70" s="377"/>
    </row>
    <row r="71" spans="1:8">
      <c r="A71" s="377"/>
      <c r="B71" s="377"/>
      <c r="C71" s="377"/>
      <c r="D71" s="377"/>
      <c r="E71" s="377"/>
      <c r="F71" s="377"/>
      <c r="G71" s="377"/>
      <c r="H71" s="377"/>
    </row>
    <row r="72" spans="1:8">
      <c r="A72" s="378" t="s">
        <v>649</v>
      </c>
      <c r="B72" s="377"/>
      <c r="C72" s="377"/>
      <c r="D72" s="377"/>
      <c r="E72" s="377"/>
      <c r="F72" s="377"/>
      <c r="G72" s="377"/>
      <c r="H72" s="377"/>
    </row>
    <row r="73" spans="1:8">
      <c r="A73" s="378" t="s">
        <v>650</v>
      </c>
      <c r="B73" s="377"/>
      <c r="C73" s="377"/>
      <c r="D73" s="377"/>
      <c r="E73" s="377"/>
      <c r="F73" s="377"/>
      <c r="G73" s="377"/>
      <c r="H73" s="377"/>
    </row>
    <row r="74" spans="1:8">
      <c r="A74" s="378" t="s">
        <v>651</v>
      </c>
      <c r="B74" s="377"/>
      <c r="C74" s="377"/>
      <c r="D74" s="377"/>
      <c r="E74" s="377"/>
      <c r="F74" s="377"/>
      <c r="G74" s="377"/>
      <c r="H74" s="377"/>
    </row>
    <row r="75" spans="1:8">
      <c r="A75" s="378" t="s">
        <v>652</v>
      </c>
      <c r="B75" s="377"/>
      <c r="C75" s="377"/>
      <c r="D75" s="377"/>
      <c r="E75" s="377"/>
      <c r="F75" s="377"/>
      <c r="G75" s="377"/>
      <c r="H75" s="377"/>
    </row>
    <row r="76" spans="1:8">
      <c r="A76" s="378" t="s">
        <v>653</v>
      </c>
      <c r="B76" s="377"/>
      <c r="C76" s="377"/>
      <c r="D76" s="377"/>
      <c r="E76" s="377"/>
      <c r="F76" s="377"/>
      <c r="G76" s="377"/>
      <c r="H76" s="377"/>
    </row>
    <row r="77" spans="1:8">
      <c r="A77" s="378" t="s">
        <v>654</v>
      </c>
      <c r="B77" s="377"/>
      <c r="C77" s="377"/>
      <c r="D77" s="377"/>
      <c r="E77" s="377"/>
      <c r="F77" s="377"/>
      <c r="G77" s="377"/>
      <c r="H77" s="377"/>
    </row>
    <row r="78" spans="1:8">
      <c r="A78" s="378" t="s">
        <v>655</v>
      </c>
      <c r="B78" s="377"/>
      <c r="C78" s="377"/>
      <c r="D78" s="377"/>
      <c r="E78" s="377"/>
      <c r="F78" s="377"/>
      <c r="G78" s="377"/>
      <c r="H78" s="377"/>
    </row>
    <row r="79" spans="1:8">
      <c r="A79" s="377"/>
      <c r="B79" s="377"/>
      <c r="C79" s="377"/>
      <c r="D79" s="377"/>
      <c r="E79" s="377"/>
      <c r="F79" s="377"/>
      <c r="G79" s="377"/>
      <c r="H79" s="377"/>
    </row>
    <row r="80" spans="1:8">
      <c r="A80" s="378" t="s">
        <v>647</v>
      </c>
      <c r="B80" s="377"/>
      <c r="C80" s="377"/>
      <c r="D80" s="377"/>
      <c r="E80" s="377"/>
      <c r="F80" s="377"/>
      <c r="G80" s="377"/>
      <c r="H80" s="377"/>
    </row>
    <row r="81" spans="1:8">
      <c r="A81" s="378" t="s">
        <v>648</v>
      </c>
      <c r="B81" s="377"/>
      <c r="C81" s="377"/>
      <c r="D81" s="377"/>
      <c r="E81" s="377"/>
      <c r="F81" s="377"/>
      <c r="G81" s="377"/>
      <c r="H81" s="377"/>
    </row>
    <row r="82" spans="1:8">
      <c r="A82" s="377"/>
      <c r="B82" s="377"/>
      <c r="C82" s="377"/>
      <c r="D82" s="377"/>
      <c r="E82" s="377"/>
      <c r="F82" s="377"/>
      <c r="G82" s="377"/>
      <c r="H82" s="377"/>
    </row>
    <row r="83" spans="1:8" ht="15.75">
      <c r="A83" s="379" t="s">
        <v>420</v>
      </c>
      <c r="B83" s="377"/>
      <c r="C83" s="377"/>
      <c r="D83" s="377"/>
      <c r="E83" s="377"/>
      <c r="F83" s="377"/>
      <c r="G83" s="377"/>
      <c r="H83" s="377"/>
    </row>
    <row r="84" spans="1:8">
      <c r="A84" s="377"/>
      <c r="B84" s="377"/>
      <c r="C84" s="377"/>
      <c r="D84" s="377"/>
      <c r="E84" s="377"/>
      <c r="F84" s="377"/>
      <c r="G84" s="377"/>
      <c r="H84" s="377"/>
    </row>
    <row r="85" spans="1:8">
      <c r="A85" s="378" t="s">
        <v>638</v>
      </c>
      <c r="B85" s="377"/>
      <c r="C85" s="377"/>
      <c r="D85" s="377"/>
      <c r="E85" s="377"/>
      <c r="F85" s="377"/>
      <c r="G85" s="377"/>
      <c r="H85" s="377"/>
    </row>
    <row r="86" spans="1:8">
      <c r="A86" s="378" t="s">
        <v>639</v>
      </c>
      <c r="B86" s="377"/>
      <c r="C86" s="377"/>
      <c r="D86" s="377"/>
      <c r="E86" s="377"/>
      <c r="F86" s="377"/>
      <c r="G86" s="377"/>
      <c r="H86" s="377"/>
    </row>
    <row r="87" spans="1:8">
      <c r="A87" s="378" t="s">
        <v>640</v>
      </c>
      <c r="B87" s="377"/>
      <c r="C87" s="377"/>
      <c r="D87" s="377"/>
      <c r="E87" s="377"/>
      <c r="F87" s="377"/>
      <c r="G87" s="377"/>
      <c r="H87" s="377"/>
    </row>
    <row r="88" spans="1:8">
      <c r="A88" s="378" t="s">
        <v>641</v>
      </c>
      <c r="B88" s="377"/>
      <c r="C88" s="377"/>
      <c r="D88" s="377"/>
      <c r="E88" s="377"/>
      <c r="F88" s="377"/>
      <c r="G88" s="377"/>
      <c r="H88" s="377"/>
    </row>
    <row r="89" spans="1:8">
      <c r="A89" s="378" t="s">
        <v>642</v>
      </c>
      <c r="B89" s="377"/>
      <c r="C89" s="377"/>
      <c r="D89" s="377"/>
      <c r="E89" s="377"/>
      <c r="F89" s="377"/>
      <c r="G89" s="377"/>
      <c r="H89" s="377"/>
    </row>
    <row r="90" spans="1:8">
      <c r="A90" s="378" t="s">
        <v>643</v>
      </c>
      <c r="B90" s="377"/>
      <c r="C90" s="377"/>
      <c r="D90" s="377"/>
      <c r="E90" s="377"/>
      <c r="F90" s="377"/>
      <c r="G90" s="377"/>
      <c r="H90" s="377"/>
    </row>
    <row r="91" spans="1:8">
      <c r="A91" s="378" t="s">
        <v>644</v>
      </c>
      <c r="B91" s="377"/>
      <c r="C91" s="377"/>
      <c r="D91" s="377"/>
      <c r="E91" s="377"/>
      <c r="F91" s="377"/>
      <c r="G91" s="377"/>
      <c r="H91" s="377"/>
    </row>
    <row r="92" spans="1:8">
      <c r="A92" s="378" t="s">
        <v>645</v>
      </c>
      <c r="B92" s="377"/>
      <c r="C92" s="377"/>
      <c r="D92" s="377"/>
      <c r="E92" s="377"/>
      <c r="F92" s="377"/>
      <c r="G92" s="377"/>
      <c r="H92" s="377"/>
    </row>
    <row r="93" spans="1:8">
      <c r="A93" s="378" t="s">
        <v>646</v>
      </c>
      <c r="B93" s="377"/>
      <c r="C93" s="377"/>
      <c r="D93" s="377"/>
      <c r="E93" s="377"/>
      <c r="F93" s="377"/>
      <c r="G93" s="377"/>
      <c r="H93" s="377"/>
    </row>
    <row r="94" spans="1:8">
      <c r="A94" s="377"/>
      <c r="B94" s="377"/>
      <c r="C94" s="377"/>
      <c r="D94" s="377"/>
      <c r="E94" s="377"/>
      <c r="F94" s="377"/>
      <c r="G94" s="377"/>
      <c r="H94" s="377"/>
    </row>
    <row r="95" spans="1:8" ht="15.75">
      <c r="A95" s="380" t="s">
        <v>421</v>
      </c>
      <c r="B95" s="380"/>
      <c r="C95" s="380"/>
      <c r="D95" s="380"/>
      <c r="E95" s="380"/>
      <c r="F95" s="380"/>
      <c r="G95" s="380"/>
      <c r="H95" s="380"/>
    </row>
    <row r="96" spans="1:8">
      <c r="A96" s="381" t="s">
        <v>422</v>
      </c>
      <c r="B96" s="381"/>
      <c r="C96" s="381"/>
      <c r="D96" s="381"/>
      <c r="E96" s="381"/>
      <c r="F96" s="381"/>
      <c r="G96" s="381"/>
      <c r="H96" s="381"/>
    </row>
    <row r="97" spans="1:8">
      <c r="A97" s="382"/>
      <c r="B97" s="382"/>
      <c r="C97" s="382"/>
      <c r="D97" s="382"/>
      <c r="E97" s="382"/>
      <c r="F97" s="382"/>
      <c r="G97" s="382"/>
      <c r="H97" s="382"/>
    </row>
    <row r="98" spans="1:8">
      <c r="A98" s="381" t="s">
        <v>636</v>
      </c>
      <c r="B98" s="381"/>
      <c r="C98" s="381"/>
      <c r="D98" s="381"/>
      <c r="E98" s="381"/>
      <c r="F98" s="381"/>
      <c r="G98" s="381"/>
      <c r="H98" s="381"/>
    </row>
    <row r="99" spans="1:8">
      <c r="A99" s="378" t="s">
        <v>637</v>
      </c>
      <c r="B99" s="378"/>
      <c r="C99" s="378"/>
      <c r="D99" s="378"/>
      <c r="E99" s="378"/>
      <c r="F99" s="378"/>
      <c r="G99" s="378"/>
      <c r="H99" s="378"/>
    </row>
    <row r="100" spans="1:8">
      <c r="A100" s="382"/>
      <c r="B100" s="382"/>
      <c r="C100" s="382"/>
      <c r="D100" s="382"/>
      <c r="E100" s="382"/>
      <c r="F100" s="382"/>
      <c r="G100" s="382"/>
      <c r="H100" s="382"/>
    </row>
    <row r="101" spans="1:8">
      <c r="A101" s="381" t="s">
        <v>629</v>
      </c>
      <c r="B101" s="381"/>
      <c r="C101" s="381"/>
      <c r="D101" s="381"/>
      <c r="E101" s="381"/>
      <c r="F101" s="381"/>
      <c r="G101" s="381"/>
      <c r="H101" s="381"/>
    </row>
    <row r="102" spans="1:8">
      <c r="A102" s="378" t="s">
        <v>630</v>
      </c>
      <c r="B102" s="378"/>
      <c r="C102" s="378"/>
      <c r="D102" s="378"/>
      <c r="E102" s="378"/>
      <c r="F102" s="378"/>
      <c r="G102" s="378"/>
      <c r="H102" s="378"/>
    </row>
    <row r="103" spans="1:8">
      <c r="A103" s="378" t="s">
        <v>631</v>
      </c>
      <c r="B103" s="378"/>
      <c r="C103" s="378"/>
      <c r="D103" s="378"/>
      <c r="E103" s="378"/>
      <c r="F103" s="378"/>
      <c r="G103" s="378"/>
      <c r="H103" s="378"/>
    </row>
    <row r="104" spans="1:8">
      <c r="A104" s="378" t="s">
        <v>632</v>
      </c>
      <c r="B104" s="378"/>
      <c r="C104" s="378"/>
      <c r="D104" s="378"/>
      <c r="E104" s="378"/>
      <c r="F104" s="378"/>
      <c r="G104" s="378"/>
      <c r="H104" s="378"/>
    </row>
    <row r="105" spans="1:8">
      <c r="A105" s="378" t="s">
        <v>633</v>
      </c>
      <c r="B105" s="378"/>
      <c r="C105" s="378"/>
      <c r="D105" s="378"/>
      <c r="E105" s="378"/>
      <c r="F105" s="378"/>
      <c r="G105" s="378"/>
      <c r="H105" s="378"/>
    </row>
    <row r="106" spans="1:8">
      <c r="A106" s="378" t="s">
        <v>634</v>
      </c>
      <c r="B106" s="378"/>
      <c r="C106" s="378"/>
      <c r="D106" s="378"/>
      <c r="E106" s="378"/>
      <c r="F106" s="378"/>
      <c r="G106" s="378"/>
      <c r="H106" s="378"/>
    </row>
    <row r="107" spans="1:8">
      <c r="A107" s="378" t="s">
        <v>635</v>
      </c>
      <c r="B107" s="378"/>
      <c r="C107" s="378"/>
      <c r="D107" s="378"/>
      <c r="E107" s="378"/>
      <c r="F107" s="378"/>
      <c r="G107" s="378"/>
      <c r="H107" s="378"/>
    </row>
    <row r="108" spans="1:8">
      <c r="A108" s="383"/>
      <c r="B108" s="383"/>
      <c r="C108" s="383"/>
      <c r="D108" s="383"/>
      <c r="E108" s="383"/>
      <c r="F108" s="383"/>
      <c r="G108" s="383"/>
      <c r="H108" s="383"/>
    </row>
    <row r="109" spans="1:8">
      <c r="A109" s="384"/>
      <c r="B109" s="385" t="s">
        <v>423</v>
      </c>
      <c r="C109" s="386"/>
      <c r="D109" s="385" t="s">
        <v>424</v>
      </c>
      <c r="E109" s="387"/>
      <c r="F109" s="386"/>
      <c r="G109" s="385" t="s">
        <v>425</v>
      </c>
      <c r="H109" s="386"/>
    </row>
    <row r="110" spans="1:8">
      <c r="A110" s="384" t="s">
        <v>426</v>
      </c>
      <c r="B110" s="384" t="s">
        <v>383</v>
      </c>
      <c r="C110" s="384" t="s">
        <v>427</v>
      </c>
      <c r="D110" s="384" t="s">
        <v>383</v>
      </c>
      <c r="E110" s="384" t="s">
        <v>428</v>
      </c>
      <c r="F110" s="384" t="s">
        <v>429</v>
      </c>
      <c r="G110" s="384" t="s">
        <v>383</v>
      </c>
      <c r="H110" s="384" t="s">
        <v>430</v>
      </c>
    </row>
    <row r="111" spans="1:8">
      <c r="A111" s="384" t="s">
        <v>431</v>
      </c>
      <c r="B111" s="384">
        <v>1189</v>
      </c>
      <c r="C111" s="388">
        <v>0.38</v>
      </c>
      <c r="D111" s="384">
        <v>315</v>
      </c>
      <c r="E111" s="388">
        <v>0.41</v>
      </c>
      <c r="F111" s="388">
        <v>0.26</v>
      </c>
      <c r="G111" s="384">
        <v>555</v>
      </c>
      <c r="H111" s="388">
        <v>0.39</v>
      </c>
    </row>
    <row r="112" spans="1:8">
      <c r="A112" s="384" t="s">
        <v>432</v>
      </c>
      <c r="B112" s="384">
        <v>1355</v>
      </c>
      <c r="C112" s="388">
        <v>0.43</v>
      </c>
      <c r="D112" s="384">
        <v>364</v>
      </c>
      <c r="E112" s="388">
        <v>0.47</v>
      </c>
      <c r="F112" s="388">
        <v>0.27</v>
      </c>
      <c r="G112" s="384">
        <v>644</v>
      </c>
      <c r="H112" s="388">
        <v>0.45</v>
      </c>
    </row>
    <row r="113" spans="1:8">
      <c r="A113" s="384" t="s">
        <v>433</v>
      </c>
      <c r="B113" s="384">
        <v>53</v>
      </c>
      <c r="C113" s="388">
        <v>0.02</v>
      </c>
      <c r="D113" s="384">
        <v>4</v>
      </c>
      <c r="E113" s="388">
        <v>0.01</v>
      </c>
      <c r="F113" s="388">
        <v>0.08</v>
      </c>
      <c r="G113" s="384">
        <v>7</v>
      </c>
      <c r="H113" s="388">
        <v>0</v>
      </c>
    </row>
    <row r="114" spans="1:8">
      <c r="A114" s="384" t="s">
        <v>434</v>
      </c>
      <c r="B114" s="384">
        <v>545</v>
      </c>
      <c r="C114" s="388">
        <v>0.17</v>
      </c>
      <c r="D114" s="384">
        <v>84</v>
      </c>
      <c r="E114" s="388">
        <v>0.11</v>
      </c>
      <c r="F114" s="388">
        <v>0.15</v>
      </c>
      <c r="G114" s="384">
        <v>214</v>
      </c>
      <c r="H114" s="388">
        <v>0.15</v>
      </c>
    </row>
    <row r="115" spans="1:8">
      <c r="A115" s="384" t="s">
        <v>143</v>
      </c>
      <c r="B115" s="389">
        <v>3142</v>
      </c>
      <c r="C115" s="384"/>
      <c r="D115" s="384">
        <v>767</v>
      </c>
      <c r="E115" s="384"/>
      <c r="F115" s="384"/>
      <c r="G115" s="384">
        <v>1420</v>
      </c>
      <c r="H115" s="384"/>
    </row>
    <row r="116" spans="1:8">
      <c r="A116" s="390"/>
      <c r="B116" s="390"/>
      <c r="C116" s="390"/>
      <c r="D116" s="390"/>
      <c r="E116" s="390"/>
      <c r="F116" s="390"/>
      <c r="G116" s="390"/>
      <c r="H116" s="390"/>
    </row>
    <row r="117" spans="1:8">
      <c r="A117" s="381" t="s">
        <v>625</v>
      </c>
      <c r="B117" s="381"/>
      <c r="C117" s="381"/>
      <c r="D117" s="381"/>
      <c r="E117" s="381"/>
      <c r="F117" s="381"/>
      <c r="G117" s="381"/>
      <c r="H117" s="381"/>
    </row>
    <row r="118" spans="1:8">
      <c r="A118" s="378" t="s">
        <v>626</v>
      </c>
      <c r="B118" s="378"/>
      <c r="C118" s="378"/>
      <c r="D118" s="378"/>
      <c r="E118" s="378"/>
      <c r="F118" s="378"/>
      <c r="G118" s="378"/>
      <c r="H118" s="378"/>
    </row>
    <row r="119" spans="1:8">
      <c r="A119" s="378" t="s">
        <v>627</v>
      </c>
      <c r="B119" s="378"/>
      <c r="C119" s="378"/>
      <c r="D119" s="378"/>
      <c r="E119" s="378"/>
      <c r="F119" s="378"/>
      <c r="G119" s="378"/>
      <c r="H119" s="378"/>
    </row>
    <row r="120" spans="1:8">
      <c r="A120" s="378" t="s">
        <v>628</v>
      </c>
      <c r="B120" s="378"/>
      <c r="C120" s="378"/>
      <c r="D120" s="378"/>
      <c r="E120" s="378"/>
      <c r="F120" s="378"/>
      <c r="G120" s="378"/>
      <c r="H120" s="378"/>
    </row>
    <row r="121" spans="1:8">
      <c r="A121" s="377"/>
      <c r="B121" s="377"/>
      <c r="C121" s="377"/>
      <c r="D121" s="377"/>
      <c r="E121" s="377"/>
      <c r="F121" s="377"/>
      <c r="G121" s="377"/>
      <c r="H121" s="377"/>
    </row>
    <row r="122" spans="1:8" ht="15.75">
      <c r="A122" s="379" t="s">
        <v>435</v>
      </c>
      <c r="B122" s="377"/>
      <c r="C122" s="377"/>
      <c r="D122" s="377"/>
      <c r="E122" s="377"/>
      <c r="F122" s="377"/>
      <c r="G122" s="377"/>
      <c r="H122" s="377"/>
    </row>
    <row r="123" spans="1:8">
      <c r="A123" s="377"/>
      <c r="B123" s="377"/>
      <c r="C123" s="377"/>
      <c r="D123" s="377"/>
      <c r="E123" s="377"/>
      <c r="F123" s="377"/>
      <c r="G123" s="377"/>
      <c r="H123" s="377"/>
    </row>
    <row r="124" spans="1:8">
      <c r="A124" s="378" t="s">
        <v>623</v>
      </c>
      <c r="B124" s="377"/>
      <c r="C124" s="377"/>
      <c r="D124" s="377"/>
      <c r="E124" s="377"/>
      <c r="F124" s="377"/>
      <c r="G124" s="377"/>
      <c r="H124" s="377"/>
    </row>
    <row r="125" spans="1:8">
      <c r="A125" s="378" t="s">
        <v>624</v>
      </c>
      <c r="B125" s="377"/>
      <c r="C125" s="377"/>
      <c r="D125" s="377"/>
      <c r="E125" s="377"/>
      <c r="F125" s="377"/>
      <c r="G125" s="377"/>
      <c r="H125" s="377"/>
    </row>
    <row r="126" spans="1:8">
      <c r="A126" s="377"/>
      <c r="B126" s="377"/>
      <c r="C126" s="377"/>
      <c r="D126" s="377"/>
      <c r="E126" s="377"/>
      <c r="F126" s="377"/>
      <c r="G126" s="377"/>
      <c r="H126" s="377"/>
    </row>
    <row r="127" spans="1:8">
      <c r="A127" s="378" t="s">
        <v>620</v>
      </c>
      <c r="B127" s="377"/>
      <c r="C127" s="377"/>
      <c r="D127" s="377"/>
      <c r="E127" s="377"/>
      <c r="F127" s="377"/>
      <c r="G127" s="377"/>
      <c r="H127" s="377"/>
    </row>
    <row r="128" spans="1:8">
      <c r="A128" s="378" t="s">
        <v>621</v>
      </c>
      <c r="B128" s="377"/>
      <c r="C128" s="377"/>
      <c r="D128" s="377"/>
      <c r="E128" s="377"/>
      <c r="F128" s="377"/>
      <c r="G128" s="377"/>
      <c r="H128" s="377"/>
    </row>
    <row r="129" spans="1:8">
      <c r="A129" s="378" t="s">
        <v>622</v>
      </c>
      <c r="B129" s="377"/>
      <c r="C129" s="377"/>
      <c r="D129" s="377"/>
      <c r="E129" s="377"/>
      <c r="F129" s="377"/>
      <c r="G129" s="377"/>
      <c r="H129" s="377"/>
    </row>
    <row r="130" spans="1:8">
      <c r="A130" s="377"/>
      <c r="B130" s="377"/>
      <c r="C130" s="377"/>
      <c r="D130" s="377"/>
      <c r="E130" s="377"/>
      <c r="F130" s="377"/>
      <c r="G130" s="377"/>
      <c r="H130" s="377"/>
    </row>
    <row r="131" spans="1:8">
      <c r="A131" s="378" t="s">
        <v>617</v>
      </c>
      <c r="B131" s="377"/>
      <c r="C131" s="377"/>
      <c r="D131" s="377"/>
      <c r="E131" s="377"/>
      <c r="F131" s="377"/>
      <c r="G131" s="377"/>
      <c r="H131" s="377"/>
    </row>
    <row r="132" spans="1:8">
      <c r="A132" s="378" t="s">
        <v>618</v>
      </c>
      <c r="B132" s="377"/>
      <c r="C132" s="377"/>
      <c r="D132" s="377"/>
      <c r="E132" s="377"/>
      <c r="F132" s="377"/>
      <c r="G132" s="377"/>
      <c r="H132" s="377"/>
    </row>
    <row r="133" spans="1:8">
      <c r="A133" s="378" t="s">
        <v>619</v>
      </c>
      <c r="B133" s="377"/>
      <c r="C133" s="377"/>
      <c r="D133" s="377"/>
      <c r="E133" s="377"/>
      <c r="F133" s="377"/>
      <c r="G133" s="377"/>
      <c r="H133" s="377"/>
    </row>
    <row r="134" spans="1:8">
      <c r="A134" s="377"/>
      <c r="B134" s="377"/>
      <c r="C134" s="377"/>
      <c r="D134" s="377"/>
      <c r="E134" s="377"/>
      <c r="F134" s="377"/>
      <c r="G134" s="377"/>
      <c r="H134" s="377"/>
    </row>
    <row r="135" spans="1:8">
      <c r="A135" s="378" t="s">
        <v>614</v>
      </c>
      <c r="B135" s="377"/>
      <c r="C135" s="377"/>
      <c r="D135" s="377"/>
      <c r="E135" s="377"/>
      <c r="F135" s="377"/>
      <c r="G135" s="377"/>
      <c r="H135" s="377"/>
    </row>
    <row r="136" spans="1:8">
      <c r="A136" s="378" t="s">
        <v>615</v>
      </c>
      <c r="B136" s="377"/>
      <c r="C136" s="377"/>
      <c r="D136" s="377"/>
      <c r="E136" s="377"/>
      <c r="F136" s="377"/>
      <c r="G136" s="377"/>
      <c r="H136" s="377"/>
    </row>
    <row r="137" spans="1:8">
      <c r="A137" s="378" t="s">
        <v>616</v>
      </c>
      <c r="B137" s="377"/>
      <c r="C137" s="377"/>
      <c r="D137" s="377"/>
      <c r="E137" s="377"/>
      <c r="F137" s="377"/>
      <c r="G137" s="377"/>
      <c r="H137" s="377"/>
    </row>
    <row r="138" spans="1:8">
      <c r="A138" s="377"/>
      <c r="B138" s="377"/>
      <c r="C138" s="377"/>
      <c r="D138" s="377"/>
      <c r="E138" s="377"/>
      <c r="F138" s="377"/>
      <c r="G138" s="377"/>
      <c r="H138" s="377"/>
    </row>
    <row r="139" spans="1:8">
      <c r="A139" s="378" t="s">
        <v>612</v>
      </c>
      <c r="B139" s="377"/>
      <c r="C139" s="377"/>
      <c r="D139" s="377"/>
      <c r="E139" s="377"/>
      <c r="F139" s="377"/>
      <c r="G139" s="377"/>
      <c r="H139" s="377"/>
    </row>
    <row r="140" spans="1:8">
      <c r="A140" s="378" t="s">
        <v>613</v>
      </c>
      <c r="B140" s="377"/>
      <c r="C140" s="377"/>
      <c r="D140" s="377"/>
      <c r="E140" s="377"/>
      <c r="F140" s="377"/>
      <c r="G140" s="377"/>
      <c r="H140" s="377"/>
    </row>
    <row r="141" spans="1:8">
      <c r="A141" s="377"/>
      <c r="B141" s="377"/>
      <c r="C141" s="377"/>
      <c r="D141" s="377"/>
      <c r="E141" s="377"/>
      <c r="F141" s="377"/>
      <c r="G141" s="377"/>
      <c r="H141" s="377"/>
    </row>
    <row r="142" spans="1:8" ht="15.75">
      <c r="A142" s="379" t="s">
        <v>436</v>
      </c>
      <c r="B142" s="377"/>
      <c r="C142" s="377"/>
      <c r="D142" s="377"/>
      <c r="E142" s="377"/>
      <c r="F142" s="377"/>
      <c r="G142" s="377"/>
      <c r="H142" s="377"/>
    </row>
    <row r="143" spans="1:8">
      <c r="A143" s="377"/>
      <c r="B143" s="377"/>
      <c r="C143" s="377"/>
      <c r="D143" s="377"/>
      <c r="E143" s="377"/>
      <c r="F143" s="377"/>
      <c r="G143" s="377"/>
      <c r="H143" s="377"/>
    </row>
    <row r="144" spans="1:8">
      <c r="A144" s="378" t="s">
        <v>610</v>
      </c>
      <c r="B144" s="377"/>
      <c r="C144" s="377"/>
      <c r="D144" s="377"/>
      <c r="E144" s="377"/>
      <c r="F144" s="377"/>
      <c r="G144" s="377"/>
      <c r="H144" s="377"/>
    </row>
    <row r="145" spans="1:8">
      <c r="A145" s="378" t="s">
        <v>611</v>
      </c>
      <c r="B145" s="377"/>
      <c r="C145" s="377"/>
      <c r="D145" s="377"/>
      <c r="E145" s="377"/>
      <c r="F145" s="377"/>
      <c r="G145" s="377"/>
      <c r="H145" s="377"/>
    </row>
    <row r="146" spans="1:8">
      <c r="A146" s="377"/>
      <c r="B146" s="377"/>
      <c r="C146" s="377"/>
      <c r="D146" s="377"/>
      <c r="E146" s="377"/>
      <c r="F146" s="377"/>
      <c r="G146" s="377"/>
      <c r="H146" s="377"/>
    </row>
    <row r="147" spans="1:8">
      <c r="A147" s="378" t="s">
        <v>608</v>
      </c>
      <c r="B147" s="377"/>
      <c r="C147" s="377"/>
      <c r="D147" s="377"/>
      <c r="E147" s="377"/>
      <c r="F147" s="377"/>
      <c r="G147" s="377"/>
      <c r="H147" s="377"/>
    </row>
    <row r="148" spans="1:8">
      <c r="A148" s="378" t="s">
        <v>609</v>
      </c>
      <c r="B148" s="377"/>
      <c r="C148" s="377"/>
      <c r="D148" s="377"/>
      <c r="E148" s="377"/>
      <c r="F148" s="377"/>
      <c r="G148" s="377"/>
      <c r="H148" s="377"/>
    </row>
    <row r="149" spans="1:8">
      <c r="A149" s="377"/>
      <c r="B149" s="377"/>
      <c r="C149" s="377"/>
      <c r="D149" s="377"/>
      <c r="E149" s="377"/>
      <c r="F149" s="377"/>
      <c r="G149" s="377"/>
      <c r="H149" s="377"/>
    </row>
    <row r="150" spans="1:8">
      <c r="A150" s="378" t="s">
        <v>606</v>
      </c>
      <c r="B150" s="377"/>
      <c r="C150" s="377"/>
      <c r="D150" s="377"/>
      <c r="E150" s="377"/>
      <c r="F150" s="377"/>
      <c r="G150" s="377"/>
      <c r="H150" s="377"/>
    </row>
    <row r="151" spans="1:8">
      <c r="A151" s="378" t="s">
        <v>607</v>
      </c>
      <c r="B151" s="377"/>
      <c r="C151" s="377"/>
      <c r="D151" s="377"/>
      <c r="E151" s="377"/>
      <c r="F151" s="377"/>
      <c r="G151" s="377"/>
      <c r="H151" s="377"/>
    </row>
    <row r="152" spans="1:8">
      <c r="A152" s="377"/>
      <c r="B152" s="377"/>
      <c r="C152" s="377"/>
      <c r="D152" s="377"/>
      <c r="E152" s="377"/>
      <c r="F152" s="377"/>
      <c r="G152" s="377"/>
      <c r="H152" s="377"/>
    </row>
    <row r="153" spans="1:8">
      <c r="A153" s="378" t="s">
        <v>603</v>
      </c>
      <c r="B153" s="377"/>
      <c r="C153" s="377"/>
      <c r="D153" s="377"/>
      <c r="E153" s="377"/>
      <c r="F153" s="377"/>
      <c r="G153" s="377"/>
      <c r="H153" s="377"/>
    </row>
    <row r="154" spans="1:8">
      <c r="A154" s="378" t="s">
        <v>604</v>
      </c>
      <c r="B154" s="377"/>
      <c r="C154" s="377"/>
      <c r="D154" s="377"/>
      <c r="E154" s="377"/>
      <c r="F154" s="377"/>
      <c r="G154" s="377"/>
      <c r="H154" s="377"/>
    </row>
    <row r="155" spans="1:8">
      <c r="A155" s="378" t="s">
        <v>605</v>
      </c>
      <c r="B155" s="377"/>
      <c r="C155" s="377"/>
      <c r="D155" s="377"/>
      <c r="E155" s="377"/>
      <c r="F155" s="377"/>
      <c r="G155" s="377"/>
      <c r="H155" s="377"/>
    </row>
    <row r="156" spans="1:8">
      <c r="A156" s="377"/>
      <c r="B156" s="377"/>
      <c r="C156" s="377"/>
      <c r="D156" s="377"/>
      <c r="E156" s="377"/>
      <c r="F156" s="377"/>
      <c r="G156" s="377"/>
      <c r="H156" s="377"/>
    </row>
    <row r="157" spans="1:8">
      <c r="A157" s="377"/>
      <c r="B157" s="377"/>
      <c r="C157" s="377"/>
      <c r="D157" s="377"/>
      <c r="E157" s="377"/>
      <c r="F157" s="377"/>
      <c r="G157" s="377"/>
      <c r="H157" s="377"/>
    </row>
    <row r="158" spans="1:8">
      <c r="A158" s="378" t="s">
        <v>437</v>
      </c>
      <c r="B158" s="377"/>
      <c r="C158" s="377"/>
      <c r="D158" s="377"/>
      <c r="E158" s="377"/>
      <c r="F158" s="377"/>
      <c r="G158" s="377"/>
      <c r="H158" s="377"/>
    </row>
    <row r="159" spans="1:8">
      <c r="A159" s="377"/>
      <c r="B159" s="377"/>
      <c r="C159" s="377"/>
      <c r="D159" s="377"/>
      <c r="E159" s="377"/>
      <c r="F159" s="377"/>
      <c r="G159" s="377"/>
      <c r="H159" s="377"/>
    </row>
    <row r="160" spans="1:8" ht="15.75">
      <c r="A160" s="379" t="s">
        <v>438</v>
      </c>
      <c r="B160" s="377"/>
      <c r="C160" s="377"/>
      <c r="D160" s="377"/>
      <c r="E160" s="377"/>
      <c r="F160" s="377"/>
      <c r="G160" s="377"/>
      <c r="H160" s="377"/>
    </row>
    <row r="161" spans="1:8">
      <c r="A161" s="377"/>
      <c r="B161" s="377"/>
      <c r="C161" s="377"/>
      <c r="D161" s="377"/>
      <c r="E161" s="377"/>
      <c r="F161" s="377"/>
      <c r="G161" s="377"/>
      <c r="H161" s="377"/>
    </row>
    <row r="162" spans="1:8">
      <c r="A162" s="377"/>
      <c r="B162" s="377"/>
      <c r="C162" s="377"/>
      <c r="D162" s="377"/>
      <c r="E162" s="377"/>
      <c r="F162" s="377"/>
      <c r="G162" s="377"/>
      <c r="H162" s="377"/>
    </row>
    <row r="163" spans="1:8">
      <c r="A163" s="377"/>
      <c r="B163" s="377"/>
      <c r="C163" s="377"/>
      <c r="D163" s="377"/>
      <c r="E163" s="377"/>
      <c r="F163" s="377"/>
      <c r="G163" s="377"/>
      <c r="H163" s="377"/>
    </row>
    <row r="164" spans="1:8">
      <c r="A164" s="377"/>
      <c r="B164" s="377"/>
      <c r="C164" s="377"/>
      <c r="D164" s="377"/>
      <c r="E164" s="377"/>
      <c r="F164" s="377"/>
      <c r="G164" s="377"/>
      <c r="H164" s="377"/>
    </row>
    <row r="165" spans="1:8">
      <c r="A165" s="377"/>
      <c r="B165" s="377"/>
      <c r="C165" s="377"/>
      <c r="D165" s="377"/>
      <c r="E165" s="377"/>
      <c r="F165" s="377"/>
      <c r="G165" s="377"/>
      <c r="H165" s="377"/>
    </row>
    <row r="166" spans="1:8">
      <c r="A166" s="377"/>
      <c r="B166" s="377"/>
      <c r="C166" s="377"/>
      <c r="D166" s="377"/>
      <c r="E166" s="377"/>
      <c r="F166" s="377"/>
      <c r="G166" s="377"/>
      <c r="H166" s="377"/>
    </row>
    <row r="167" spans="1:8">
      <c r="A167" s="377"/>
      <c r="B167" s="377"/>
      <c r="C167" s="377"/>
      <c r="D167" s="377"/>
      <c r="E167" s="377"/>
      <c r="F167" s="377"/>
      <c r="G167" s="377"/>
      <c r="H167" s="377"/>
    </row>
    <row r="168" spans="1:8">
      <c r="A168" s="377"/>
      <c r="B168" s="377"/>
      <c r="C168" s="377"/>
      <c r="D168" s="377"/>
      <c r="E168" s="377"/>
      <c r="F168" s="377"/>
      <c r="G168" s="377"/>
      <c r="H168" s="377"/>
    </row>
    <row r="169" spans="1:8">
      <c r="A169" s="377"/>
      <c r="B169" s="377"/>
      <c r="C169" s="377"/>
      <c r="D169" s="377"/>
      <c r="E169" s="377"/>
      <c r="F169" s="377"/>
      <c r="G169" s="377"/>
      <c r="H169" s="377"/>
    </row>
    <row r="170" spans="1:8">
      <c r="A170" s="377"/>
      <c r="B170" s="377"/>
      <c r="C170" s="377"/>
      <c r="D170" s="377"/>
      <c r="E170" s="377"/>
      <c r="F170" s="377"/>
      <c r="G170" s="377"/>
      <c r="H170" s="377"/>
    </row>
    <row r="171" spans="1:8">
      <c r="A171" s="377"/>
      <c r="B171" s="377"/>
      <c r="C171" s="377"/>
      <c r="D171" s="377"/>
      <c r="E171" s="377"/>
      <c r="F171" s="377"/>
      <c r="G171" s="377"/>
      <c r="H171" s="377"/>
    </row>
    <row r="172" spans="1:8">
      <c r="A172" s="377"/>
      <c r="B172" s="377"/>
      <c r="C172" s="377"/>
      <c r="D172" s="377"/>
      <c r="E172" s="377"/>
      <c r="F172" s="377"/>
      <c r="G172" s="377"/>
      <c r="H172" s="377"/>
    </row>
    <row r="173" spans="1:8">
      <c r="A173" s="377"/>
      <c r="B173" s="377"/>
      <c r="C173" s="377"/>
      <c r="D173" s="377"/>
      <c r="E173" s="377"/>
      <c r="F173" s="377"/>
      <c r="G173" s="377"/>
      <c r="H173" s="377"/>
    </row>
    <row r="174" spans="1:8">
      <c r="A174" s="377"/>
      <c r="B174" s="377"/>
      <c r="C174" s="377"/>
      <c r="D174" s="377"/>
      <c r="E174" s="377"/>
      <c r="F174" s="377"/>
      <c r="G174" s="377"/>
      <c r="H174" s="377"/>
    </row>
    <row r="175" spans="1:8">
      <c r="A175" s="377"/>
      <c r="B175" s="377"/>
      <c r="C175" s="377"/>
      <c r="D175" s="377"/>
      <c r="E175" s="377"/>
      <c r="F175" s="377"/>
      <c r="G175" s="377"/>
      <c r="H175" s="377"/>
    </row>
    <row r="176" spans="1:8">
      <c r="A176" s="377"/>
      <c r="B176" s="377"/>
      <c r="C176" s="377"/>
      <c r="D176" s="377"/>
      <c r="E176" s="377"/>
      <c r="F176" s="377"/>
      <c r="G176" s="377"/>
      <c r="H176" s="377"/>
    </row>
    <row r="177" spans="1:8">
      <c r="A177" s="377"/>
      <c r="B177" s="377"/>
      <c r="C177" s="377"/>
      <c r="D177" s="377"/>
      <c r="E177" s="377"/>
      <c r="F177" s="377"/>
      <c r="G177" s="377"/>
      <c r="H177" s="377"/>
    </row>
    <row r="178" spans="1:8">
      <c r="A178" s="377"/>
      <c r="B178" s="377"/>
      <c r="C178" s="377"/>
      <c r="D178" s="377"/>
      <c r="E178" s="377"/>
      <c r="F178" s="377"/>
      <c r="G178" s="377"/>
      <c r="H178" s="377"/>
    </row>
    <row r="179" spans="1:8">
      <c r="A179" s="377"/>
      <c r="B179" s="377"/>
      <c r="C179" s="377"/>
      <c r="D179" s="377"/>
      <c r="E179" s="377"/>
      <c r="F179" s="377"/>
      <c r="G179" s="377"/>
      <c r="H179" s="377"/>
    </row>
    <row r="180" spans="1:8">
      <c r="A180" s="377"/>
      <c r="B180" s="377"/>
      <c r="C180" s="377"/>
      <c r="D180" s="377"/>
      <c r="E180" s="377"/>
      <c r="F180" s="377"/>
      <c r="G180" s="377"/>
      <c r="H180" s="377"/>
    </row>
    <row r="181" spans="1:8">
      <c r="A181" s="377"/>
      <c r="B181" s="377"/>
      <c r="C181" s="377"/>
      <c r="D181" s="377"/>
      <c r="E181" s="377"/>
      <c r="F181" s="377"/>
      <c r="G181" s="377"/>
      <c r="H181" s="377"/>
    </row>
    <row r="182" spans="1:8">
      <c r="A182" s="377"/>
      <c r="B182" s="377"/>
      <c r="C182" s="377"/>
      <c r="D182" s="377"/>
      <c r="E182" s="377"/>
      <c r="F182" s="377"/>
      <c r="G182" s="377"/>
      <c r="H182" s="377"/>
    </row>
    <row r="183" spans="1:8">
      <c r="A183" s="377"/>
      <c r="B183" s="377"/>
      <c r="C183" s="377"/>
      <c r="D183" s="377"/>
      <c r="E183" s="377"/>
      <c r="F183" s="377"/>
      <c r="G183" s="377"/>
      <c r="H183" s="377"/>
    </row>
    <row r="184" spans="1:8">
      <c r="A184" s="377"/>
      <c r="B184" s="377"/>
      <c r="C184" s="377"/>
      <c r="D184" s="377"/>
      <c r="E184" s="377"/>
      <c r="F184" s="377"/>
      <c r="G184" s="377"/>
      <c r="H184" s="377"/>
    </row>
    <row r="185" spans="1:8">
      <c r="A185" s="377"/>
      <c r="B185" s="377"/>
      <c r="C185" s="377"/>
      <c r="D185" s="377"/>
      <c r="E185" s="377"/>
      <c r="F185" s="377"/>
      <c r="G185" s="377"/>
      <c r="H185" s="377"/>
    </row>
    <row r="186" spans="1:8">
      <c r="A186" s="377"/>
      <c r="B186" s="377"/>
      <c r="C186" s="377"/>
      <c r="D186" s="377"/>
      <c r="E186" s="377"/>
      <c r="F186" s="377"/>
      <c r="G186" s="377"/>
      <c r="H186" s="377"/>
    </row>
    <row r="187" spans="1:8" ht="15.75">
      <c r="A187" s="379" t="s">
        <v>439</v>
      </c>
      <c r="B187" s="377"/>
      <c r="C187" s="377"/>
      <c r="D187" s="377"/>
      <c r="E187" s="377"/>
      <c r="F187" s="377"/>
      <c r="G187" s="377"/>
      <c r="H187" s="377"/>
    </row>
    <row r="188" spans="1:8">
      <c r="A188" s="377"/>
      <c r="B188" s="377"/>
      <c r="C188" s="377"/>
      <c r="D188" s="377"/>
      <c r="E188" s="377"/>
      <c r="F188" s="377"/>
      <c r="G188" s="377"/>
      <c r="H188" s="377"/>
    </row>
    <row r="189" spans="1:8">
      <c r="A189" s="378" t="s">
        <v>598</v>
      </c>
      <c r="B189" s="377"/>
      <c r="C189" s="377"/>
      <c r="D189" s="377"/>
      <c r="E189" s="377"/>
      <c r="F189" s="377"/>
      <c r="G189" s="377"/>
      <c r="H189" s="377"/>
    </row>
    <row r="190" spans="1:8">
      <c r="A190" s="378" t="s">
        <v>599</v>
      </c>
      <c r="B190" s="377"/>
      <c r="C190" s="377"/>
      <c r="D190" s="377"/>
      <c r="E190" s="377"/>
      <c r="F190" s="377"/>
      <c r="G190" s="377"/>
      <c r="H190" s="377"/>
    </row>
    <row r="191" spans="1:8">
      <c r="A191" s="378" t="s">
        <v>600</v>
      </c>
      <c r="B191" s="377"/>
      <c r="C191" s="377"/>
      <c r="D191" s="377"/>
      <c r="E191" s="377"/>
      <c r="F191" s="377"/>
      <c r="G191" s="377"/>
      <c r="H191" s="377"/>
    </row>
    <row r="192" spans="1:8">
      <c r="A192" s="378" t="s">
        <v>601</v>
      </c>
      <c r="B192" s="377"/>
      <c r="C192" s="377"/>
      <c r="D192" s="377"/>
      <c r="E192" s="377"/>
      <c r="F192" s="377"/>
      <c r="G192" s="377"/>
      <c r="H192" s="377"/>
    </row>
    <row r="193" spans="1:8">
      <c r="A193" s="378" t="s">
        <v>602</v>
      </c>
      <c r="B193" s="377"/>
      <c r="C193" s="377"/>
      <c r="D193" s="377"/>
      <c r="E193" s="377"/>
      <c r="F193" s="377"/>
      <c r="G193" s="377"/>
      <c r="H193" s="377"/>
    </row>
    <row r="194" spans="1:8">
      <c r="A194" s="377"/>
      <c r="B194" s="377"/>
      <c r="C194" s="377"/>
      <c r="D194" s="377"/>
      <c r="E194" s="377"/>
      <c r="F194" s="377"/>
      <c r="G194" s="377"/>
      <c r="H194" s="377"/>
    </row>
    <row r="195" spans="1:8">
      <c r="A195" s="378" t="s">
        <v>595</v>
      </c>
      <c r="B195" s="377"/>
      <c r="C195" s="377"/>
      <c r="D195" s="377"/>
      <c r="E195" s="377"/>
      <c r="F195" s="377"/>
      <c r="G195" s="377"/>
      <c r="H195" s="377"/>
    </row>
    <row r="196" spans="1:8">
      <c r="A196" s="378" t="s">
        <v>596</v>
      </c>
      <c r="B196" s="377"/>
      <c r="C196" s="377"/>
      <c r="D196" s="377"/>
      <c r="E196" s="377"/>
      <c r="F196" s="377"/>
      <c r="G196" s="377"/>
      <c r="H196" s="377"/>
    </row>
    <row r="197" spans="1:8">
      <c r="A197" s="378" t="s">
        <v>597</v>
      </c>
      <c r="B197" s="377"/>
      <c r="C197" s="377"/>
      <c r="D197" s="377"/>
      <c r="E197" s="377"/>
      <c r="F197" s="377"/>
      <c r="G197" s="377"/>
      <c r="H197" s="377"/>
    </row>
    <row r="198" spans="1:8" ht="15.75">
      <c r="A198" s="379" t="s">
        <v>440</v>
      </c>
      <c r="B198" s="377"/>
      <c r="C198" s="377"/>
      <c r="D198" s="377"/>
      <c r="E198" s="377"/>
      <c r="F198" s="377"/>
      <c r="G198" s="377"/>
      <c r="H198" s="377"/>
    </row>
    <row r="199" spans="1:8">
      <c r="A199" s="377"/>
      <c r="B199" s="377"/>
      <c r="C199" s="377"/>
      <c r="D199" s="377"/>
      <c r="E199" s="377"/>
      <c r="F199" s="377"/>
      <c r="G199" s="377"/>
      <c r="H199" s="377"/>
    </row>
    <row r="200" spans="1:8">
      <c r="A200" s="378" t="s">
        <v>588</v>
      </c>
      <c r="B200" s="377"/>
      <c r="C200" s="377"/>
      <c r="D200" s="377"/>
      <c r="E200" s="377"/>
      <c r="F200" s="377"/>
      <c r="G200" s="377"/>
      <c r="H200" s="377"/>
    </row>
    <row r="201" spans="1:8">
      <c r="A201" s="378" t="s">
        <v>589</v>
      </c>
      <c r="B201" s="377"/>
      <c r="C201" s="377"/>
      <c r="D201" s="377"/>
      <c r="E201" s="377"/>
      <c r="F201" s="377"/>
      <c r="G201" s="377"/>
      <c r="H201" s="377"/>
    </row>
    <row r="202" spans="1:8">
      <c r="A202" s="378" t="s">
        <v>590</v>
      </c>
      <c r="B202" s="377"/>
      <c r="C202" s="377"/>
      <c r="D202" s="377"/>
      <c r="E202" s="377"/>
      <c r="F202" s="377"/>
      <c r="G202" s="377"/>
      <c r="H202" s="377"/>
    </row>
    <row r="203" spans="1:8">
      <c r="A203" s="378" t="s">
        <v>591</v>
      </c>
      <c r="B203" s="377"/>
      <c r="C203" s="377"/>
      <c r="D203" s="377"/>
      <c r="E203" s="377"/>
      <c r="F203" s="377"/>
      <c r="G203" s="377"/>
      <c r="H203" s="377"/>
    </row>
    <row r="204" spans="1:8">
      <c r="A204" s="378" t="s">
        <v>592</v>
      </c>
      <c r="B204" s="377"/>
      <c r="C204" s="377"/>
      <c r="D204" s="377"/>
      <c r="E204" s="377"/>
      <c r="F204" s="377"/>
      <c r="G204" s="377"/>
      <c r="H204" s="377"/>
    </row>
    <row r="205" spans="1:8">
      <c r="A205" s="378" t="s">
        <v>593</v>
      </c>
      <c r="B205" s="377"/>
      <c r="C205" s="377"/>
      <c r="D205" s="377"/>
      <c r="E205" s="377"/>
      <c r="F205" s="377"/>
      <c r="G205" s="377"/>
      <c r="H205" s="377"/>
    </row>
    <row r="206" spans="1:8">
      <c r="A206" s="378" t="s">
        <v>594</v>
      </c>
      <c r="B206" s="377"/>
      <c r="C206" s="377"/>
      <c r="D206" s="377"/>
      <c r="E206" s="377"/>
      <c r="F206" s="377"/>
      <c r="G206" s="377"/>
      <c r="H206" s="377"/>
    </row>
    <row r="207" spans="1:8">
      <c r="A207" s="377"/>
      <c r="B207" s="377"/>
      <c r="C207" s="377"/>
      <c r="D207" s="377"/>
      <c r="E207" s="377"/>
      <c r="F207" s="377"/>
      <c r="G207" s="377"/>
      <c r="H207" s="377"/>
    </row>
    <row r="208" spans="1:8">
      <c r="A208" s="378" t="s">
        <v>585</v>
      </c>
      <c r="B208" s="377"/>
      <c r="C208" s="377"/>
      <c r="D208" s="377"/>
      <c r="E208" s="377"/>
      <c r="F208" s="377"/>
      <c r="G208" s="377"/>
      <c r="H208" s="377"/>
    </row>
    <row r="209" spans="1:8">
      <c r="A209" s="378" t="s">
        <v>586</v>
      </c>
      <c r="B209" s="377"/>
      <c r="C209" s="377"/>
      <c r="D209" s="377"/>
      <c r="E209" s="377"/>
      <c r="F209" s="377"/>
      <c r="G209" s="377"/>
      <c r="H209" s="377"/>
    </row>
    <row r="210" spans="1:8">
      <c r="A210" s="378" t="s">
        <v>587</v>
      </c>
      <c r="B210" s="377"/>
      <c r="C210" s="377"/>
      <c r="D210" s="377"/>
      <c r="E210" s="377"/>
      <c r="F210" s="377"/>
      <c r="G210" s="377"/>
      <c r="H210" s="377"/>
    </row>
    <row r="211" spans="1:8">
      <c r="A211" s="377"/>
      <c r="B211" s="377"/>
      <c r="C211" s="377"/>
      <c r="D211" s="377"/>
      <c r="E211" s="377"/>
      <c r="F211" s="377"/>
      <c r="G211" s="377"/>
      <c r="H211" s="377"/>
    </row>
    <row r="212" spans="1:8">
      <c r="A212" s="378" t="s">
        <v>580</v>
      </c>
      <c r="B212" s="377"/>
      <c r="C212" s="377"/>
      <c r="D212" s="377"/>
      <c r="E212" s="377"/>
      <c r="F212" s="377"/>
      <c r="G212" s="377"/>
      <c r="H212" s="377"/>
    </row>
    <row r="213" spans="1:8">
      <c r="A213" s="378" t="s">
        <v>581</v>
      </c>
      <c r="B213" s="377"/>
      <c r="C213" s="377"/>
      <c r="D213" s="377"/>
      <c r="E213" s="377"/>
      <c r="F213" s="377"/>
      <c r="G213" s="377"/>
      <c r="H213" s="377"/>
    </row>
    <row r="214" spans="1:8">
      <c r="A214" s="378" t="s">
        <v>582</v>
      </c>
      <c r="B214" s="377"/>
      <c r="C214" s="377"/>
      <c r="D214" s="377"/>
      <c r="E214" s="377"/>
      <c r="F214" s="377"/>
      <c r="G214" s="377"/>
      <c r="H214" s="377"/>
    </row>
    <row r="215" spans="1:8">
      <c r="A215" s="378" t="s">
        <v>583</v>
      </c>
      <c r="B215" s="377"/>
      <c r="C215" s="377"/>
      <c r="D215" s="377"/>
      <c r="E215" s="377"/>
      <c r="F215" s="377"/>
      <c r="G215" s="377"/>
      <c r="H215" s="377"/>
    </row>
    <row r="216" spans="1:8">
      <c r="A216" s="378" t="s">
        <v>584</v>
      </c>
      <c r="B216" s="377"/>
      <c r="C216" s="377"/>
      <c r="D216" s="377"/>
      <c r="E216" s="377"/>
      <c r="F216" s="377"/>
      <c r="G216" s="377"/>
      <c r="H216" s="377"/>
    </row>
    <row r="217" spans="1:8">
      <c r="A217" s="377"/>
      <c r="B217" s="377"/>
      <c r="C217" s="377"/>
      <c r="D217" s="377"/>
      <c r="E217" s="377"/>
      <c r="F217" s="377"/>
      <c r="G217" s="377"/>
      <c r="H217" s="377"/>
    </row>
    <row r="218" spans="1:8">
      <c r="A218" s="378" t="s">
        <v>574</v>
      </c>
      <c r="B218" s="377"/>
      <c r="C218" s="377"/>
      <c r="D218" s="377"/>
      <c r="E218" s="377"/>
      <c r="F218" s="377"/>
      <c r="G218" s="377"/>
      <c r="H218" s="377"/>
    </row>
    <row r="219" spans="1:8">
      <c r="A219" s="378" t="s">
        <v>575</v>
      </c>
      <c r="B219" s="377"/>
      <c r="C219" s="377"/>
      <c r="D219" s="377"/>
      <c r="E219" s="377"/>
      <c r="F219" s="377"/>
      <c r="G219" s="377"/>
      <c r="H219" s="377"/>
    </row>
    <row r="220" spans="1:8">
      <c r="A220" s="378" t="s">
        <v>576</v>
      </c>
      <c r="B220" s="377"/>
      <c r="C220" s="377"/>
      <c r="D220" s="377"/>
      <c r="E220" s="377"/>
      <c r="F220" s="377"/>
      <c r="G220" s="377"/>
      <c r="H220" s="377"/>
    </row>
    <row r="221" spans="1:8">
      <c r="A221" s="378" t="s">
        <v>577</v>
      </c>
      <c r="B221" s="377"/>
      <c r="C221" s="377"/>
      <c r="D221" s="377"/>
      <c r="E221" s="377"/>
      <c r="F221" s="377"/>
      <c r="G221" s="377"/>
      <c r="H221" s="377"/>
    </row>
    <row r="222" spans="1:8">
      <c r="A222" s="378" t="s">
        <v>578</v>
      </c>
      <c r="B222" s="377"/>
      <c r="C222" s="377"/>
      <c r="D222" s="377"/>
      <c r="E222" s="377"/>
      <c r="F222" s="377"/>
      <c r="G222" s="377"/>
      <c r="H222" s="377"/>
    </row>
    <row r="223" spans="1:8">
      <c r="A223" s="378" t="s">
        <v>579</v>
      </c>
      <c r="B223" s="377"/>
      <c r="C223" s="377"/>
      <c r="D223" s="377"/>
      <c r="E223" s="377"/>
      <c r="F223" s="377"/>
      <c r="G223" s="377"/>
      <c r="H223" s="377"/>
    </row>
    <row r="224" spans="1:8">
      <c r="A224" s="377"/>
      <c r="B224" s="377"/>
      <c r="C224" s="377"/>
      <c r="D224" s="377"/>
      <c r="E224" s="377"/>
      <c r="F224" s="377"/>
      <c r="G224" s="377"/>
      <c r="H224" s="377"/>
    </row>
    <row r="225" spans="1:8">
      <c r="A225" s="378" t="s">
        <v>564</v>
      </c>
      <c r="B225" s="377"/>
      <c r="C225" s="377"/>
      <c r="D225" s="377"/>
      <c r="E225" s="377"/>
      <c r="F225" s="377"/>
      <c r="G225" s="377"/>
      <c r="H225" s="377"/>
    </row>
    <row r="226" spans="1:8">
      <c r="A226" s="378" t="s">
        <v>565</v>
      </c>
      <c r="B226" s="377"/>
      <c r="C226" s="377"/>
      <c r="D226" s="377"/>
      <c r="E226" s="377"/>
      <c r="F226" s="377"/>
      <c r="G226" s="377"/>
      <c r="H226" s="377"/>
    </row>
    <row r="227" spans="1:8">
      <c r="A227" s="378" t="s">
        <v>566</v>
      </c>
      <c r="B227" s="377"/>
      <c r="C227" s="377"/>
      <c r="D227" s="377"/>
      <c r="E227" s="377"/>
      <c r="F227" s="377"/>
      <c r="G227" s="377"/>
      <c r="H227" s="377"/>
    </row>
    <row r="228" spans="1:8">
      <c r="A228" s="378" t="s">
        <v>567</v>
      </c>
      <c r="B228" s="377"/>
      <c r="C228" s="377"/>
      <c r="D228" s="377"/>
      <c r="E228" s="377"/>
      <c r="F228" s="377"/>
      <c r="G228" s="377"/>
      <c r="H228" s="377"/>
    </row>
    <row r="229" spans="1:8">
      <c r="A229" s="378" t="s">
        <v>568</v>
      </c>
      <c r="B229" s="377"/>
      <c r="C229" s="377"/>
      <c r="D229" s="377"/>
      <c r="E229" s="377"/>
      <c r="F229" s="377"/>
      <c r="G229" s="377"/>
      <c r="H229" s="377"/>
    </row>
    <row r="230" spans="1:8">
      <c r="A230" s="378" t="s">
        <v>569</v>
      </c>
      <c r="B230" s="377"/>
      <c r="C230" s="377"/>
      <c r="D230" s="377"/>
      <c r="E230" s="377"/>
      <c r="F230" s="377"/>
      <c r="G230" s="377"/>
      <c r="H230" s="377"/>
    </row>
    <row r="231" spans="1:8">
      <c r="A231" s="378" t="s">
        <v>570</v>
      </c>
      <c r="B231" s="377"/>
      <c r="C231" s="377"/>
      <c r="D231" s="377"/>
      <c r="E231" s="377"/>
      <c r="F231" s="377"/>
      <c r="G231" s="377"/>
      <c r="H231" s="377"/>
    </row>
    <row r="232" spans="1:8">
      <c r="A232" s="378" t="s">
        <v>571</v>
      </c>
      <c r="B232" s="377"/>
      <c r="C232" s="377"/>
      <c r="D232" s="377"/>
      <c r="E232" s="377"/>
      <c r="F232" s="377"/>
      <c r="G232" s="377"/>
      <c r="H232" s="377"/>
    </row>
    <row r="233" spans="1:8">
      <c r="A233" s="378" t="s">
        <v>572</v>
      </c>
      <c r="B233" s="377"/>
      <c r="C233" s="377"/>
      <c r="D233" s="377"/>
      <c r="E233" s="377"/>
      <c r="F233" s="377"/>
      <c r="G233" s="377"/>
      <c r="H233" s="377"/>
    </row>
    <row r="234" spans="1:8">
      <c r="A234" s="378" t="s">
        <v>573</v>
      </c>
      <c r="B234" s="377"/>
      <c r="C234" s="377"/>
      <c r="D234" s="377"/>
      <c r="E234" s="377"/>
      <c r="F234" s="377"/>
      <c r="G234" s="377"/>
      <c r="H234" s="377"/>
    </row>
    <row r="235" spans="1:8">
      <c r="A235" s="377"/>
      <c r="B235" s="377"/>
      <c r="C235" s="377"/>
      <c r="D235" s="377"/>
      <c r="E235" s="377"/>
      <c r="F235" s="377"/>
      <c r="G235" s="377"/>
      <c r="H235" s="377"/>
    </row>
    <row r="236" spans="1:8">
      <c r="A236" s="378" t="s">
        <v>562</v>
      </c>
      <c r="B236" s="377"/>
      <c r="C236" s="377"/>
      <c r="D236" s="377"/>
      <c r="E236" s="377"/>
      <c r="F236" s="377"/>
      <c r="G236" s="377"/>
      <c r="H236" s="377"/>
    </row>
    <row r="237" spans="1:8">
      <c r="A237" s="378" t="s">
        <v>563</v>
      </c>
      <c r="B237" s="377"/>
      <c r="C237" s="377"/>
      <c r="D237" s="377"/>
      <c r="E237" s="377"/>
      <c r="F237" s="377"/>
      <c r="G237" s="377"/>
      <c r="H237" s="377"/>
    </row>
    <row r="238" spans="1:8">
      <c r="A238" s="377"/>
      <c r="B238" s="377"/>
      <c r="C238" s="377"/>
      <c r="D238" s="377"/>
      <c r="E238" s="377"/>
      <c r="F238" s="377"/>
      <c r="G238" s="377"/>
      <c r="H238" s="377"/>
    </row>
    <row r="239" spans="1:8">
      <c r="A239" s="378" t="s">
        <v>546</v>
      </c>
      <c r="B239" s="377"/>
      <c r="C239" s="377"/>
      <c r="D239" s="377"/>
      <c r="E239" s="377"/>
      <c r="F239" s="377"/>
      <c r="G239" s="377"/>
      <c r="H239" s="377"/>
    </row>
    <row r="240" spans="1:8">
      <c r="A240" s="378" t="s">
        <v>547</v>
      </c>
      <c r="B240" s="377"/>
      <c r="C240" s="377"/>
      <c r="D240" s="377"/>
      <c r="E240" s="377"/>
      <c r="F240" s="377"/>
      <c r="G240" s="377"/>
      <c r="H240" s="377"/>
    </row>
    <row r="241" spans="1:8">
      <c r="A241" s="378" t="s">
        <v>548</v>
      </c>
      <c r="B241" s="377"/>
      <c r="C241" s="377"/>
      <c r="D241" s="377"/>
      <c r="E241" s="377"/>
      <c r="F241" s="377"/>
      <c r="G241" s="377"/>
      <c r="H241" s="377"/>
    </row>
    <row r="242" spans="1:8">
      <c r="A242" s="378" t="s">
        <v>549</v>
      </c>
      <c r="B242" s="377"/>
      <c r="C242" s="377"/>
      <c r="D242" s="377"/>
      <c r="E242" s="377"/>
      <c r="F242" s="377"/>
      <c r="G242" s="377"/>
      <c r="H242" s="377"/>
    </row>
    <row r="243" spans="1:8">
      <c r="A243" s="378" t="s">
        <v>550</v>
      </c>
      <c r="B243" s="377"/>
      <c r="C243" s="377"/>
      <c r="D243" s="377"/>
      <c r="E243" s="377"/>
      <c r="F243" s="377"/>
      <c r="G243" s="377"/>
      <c r="H243" s="377"/>
    </row>
    <row r="244" spans="1:8">
      <c r="A244" s="378" t="s">
        <v>551</v>
      </c>
      <c r="B244" s="377"/>
      <c r="C244" s="377"/>
      <c r="D244" s="377"/>
      <c r="E244" s="377"/>
      <c r="F244" s="377"/>
      <c r="G244" s="377"/>
      <c r="H244" s="377"/>
    </row>
    <row r="245" spans="1:8">
      <c r="A245" s="378" t="s">
        <v>552</v>
      </c>
      <c r="B245" s="377"/>
      <c r="C245" s="377"/>
      <c r="D245" s="377"/>
      <c r="E245" s="377"/>
      <c r="F245" s="377"/>
      <c r="G245" s="377"/>
      <c r="H245" s="377"/>
    </row>
    <row r="246" spans="1:8">
      <c r="A246" s="378" t="s">
        <v>553</v>
      </c>
      <c r="B246" s="377"/>
      <c r="C246" s="377"/>
      <c r="D246" s="377"/>
      <c r="E246" s="377"/>
      <c r="F246" s="377"/>
      <c r="G246" s="377"/>
      <c r="H246" s="377"/>
    </row>
    <row r="247" spans="1:8">
      <c r="A247" s="378" t="s">
        <v>554</v>
      </c>
      <c r="B247" s="377"/>
      <c r="C247" s="377"/>
      <c r="D247" s="377"/>
      <c r="E247" s="377"/>
      <c r="F247" s="377"/>
      <c r="G247" s="377"/>
      <c r="H247" s="377"/>
    </row>
    <row r="248" spans="1:8">
      <c r="A248" s="378" t="s">
        <v>555</v>
      </c>
      <c r="B248" s="377"/>
      <c r="C248" s="377"/>
      <c r="D248" s="377"/>
      <c r="E248" s="377"/>
      <c r="F248" s="377"/>
      <c r="G248" s="377"/>
      <c r="H248" s="377"/>
    </row>
    <row r="249" spans="1:8">
      <c r="A249" s="378" t="s">
        <v>556</v>
      </c>
      <c r="B249" s="377"/>
      <c r="C249" s="377"/>
      <c r="D249" s="377"/>
      <c r="E249" s="377"/>
      <c r="F249" s="377"/>
      <c r="G249" s="377"/>
      <c r="H249" s="377"/>
    </row>
    <row r="250" spans="1:8">
      <c r="A250" s="378" t="s">
        <v>557</v>
      </c>
      <c r="B250" s="377"/>
      <c r="C250" s="377"/>
      <c r="D250" s="377"/>
      <c r="E250" s="377"/>
      <c r="F250" s="377"/>
      <c r="G250" s="377"/>
      <c r="H250" s="377"/>
    </row>
    <row r="251" spans="1:8">
      <c r="A251" s="378" t="s">
        <v>558</v>
      </c>
      <c r="B251" s="377"/>
      <c r="C251" s="377"/>
      <c r="D251" s="377"/>
      <c r="E251" s="377"/>
      <c r="F251" s="377"/>
      <c r="G251" s="377"/>
      <c r="H251" s="377"/>
    </row>
    <row r="252" spans="1:8">
      <c r="A252" s="378" t="s">
        <v>559</v>
      </c>
      <c r="B252" s="377"/>
      <c r="C252" s="377"/>
      <c r="D252" s="377"/>
      <c r="E252" s="377"/>
      <c r="F252" s="377"/>
      <c r="G252" s="377"/>
      <c r="H252" s="377"/>
    </row>
    <row r="253" spans="1:8">
      <c r="A253" s="378" t="s">
        <v>560</v>
      </c>
      <c r="B253" s="377"/>
      <c r="C253" s="377"/>
      <c r="D253" s="377"/>
      <c r="E253" s="377"/>
      <c r="F253" s="377"/>
      <c r="G253" s="377"/>
      <c r="H253" s="377"/>
    </row>
    <row r="254" spans="1:8">
      <c r="A254" s="378" t="s">
        <v>561</v>
      </c>
      <c r="B254" s="377"/>
      <c r="C254" s="377"/>
      <c r="D254" s="377"/>
      <c r="E254" s="377"/>
      <c r="F254" s="377"/>
      <c r="G254" s="377"/>
      <c r="H254" s="377"/>
    </row>
    <row r="255" spans="1:8">
      <c r="A255" s="377"/>
      <c r="B255" s="377"/>
      <c r="C255" s="377"/>
      <c r="D255" s="377"/>
      <c r="E255" s="377"/>
      <c r="F255" s="377"/>
      <c r="G255" s="377"/>
      <c r="H255" s="377"/>
    </row>
    <row r="256" spans="1:8">
      <c r="A256" s="378" t="s">
        <v>539</v>
      </c>
      <c r="B256" s="377"/>
      <c r="C256" s="377"/>
      <c r="D256" s="377"/>
      <c r="E256" s="377"/>
      <c r="F256" s="377"/>
      <c r="G256" s="377"/>
      <c r="H256" s="377"/>
    </row>
    <row r="257" spans="1:8">
      <c r="A257" s="378" t="s">
        <v>540</v>
      </c>
      <c r="B257" s="377"/>
      <c r="C257" s="377"/>
      <c r="D257" s="377"/>
      <c r="E257" s="377"/>
      <c r="F257" s="377"/>
      <c r="G257" s="377"/>
      <c r="H257" s="377"/>
    </row>
    <row r="258" spans="1:8">
      <c r="A258" s="378" t="s">
        <v>541</v>
      </c>
      <c r="B258" s="377"/>
      <c r="C258" s="377"/>
      <c r="D258" s="377"/>
      <c r="E258" s="377"/>
      <c r="F258" s="377"/>
      <c r="G258" s="377"/>
      <c r="H258" s="377"/>
    </row>
    <row r="259" spans="1:8">
      <c r="A259" s="378" t="s">
        <v>542</v>
      </c>
      <c r="B259" s="377"/>
      <c r="C259" s="377"/>
      <c r="D259" s="377"/>
      <c r="E259" s="377"/>
      <c r="F259" s="377"/>
      <c r="G259" s="377"/>
      <c r="H259" s="377"/>
    </row>
    <row r="260" spans="1:8">
      <c r="A260" s="378" t="s">
        <v>543</v>
      </c>
      <c r="B260" s="377"/>
      <c r="C260" s="377"/>
      <c r="D260" s="377"/>
      <c r="E260" s="377"/>
      <c r="F260" s="377"/>
      <c r="G260" s="377"/>
      <c r="H260" s="377"/>
    </row>
    <row r="261" spans="1:8">
      <c r="A261" s="378" t="s">
        <v>544</v>
      </c>
      <c r="B261" s="377"/>
      <c r="C261" s="377"/>
      <c r="D261" s="377"/>
      <c r="E261" s="377"/>
      <c r="F261" s="377"/>
      <c r="G261" s="377"/>
      <c r="H261" s="377"/>
    </row>
    <row r="262" spans="1:8">
      <c r="A262" s="378" t="s">
        <v>545</v>
      </c>
      <c r="B262" s="377"/>
      <c r="C262" s="377"/>
      <c r="D262" s="377"/>
      <c r="E262" s="377"/>
      <c r="F262" s="377"/>
      <c r="G262" s="377"/>
      <c r="H262" s="377"/>
    </row>
    <row r="263" spans="1:8">
      <c r="A263" s="377"/>
      <c r="B263" s="377"/>
      <c r="C263" s="377"/>
      <c r="D263" s="377"/>
      <c r="E263" s="377"/>
      <c r="F263" s="377"/>
      <c r="G263" s="377"/>
      <c r="H263" s="377"/>
    </row>
    <row r="264" spans="1:8">
      <c r="A264" s="378" t="s">
        <v>530</v>
      </c>
      <c r="B264" s="377"/>
      <c r="C264" s="377"/>
      <c r="D264" s="377"/>
      <c r="E264" s="377"/>
      <c r="F264" s="377"/>
      <c r="G264" s="377"/>
      <c r="H264" s="377"/>
    </row>
    <row r="265" spans="1:8">
      <c r="A265" s="378" t="s">
        <v>531</v>
      </c>
      <c r="B265" s="377"/>
      <c r="C265" s="377"/>
      <c r="D265" s="377"/>
      <c r="E265" s="377"/>
      <c r="F265" s="377"/>
      <c r="G265" s="377"/>
      <c r="H265" s="377"/>
    </row>
    <row r="266" spans="1:8">
      <c r="A266" s="378" t="s">
        <v>532</v>
      </c>
      <c r="B266" s="377"/>
      <c r="C266" s="377"/>
      <c r="D266" s="377"/>
      <c r="E266" s="377"/>
      <c r="F266" s="377"/>
      <c r="G266" s="377"/>
      <c r="H266" s="377"/>
    </row>
    <row r="267" spans="1:8">
      <c r="A267" s="378" t="s">
        <v>533</v>
      </c>
      <c r="B267" s="377"/>
      <c r="C267" s="377"/>
      <c r="D267" s="377"/>
      <c r="E267" s="377"/>
      <c r="F267" s="377"/>
      <c r="G267" s="377"/>
      <c r="H267" s="377"/>
    </row>
    <row r="268" spans="1:8">
      <c r="A268" s="378" t="s">
        <v>534</v>
      </c>
      <c r="B268" s="377"/>
      <c r="C268" s="377"/>
      <c r="D268" s="377"/>
      <c r="E268" s="377"/>
      <c r="F268" s="377"/>
      <c r="G268" s="377"/>
      <c r="H268" s="377"/>
    </row>
    <row r="269" spans="1:8">
      <c r="A269" s="378" t="s">
        <v>535</v>
      </c>
      <c r="B269" s="377"/>
      <c r="C269" s="377"/>
      <c r="D269" s="377"/>
      <c r="E269" s="377"/>
      <c r="F269" s="377"/>
      <c r="G269" s="377"/>
      <c r="H269" s="377"/>
    </row>
    <row r="270" spans="1:8">
      <c r="A270" s="378" t="s">
        <v>536</v>
      </c>
      <c r="B270" s="377"/>
      <c r="C270" s="377"/>
      <c r="D270" s="377"/>
      <c r="E270" s="377"/>
      <c r="F270" s="377"/>
      <c r="G270" s="377"/>
      <c r="H270" s="377"/>
    </row>
    <row r="271" spans="1:8">
      <c r="A271" s="378" t="s">
        <v>537</v>
      </c>
      <c r="B271" s="377"/>
      <c r="C271" s="377"/>
      <c r="D271" s="377"/>
      <c r="E271" s="377"/>
      <c r="F271" s="377"/>
      <c r="G271" s="377"/>
      <c r="H271" s="377"/>
    </row>
    <row r="272" spans="1:8">
      <c r="A272" s="378" t="s">
        <v>538</v>
      </c>
      <c r="B272" s="377"/>
      <c r="C272" s="377"/>
      <c r="D272" s="377"/>
      <c r="E272" s="377"/>
      <c r="F272" s="377"/>
      <c r="G272" s="377"/>
      <c r="H272" s="377"/>
    </row>
    <row r="273" spans="1:8">
      <c r="A273" s="377"/>
      <c r="B273" s="377"/>
      <c r="C273" s="377"/>
      <c r="D273" s="377"/>
      <c r="E273" s="377"/>
      <c r="F273" s="377"/>
      <c r="G273" s="377"/>
      <c r="H273" s="377"/>
    </row>
    <row r="274" spans="1:8">
      <c r="A274" s="378" t="s">
        <v>523</v>
      </c>
      <c r="B274" s="377"/>
      <c r="C274" s="377"/>
      <c r="D274" s="377"/>
      <c r="E274" s="377"/>
      <c r="F274" s="377"/>
      <c r="G274" s="377"/>
      <c r="H274" s="377"/>
    </row>
    <row r="275" spans="1:8">
      <c r="A275" s="378" t="s">
        <v>524</v>
      </c>
      <c r="B275" s="377"/>
      <c r="C275" s="377"/>
      <c r="D275" s="377"/>
      <c r="E275" s="377"/>
      <c r="F275" s="377"/>
      <c r="G275" s="377"/>
      <c r="H275" s="377"/>
    </row>
    <row r="276" spans="1:8">
      <c r="A276" s="378" t="s">
        <v>525</v>
      </c>
      <c r="B276" s="377"/>
      <c r="C276" s="377"/>
      <c r="D276" s="377"/>
      <c r="E276" s="377"/>
      <c r="F276" s="377"/>
      <c r="G276" s="377"/>
      <c r="H276" s="377"/>
    </row>
    <row r="277" spans="1:8">
      <c r="A277" s="378" t="s">
        <v>526</v>
      </c>
      <c r="B277" s="377"/>
      <c r="C277" s="377"/>
      <c r="D277" s="377"/>
      <c r="E277" s="377"/>
      <c r="F277" s="377"/>
      <c r="G277" s="377"/>
      <c r="H277" s="377"/>
    </row>
    <row r="278" spans="1:8">
      <c r="A278" s="378" t="s">
        <v>527</v>
      </c>
      <c r="B278" s="377"/>
      <c r="C278" s="377"/>
      <c r="D278" s="377"/>
      <c r="E278" s="377"/>
      <c r="F278" s="377"/>
      <c r="G278" s="377"/>
      <c r="H278" s="377"/>
    </row>
    <row r="279" spans="1:8">
      <c r="A279" s="378" t="s">
        <v>528</v>
      </c>
      <c r="B279" s="377"/>
      <c r="C279" s="377"/>
      <c r="D279" s="377"/>
      <c r="E279" s="377"/>
      <c r="F279" s="377"/>
      <c r="G279" s="377"/>
      <c r="H279" s="377"/>
    </row>
    <row r="280" spans="1:8">
      <c r="A280" s="378" t="s">
        <v>529</v>
      </c>
      <c r="B280" s="377"/>
      <c r="C280" s="377"/>
      <c r="D280" s="377"/>
      <c r="E280" s="377"/>
      <c r="F280" s="377"/>
      <c r="G280" s="377"/>
      <c r="H280" s="377"/>
    </row>
    <row r="281" spans="1:8">
      <c r="A281" s="377"/>
      <c r="B281" s="377"/>
      <c r="C281" s="377"/>
      <c r="D281" s="377"/>
      <c r="E281" s="377"/>
      <c r="F281" s="377"/>
      <c r="G281" s="377"/>
      <c r="H281" s="377"/>
    </row>
    <row r="282" spans="1:8">
      <c r="A282" s="378" t="s">
        <v>520</v>
      </c>
      <c r="B282" s="377"/>
      <c r="C282" s="377"/>
      <c r="D282" s="377"/>
      <c r="E282" s="377"/>
      <c r="F282" s="377"/>
      <c r="G282" s="377"/>
      <c r="H282" s="377"/>
    </row>
    <row r="283" spans="1:8">
      <c r="A283" s="378" t="s">
        <v>521</v>
      </c>
      <c r="B283" s="377"/>
      <c r="C283" s="377"/>
      <c r="D283" s="377"/>
      <c r="E283" s="377"/>
      <c r="F283" s="377"/>
      <c r="G283" s="377"/>
      <c r="H283" s="377"/>
    </row>
    <row r="284" spans="1:8">
      <c r="A284" s="378" t="s">
        <v>522</v>
      </c>
      <c r="B284" s="377"/>
      <c r="C284" s="377"/>
      <c r="D284" s="377"/>
      <c r="E284" s="377"/>
      <c r="F284" s="377"/>
      <c r="G284" s="377"/>
      <c r="H284" s="377"/>
    </row>
    <row r="285" spans="1:8">
      <c r="A285" s="377"/>
      <c r="B285" s="377"/>
      <c r="C285" s="377"/>
      <c r="D285" s="377"/>
      <c r="E285" s="377"/>
      <c r="F285" s="377"/>
      <c r="G285" s="377"/>
      <c r="H285" s="377"/>
    </row>
    <row r="286" spans="1:8">
      <c r="A286" s="378" t="s">
        <v>518</v>
      </c>
      <c r="B286" s="377"/>
      <c r="C286" s="377"/>
      <c r="D286" s="377"/>
      <c r="E286" s="377"/>
      <c r="F286" s="377"/>
      <c r="G286" s="377"/>
      <c r="H286" s="377"/>
    </row>
    <row r="287" spans="1:8">
      <c r="A287" s="378" t="s">
        <v>519</v>
      </c>
      <c r="B287" s="377"/>
      <c r="C287" s="377"/>
      <c r="D287" s="377"/>
      <c r="E287" s="377"/>
      <c r="F287" s="377"/>
      <c r="G287" s="377"/>
      <c r="H287" s="377"/>
    </row>
    <row r="288" spans="1:8">
      <c r="A288" s="377"/>
      <c r="B288" s="377"/>
      <c r="C288" s="377"/>
      <c r="D288" s="377"/>
      <c r="E288" s="377"/>
      <c r="F288" s="377"/>
      <c r="G288" s="377"/>
      <c r="H288" s="377"/>
    </row>
    <row r="289" spans="1:8">
      <c r="A289" s="378" t="s">
        <v>505</v>
      </c>
      <c r="B289" s="377"/>
      <c r="C289" s="377"/>
      <c r="D289" s="377"/>
      <c r="E289" s="377"/>
      <c r="F289" s="377"/>
      <c r="G289" s="377"/>
      <c r="H289" s="377"/>
    </row>
    <row r="290" spans="1:8">
      <c r="A290" s="378" t="s">
        <v>506</v>
      </c>
      <c r="B290" s="377"/>
      <c r="C290" s="377"/>
      <c r="D290" s="377"/>
      <c r="E290" s="377"/>
      <c r="F290" s="377"/>
      <c r="G290" s="377"/>
      <c r="H290" s="377"/>
    </row>
    <row r="291" spans="1:8">
      <c r="A291" s="378" t="s">
        <v>507</v>
      </c>
      <c r="B291" s="377"/>
      <c r="C291" s="377"/>
      <c r="D291" s="377"/>
      <c r="E291" s="377"/>
      <c r="F291" s="377"/>
      <c r="G291" s="377"/>
      <c r="H291" s="377"/>
    </row>
    <row r="292" spans="1:8">
      <c r="A292" s="378" t="s">
        <v>508</v>
      </c>
      <c r="B292" s="377"/>
      <c r="C292" s="377"/>
      <c r="D292" s="377"/>
      <c r="E292" s="377"/>
      <c r="F292" s="377"/>
      <c r="G292" s="377"/>
      <c r="H292" s="377"/>
    </row>
    <row r="293" spans="1:8">
      <c r="A293" s="378" t="s">
        <v>509</v>
      </c>
      <c r="B293" s="377"/>
      <c r="C293" s="377"/>
      <c r="D293" s="377"/>
      <c r="E293" s="377"/>
      <c r="F293" s="377"/>
      <c r="G293" s="377"/>
      <c r="H293" s="377"/>
    </row>
    <row r="294" spans="1:8">
      <c r="A294" s="378" t="s">
        <v>510</v>
      </c>
      <c r="B294" s="377"/>
      <c r="C294" s="377"/>
      <c r="D294" s="377"/>
      <c r="E294" s="377"/>
      <c r="F294" s="377"/>
      <c r="G294" s="377"/>
      <c r="H294" s="377"/>
    </row>
    <row r="295" spans="1:8">
      <c r="A295" s="378" t="s">
        <v>511</v>
      </c>
      <c r="B295" s="377"/>
      <c r="C295" s="377"/>
      <c r="D295" s="377"/>
      <c r="E295" s="377"/>
      <c r="F295" s="377"/>
      <c r="G295" s="377"/>
      <c r="H295" s="377"/>
    </row>
    <row r="296" spans="1:8">
      <c r="A296" s="378" t="s">
        <v>512</v>
      </c>
      <c r="B296" s="377"/>
      <c r="C296" s="377"/>
      <c r="D296" s="377"/>
      <c r="E296" s="377"/>
      <c r="F296" s="377"/>
      <c r="G296" s="377"/>
      <c r="H296" s="377"/>
    </row>
    <row r="297" spans="1:8">
      <c r="A297" s="378" t="s">
        <v>513</v>
      </c>
      <c r="B297" s="377"/>
      <c r="C297" s="377"/>
      <c r="D297" s="377"/>
      <c r="E297" s="377"/>
      <c r="F297" s="377"/>
      <c r="G297" s="377"/>
      <c r="H297" s="377"/>
    </row>
    <row r="298" spans="1:8">
      <c r="A298" s="378" t="s">
        <v>514</v>
      </c>
      <c r="B298" s="377"/>
      <c r="C298" s="377"/>
      <c r="D298" s="377"/>
      <c r="E298" s="377"/>
      <c r="F298" s="377"/>
      <c r="G298" s="377"/>
      <c r="H298" s="377"/>
    </row>
    <row r="299" spans="1:8">
      <c r="A299" s="378" t="s">
        <v>515</v>
      </c>
      <c r="B299" s="377"/>
      <c r="C299" s="377"/>
      <c r="D299" s="377"/>
      <c r="E299" s="377"/>
      <c r="F299" s="377"/>
      <c r="G299" s="377"/>
      <c r="H299" s="377"/>
    </row>
    <row r="300" spans="1:8">
      <c r="A300" s="378" t="s">
        <v>516</v>
      </c>
      <c r="B300" s="377"/>
      <c r="C300" s="377"/>
      <c r="D300" s="377"/>
      <c r="E300" s="377"/>
      <c r="F300" s="377"/>
      <c r="G300" s="377"/>
      <c r="H300" s="377"/>
    </row>
    <row r="301" spans="1:8">
      <c r="A301" s="378" t="s">
        <v>517</v>
      </c>
      <c r="B301" s="377"/>
      <c r="C301" s="377"/>
      <c r="D301" s="377"/>
      <c r="E301" s="377"/>
      <c r="F301" s="377"/>
      <c r="G301" s="377"/>
      <c r="H301" s="377"/>
    </row>
    <row r="302" spans="1:8">
      <c r="A302" s="377"/>
      <c r="B302" s="377"/>
      <c r="C302" s="377"/>
      <c r="D302" s="377"/>
      <c r="E302" s="377"/>
      <c r="F302" s="377"/>
      <c r="G302" s="377"/>
      <c r="H302" s="377"/>
    </row>
    <row r="303" spans="1:8">
      <c r="A303" s="378" t="s">
        <v>497</v>
      </c>
      <c r="B303" s="377"/>
      <c r="C303" s="377"/>
      <c r="D303" s="377"/>
      <c r="E303" s="377"/>
      <c r="F303" s="377"/>
      <c r="G303" s="377"/>
      <c r="H303" s="377"/>
    </row>
    <row r="304" spans="1:8">
      <c r="A304" s="378" t="s">
        <v>498</v>
      </c>
      <c r="B304" s="377"/>
      <c r="C304" s="377"/>
      <c r="D304" s="377"/>
      <c r="E304" s="377"/>
      <c r="F304" s="377"/>
      <c r="G304" s="377"/>
      <c r="H304" s="377"/>
    </row>
    <row r="305" spans="1:8">
      <c r="A305" s="378" t="s">
        <v>499</v>
      </c>
      <c r="B305" s="377"/>
      <c r="C305" s="377"/>
      <c r="D305" s="377"/>
      <c r="E305" s="377"/>
      <c r="F305" s="377"/>
      <c r="G305" s="377"/>
      <c r="H305" s="377"/>
    </row>
    <row r="306" spans="1:8">
      <c r="A306" s="378" t="s">
        <v>500</v>
      </c>
      <c r="B306" s="377"/>
      <c r="C306" s="377"/>
      <c r="D306" s="377"/>
      <c r="E306" s="377"/>
      <c r="F306" s="377"/>
      <c r="G306" s="377"/>
      <c r="H306" s="377"/>
    </row>
    <row r="307" spans="1:8">
      <c r="A307" s="378" t="s">
        <v>501</v>
      </c>
      <c r="B307" s="377"/>
      <c r="C307" s="377"/>
      <c r="D307" s="377"/>
      <c r="E307" s="377"/>
      <c r="F307" s="377"/>
      <c r="G307" s="377"/>
      <c r="H307" s="377"/>
    </row>
    <row r="308" spans="1:8">
      <c r="A308" s="378" t="s">
        <v>502</v>
      </c>
      <c r="B308" s="377"/>
      <c r="C308" s="377"/>
      <c r="D308" s="377"/>
      <c r="E308" s="377"/>
      <c r="F308" s="377"/>
      <c r="G308" s="377"/>
      <c r="H308" s="377"/>
    </row>
    <row r="309" spans="1:8">
      <c r="A309" s="378" t="s">
        <v>503</v>
      </c>
      <c r="B309" s="377"/>
      <c r="C309" s="377"/>
      <c r="D309" s="377"/>
      <c r="E309" s="377"/>
      <c r="F309" s="377"/>
      <c r="G309" s="377"/>
      <c r="H309" s="377"/>
    </row>
    <row r="310" spans="1:8">
      <c r="A310" s="378" t="s">
        <v>504</v>
      </c>
      <c r="B310" s="377"/>
      <c r="C310" s="377"/>
      <c r="D310" s="377"/>
      <c r="E310" s="377"/>
      <c r="F310" s="377"/>
      <c r="G310" s="377"/>
      <c r="H310" s="377"/>
    </row>
    <row r="311" spans="1:8">
      <c r="A311" s="377"/>
      <c r="B311" s="377"/>
      <c r="C311" s="377"/>
      <c r="D311" s="377"/>
      <c r="E311" s="377"/>
      <c r="F311" s="377"/>
      <c r="G311" s="377"/>
      <c r="H311" s="377"/>
    </row>
    <row r="312" spans="1:8">
      <c r="A312" s="378" t="s">
        <v>462</v>
      </c>
      <c r="B312" s="377"/>
      <c r="C312" s="377"/>
      <c r="D312" s="377"/>
      <c r="E312" s="377"/>
      <c r="F312" s="377"/>
      <c r="G312" s="377"/>
      <c r="H312" s="377"/>
    </row>
    <row r="313" spans="1:8">
      <c r="A313" s="378" t="s">
        <v>463</v>
      </c>
      <c r="B313" s="377"/>
      <c r="C313" s="377"/>
      <c r="D313" s="377"/>
      <c r="E313" s="377"/>
      <c r="F313" s="377"/>
      <c r="G313" s="377"/>
      <c r="H313" s="377"/>
    </row>
    <row r="314" spans="1:8">
      <c r="A314" s="378" t="s">
        <v>464</v>
      </c>
      <c r="B314" s="377"/>
      <c r="C314" s="377"/>
      <c r="D314" s="377"/>
      <c r="E314" s="377"/>
      <c r="F314" s="377"/>
      <c r="G314" s="377"/>
      <c r="H314" s="377"/>
    </row>
    <row r="315" spans="1:8">
      <c r="A315" s="378" t="s">
        <v>465</v>
      </c>
      <c r="B315" s="377"/>
      <c r="C315" s="377"/>
      <c r="D315" s="377"/>
      <c r="E315" s="377"/>
      <c r="F315" s="377"/>
      <c r="G315" s="377"/>
      <c r="H315" s="377"/>
    </row>
    <row r="316" spans="1:8">
      <c r="A316" s="378" t="s">
        <v>466</v>
      </c>
      <c r="B316" s="377"/>
      <c r="C316" s="377"/>
      <c r="D316" s="377"/>
      <c r="E316" s="377"/>
      <c r="F316" s="377"/>
      <c r="G316" s="377"/>
      <c r="H316" s="377"/>
    </row>
    <row r="317" spans="1:8">
      <c r="A317" s="378" t="s">
        <v>467</v>
      </c>
      <c r="B317" s="377"/>
      <c r="C317" s="377"/>
      <c r="D317" s="377"/>
      <c r="E317" s="377"/>
      <c r="F317" s="377"/>
      <c r="G317" s="377"/>
      <c r="H317" s="377"/>
    </row>
    <row r="318" spans="1:8">
      <c r="A318" s="378" t="s">
        <v>468</v>
      </c>
      <c r="B318" s="377"/>
      <c r="C318" s="377"/>
      <c r="D318" s="377"/>
      <c r="E318" s="377"/>
      <c r="F318" s="377"/>
      <c r="G318" s="377"/>
      <c r="H318" s="377"/>
    </row>
    <row r="319" spans="1:8">
      <c r="A319" s="378" t="s">
        <v>469</v>
      </c>
      <c r="B319" s="377"/>
      <c r="C319" s="377"/>
      <c r="D319" s="377"/>
      <c r="E319" s="377"/>
      <c r="F319" s="377"/>
      <c r="G319" s="377"/>
      <c r="H319" s="377"/>
    </row>
    <row r="320" spans="1:8">
      <c r="A320" s="378" t="s">
        <v>470</v>
      </c>
      <c r="B320" s="377"/>
      <c r="C320" s="377"/>
      <c r="D320" s="377"/>
      <c r="E320" s="377"/>
      <c r="F320" s="377"/>
      <c r="G320" s="377"/>
      <c r="H320" s="377"/>
    </row>
    <row r="321" spans="1:8">
      <c r="A321" s="378" t="s">
        <v>471</v>
      </c>
      <c r="B321" s="377"/>
      <c r="C321" s="377"/>
      <c r="D321" s="377"/>
      <c r="E321" s="377"/>
      <c r="F321" s="377"/>
      <c r="G321" s="377"/>
      <c r="H321" s="377"/>
    </row>
    <row r="322" spans="1:8">
      <c r="A322" s="378" t="s">
        <v>472</v>
      </c>
      <c r="B322" s="377"/>
      <c r="C322" s="377"/>
      <c r="D322" s="377"/>
      <c r="E322" s="377"/>
      <c r="F322" s="377"/>
      <c r="G322" s="377"/>
      <c r="H322" s="377"/>
    </row>
    <row r="323" spans="1:8">
      <c r="A323" s="378" t="s">
        <v>473</v>
      </c>
      <c r="B323" s="377"/>
      <c r="C323" s="377"/>
      <c r="D323" s="377"/>
      <c r="E323" s="377"/>
      <c r="F323" s="377"/>
      <c r="G323" s="377"/>
      <c r="H323" s="377"/>
    </row>
    <row r="324" spans="1:8">
      <c r="A324" s="378" t="s">
        <v>474</v>
      </c>
      <c r="B324" s="377"/>
      <c r="C324" s="377"/>
      <c r="D324" s="377"/>
      <c r="E324" s="377"/>
      <c r="F324" s="377"/>
      <c r="G324" s="377"/>
      <c r="H324" s="377"/>
    </row>
    <row r="325" spans="1:8">
      <c r="A325" s="378" t="s">
        <v>475</v>
      </c>
      <c r="B325" s="377"/>
      <c r="C325" s="377"/>
      <c r="D325" s="377"/>
      <c r="E325" s="377"/>
      <c r="F325" s="377"/>
      <c r="G325" s="377"/>
      <c r="H325" s="377"/>
    </row>
    <row r="326" spans="1:8">
      <c r="A326" s="378" t="s">
        <v>476</v>
      </c>
      <c r="B326" s="377"/>
      <c r="C326" s="377"/>
      <c r="D326" s="377"/>
      <c r="E326" s="377"/>
      <c r="F326" s="377"/>
      <c r="G326" s="377"/>
      <c r="H326" s="377"/>
    </row>
    <row r="327" spans="1:8">
      <c r="A327" s="378" t="s">
        <v>477</v>
      </c>
      <c r="B327" s="377"/>
      <c r="C327" s="377"/>
      <c r="D327" s="377"/>
      <c r="E327" s="377"/>
      <c r="F327" s="377"/>
      <c r="G327" s="377"/>
      <c r="H327" s="377"/>
    </row>
    <row r="328" spans="1:8">
      <c r="A328" s="378" t="s">
        <v>478</v>
      </c>
      <c r="B328" s="377"/>
      <c r="C328" s="377"/>
      <c r="D328" s="377"/>
      <c r="E328" s="377"/>
      <c r="F328" s="377"/>
      <c r="G328" s="377"/>
      <c r="H328" s="377"/>
    </row>
    <row r="329" spans="1:8">
      <c r="A329" s="378" t="s">
        <v>479</v>
      </c>
      <c r="B329" s="377"/>
      <c r="C329" s="377"/>
      <c r="D329" s="377"/>
      <c r="E329" s="377"/>
      <c r="F329" s="377"/>
      <c r="G329" s="377"/>
      <c r="H329" s="377"/>
    </row>
    <row r="330" spans="1:8">
      <c r="A330" s="378" t="s">
        <v>480</v>
      </c>
      <c r="B330" s="377"/>
      <c r="C330" s="377"/>
      <c r="D330" s="377"/>
      <c r="E330" s="377"/>
      <c r="F330" s="377"/>
      <c r="G330" s="377"/>
      <c r="H330" s="377"/>
    </row>
    <row r="331" spans="1:8">
      <c r="A331" s="378" t="s">
        <v>481</v>
      </c>
      <c r="B331" s="377"/>
      <c r="C331" s="377"/>
      <c r="D331" s="377"/>
      <c r="E331" s="377"/>
      <c r="F331" s="377"/>
      <c r="G331" s="377"/>
      <c r="H331" s="377"/>
    </row>
    <row r="332" spans="1:8">
      <c r="A332" s="378" t="s">
        <v>482</v>
      </c>
      <c r="B332" s="377"/>
      <c r="C332" s="377"/>
      <c r="D332" s="377"/>
      <c r="E332" s="377"/>
      <c r="F332" s="377"/>
      <c r="G332" s="377"/>
      <c r="H332" s="377"/>
    </row>
    <row r="333" spans="1:8">
      <c r="A333" s="378" t="s">
        <v>483</v>
      </c>
      <c r="B333" s="377"/>
      <c r="C333" s="377"/>
      <c r="D333" s="377"/>
      <c r="E333" s="377"/>
      <c r="F333" s="377"/>
      <c r="G333" s="377"/>
      <c r="H333" s="377"/>
    </row>
    <row r="334" spans="1:8">
      <c r="A334" s="378" t="s">
        <v>484</v>
      </c>
      <c r="B334" s="377"/>
      <c r="C334" s="377"/>
      <c r="D334" s="377"/>
      <c r="E334" s="377"/>
      <c r="F334" s="377"/>
      <c r="G334" s="377"/>
      <c r="H334" s="377"/>
    </row>
    <row r="335" spans="1:8">
      <c r="A335" s="378" t="s">
        <v>485</v>
      </c>
      <c r="B335" s="377"/>
      <c r="C335" s="377"/>
      <c r="D335" s="377"/>
      <c r="E335" s="377"/>
      <c r="F335" s="377"/>
      <c r="G335" s="377"/>
      <c r="H335" s="377"/>
    </row>
    <row r="336" spans="1:8">
      <c r="A336" s="378" t="s">
        <v>486</v>
      </c>
      <c r="B336" s="377"/>
      <c r="C336" s="377"/>
      <c r="D336" s="377"/>
      <c r="E336" s="377"/>
      <c r="F336" s="377"/>
      <c r="G336" s="377"/>
      <c r="H336" s="377"/>
    </row>
    <row r="337" spans="1:8">
      <c r="A337" s="378" t="s">
        <v>487</v>
      </c>
      <c r="B337" s="377"/>
      <c r="C337" s="377"/>
      <c r="D337" s="377"/>
      <c r="E337" s="377"/>
      <c r="F337" s="377"/>
      <c r="G337" s="377"/>
      <c r="H337" s="377"/>
    </row>
    <row r="338" spans="1:8">
      <c r="A338" s="378" t="s">
        <v>488</v>
      </c>
      <c r="B338" s="377"/>
      <c r="C338" s="377"/>
      <c r="D338" s="377"/>
      <c r="E338" s="377"/>
      <c r="F338" s="377"/>
      <c r="G338" s="377"/>
      <c r="H338" s="377"/>
    </row>
    <row r="339" spans="1:8">
      <c r="A339" s="378" t="s">
        <v>489</v>
      </c>
      <c r="B339" s="377"/>
      <c r="C339" s="377"/>
      <c r="D339" s="377"/>
      <c r="E339" s="377"/>
      <c r="F339" s="377"/>
      <c r="G339" s="377"/>
      <c r="H339" s="377"/>
    </row>
    <row r="340" spans="1:8">
      <c r="A340" s="378" t="s">
        <v>490</v>
      </c>
      <c r="B340" s="377"/>
      <c r="C340" s="377"/>
      <c r="D340" s="377"/>
      <c r="E340" s="377"/>
      <c r="F340" s="377"/>
      <c r="G340" s="377"/>
      <c r="H340" s="377"/>
    </row>
    <row r="341" spans="1:8">
      <c r="A341" s="378" t="s">
        <v>491</v>
      </c>
      <c r="B341" s="377"/>
      <c r="C341" s="377"/>
      <c r="D341" s="377"/>
      <c r="E341" s="377"/>
      <c r="F341" s="377"/>
      <c r="G341" s="377"/>
      <c r="H341" s="377"/>
    </row>
    <row r="342" spans="1:8">
      <c r="A342" s="378" t="s">
        <v>492</v>
      </c>
      <c r="B342" s="377"/>
      <c r="C342" s="377"/>
      <c r="D342" s="377"/>
      <c r="E342" s="377"/>
      <c r="F342" s="377"/>
      <c r="G342" s="377"/>
      <c r="H342" s="377"/>
    </row>
    <row r="343" spans="1:8">
      <c r="A343" s="378" t="s">
        <v>493</v>
      </c>
      <c r="B343" s="377"/>
      <c r="C343" s="377"/>
      <c r="D343" s="377"/>
      <c r="E343" s="377"/>
      <c r="F343" s="377"/>
      <c r="G343" s="377"/>
      <c r="H343" s="377"/>
    </row>
    <row r="344" spans="1:8">
      <c r="A344" s="378" t="s">
        <v>494</v>
      </c>
      <c r="B344" s="377"/>
      <c r="C344" s="377"/>
      <c r="D344" s="377"/>
      <c r="E344" s="377"/>
      <c r="F344" s="377"/>
      <c r="G344" s="377"/>
      <c r="H344" s="377"/>
    </row>
    <row r="345" spans="1:8">
      <c r="A345" s="378" t="s">
        <v>495</v>
      </c>
      <c r="B345" s="377"/>
      <c r="C345" s="377"/>
      <c r="D345" s="377"/>
      <c r="E345" s="377"/>
      <c r="F345" s="377"/>
      <c r="G345" s="377"/>
      <c r="H345" s="377"/>
    </row>
    <row r="346" spans="1:8">
      <c r="A346" s="378" t="s">
        <v>496</v>
      </c>
      <c r="B346" s="377"/>
      <c r="C346" s="377"/>
      <c r="D346" s="377"/>
      <c r="E346" s="377"/>
      <c r="F346" s="377"/>
      <c r="G346" s="377"/>
      <c r="H346" s="377"/>
    </row>
    <row r="347" spans="1:8">
      <c r="A347" s="377"/>
      <c r="B347" s="377"/>
      <c r="C347" s="377"/>
      <c r="D347" s="377"/>
      <c r="E347" s="377"/>
      <c r="F347" s="377"/>
      <c r="G347" s="377"/>
      <c r="H347" s="377"/>
    </row>
    <row r="348" spans="1:8">
      <c r="A348" s="378" t="s">
        <v>454</v>
      </c>
      <c r="B348" s="377"/>
      <c r="C348" s="377"/>
      <c r="D348" s="377"/>
      <c r="E348" s="377"/>
      <c r="F348" s="377"/>
      <c r="G348" s="377"/>
      <c r="H348" s="377"/>
    </row>
    <row r="349" spans="1:8">
      <c r="A349" s="378" t="s">
        <v>458</v>
      </c>
      <c r="B349" s="377"/>
      <c r="C349" s="377"/>
      <c r="D349" s="377"/>
      <c r="E349" s="377"/>
      <c r="F349" s="377"/>
      <c r="G349" s="377"/>
      <c r="H349" s="377"/>
    </row>
    <row r="350" spans="1:8">
      <c r="A350" s="378" t="s">
        <v>459</v>
      </c>
      <c r="B350" s="377"/>
      <c r="C350" s="377"/>
      <c r="D350" s="377"/>
      <c r="E350" s="377"/>
      <c r="F350" s="377"/>
      <c r="G350" s="377"/>
      <c r="H350" s="377"/>
    </row>
    <row r="351" spans="1:8">
      <c r="A351" s="378" t="s">
        <v>460</v>
      </c>
      <c r="B351" s="377"/>
      <c r="C351" s="377"/>
      <c r="D351" s="377"/>
      <c r="E351" s="377"/>
      <c r="F351" s="377"/>
      <c r="G351" s="377"/>
      <c r="H351" s="377"/>
    </row>
    <row r="352" spans="1:8">
      <c r="A352" s="378" t="s">
        <v>461</v>
      </c>
      <c r="B352" s="377"/>
      <c r="C352" s="377"/>
      <c r="D352" s="377"/>
      <c r="E352" s="377"/>
      <c r="F352" s="377"/>
      <c r="G352" s="377"/>
      <c r="H352" s="377"/>
    </row>
    <row r="353" spans="1:8">
      <c r="A353" s="377"/>
      <c r="B353" s="377"/>
      <c r="C353" s="377"/>
      <c r="D353" s="377"/>
      <c r="E353" s="377"/>
      <c r="F353" s="377"/>
      <c r="G353" s="377"/>
      <c r="H353" s="377"/>
    </row>
    <row r="354" spans="1:8">
      <c r="A354" s="378" t="s">
        <v>454</v>
      </c>
      <c r="B354" s="377"/>
      <c r="C354" s="377"/>
      <c r="D354" s="377"/>
      <c r="E354" s="377"/>
      <c r="F354" s="377"/>
      <c r="G354" s="377"/>
      <c r="H354" s="377"/>
    </row>
    <row r="355" spans="1:8">
      <c r="A355" s="378" t="s">
        <v>455</v>
      </c>
      <c r="B355" s="377"/>
      <c r="C355" s="377"/>
      <c r="D355" s="377"/>
      <c r="E355" s="377"/>
      <c r="F355" s="377"/>
      <c r="G355" s="377"/>
      <c r="H355" s="377"/>
    </row>
    <row r="356" spans="1:8">
      <c r="A356" s="378" t="s">
        <v>456</v>
      </c>
      <c r="B356" s="377"/>
      <c r="C356" s="377"/>
      <c r="D356" s="377"/>
      <c r="E356" s="377"/>
      <c r="F356" s="377"/>
      <c r="G356" s="377"/>
      <c r="H356" s="377"/>
    </row>
    <row r="357" spans="1:8">
      <c r="A357" s="378" t="s">
        <v>457</v>
      </c>
      <c r="B357" s="377"/>
      <c r="C357" s="377"/>
      <c r="D357" s="377"/>
      <c r="E357" s="377"/>
      <c r="F357" s="377"/>
      <c r="G357" s="377"/>
      <c r="H357" s="377"/>
    </row>
    <row r="358" spans="1:8">
      <c r="A358" s="377"/>
      <c r="B358" s="377"/>
      <c r="C358" s="377"/>
      <c r="D358" s="377"/>
      <c r="E358" s="377"/>
      <c r="F358" s="377"/>
      <c r="G358" s="377"/>
      <c r="H358" s="377"/>
    </row>
    <row r="359" spans="1:8">
      <c r="A359" s="378" t="s">
        <v>448</v>
      </c>
      <c r="B359" s="377"/>
      <c r="C359" s="377"/>
      <c r="D359" s="377"/>
      <c r="E359" s="377"/>
      <c r="F359" s="377"/>
      <c r="G359" s="377"/>
      <c r="H359" s="377"/>
    </row>
    <row r="360" spans="1:8">
      <c r="A360" s="378" t="s">
        <v>449</v>
      </c>
      <c r="B360" s="377"/>
      <c r="C360" s="377"/>
      <c r="D360" s="377"/>
      <c r="E360" s="377"/>
      <c r="F360" s="377"/>
      <c r="G360" s="377"/>
      <c r="H360" s="377"/>
    </row>
    <row r="361" spans="1:8">
      <c r="A361" s="378" t="s">
        <v>450</v>
      </c>
      <c r="B361" s="377"/>
      <c r="C361" s="377"/>
      <c r="D361" s="377"/>
      <c r="E361" s="377"/>
      <c r="F361" s="377"/>
      <c r="G361" s="377"/>
      <c r="H361" s="377"/>
    </row>
    <row r="362" spans="1:8">
      <c r="A362" s="378" t="s">
        <v>451</v>
      </c>
      <c r="B362" s="377"/>
      <c r="C362" s="377"/>
      <c r="D362" s="377"/>
      <c r="E362" s="377"/>
      <c r="F362" s="377"/>
      <c r="G362" s="377"/>
      <c r="H362" s="377"/>
    </row>
    <row r="363" spans="1:8">
      <c r="A363" s="378" t="s">
        <v>452</v>
      </c>
      <c r="B363" s="377"/>
      <c r="C363" s="377"/>
      <c r="D363" s="377"/>
      <c r="E363" s="377"/>
      <c r="F363" s="377"/>
      <c r="G363" s="377"/>
      <c r="H363" s="377"/>
    </row>
    <row r="364" spans="1:8">
      <c r="A364" s="378" t="s">
        <v>453</v>
      </c>
      <c r="B364" s="377"/>
      <c r="C364" s="377"/>
      <c r="D364" s="377"/>
      <c r="E364" s="377"/>
      <c r="F364" s="377"/>
      <c r="G364" s="377"/>
      <c r="H364" s="377"/>
    </row>
    <row r="365" spans="1:8">
      <c r="A365" s="377"/>
      <c r="B365" s="377"/>
      <c r="C365" s="377"/>
      <c r="D365" s="377"/>
      <c r="E365" s="377"/>
      <c r="F365" s="377"/>
      <c r="G365" s="377"/>
      <c r="H365" s="377"/>
    </row>
    <row r="366" spans="1:8">
      <c r="A366" s="378" t="s">
        <v>443</v>
      </c>
      <c r="B366" s="377"/>
      <c r="C366" s="377"/>
      <c r="D366" s="377"/>
      <c r="E366" s="377"/>
      <c r="F366" s="377"/>
      <c r="G366" s="377"/>
      <c r="H366" s="377"/>
    </row>
    <row r="367" spans="1:8">
      <c r="A367" s="378" t="s">
        <v>444</v>
      </c>
      <c r="B367" s="377"/>
      <c r="C367" s="377"/>
      <c r="D367" s="377"/>
      <c r="E367" s="377"/>
      <c r="F367" s="377"/>
      <c r="G367" s="377"/>
      <c r="H367" s="377"/>
    </row>
    <row r="368" spans="1:8">
      <c r="A368" s="378" t="s">
        <v>445</v>
      </c>
      <c r="B368" s="377"/>
      <c r="C368" s="377"/>
      <c r="D368" s="377"/>
      <c r="E368" s="377"/>
      <c r="F368" s="377"/>
      <c r="G368" s="377"/>
      <c r="H368" s="377"/>
    </row>
    <row r="369" spans="1:8">
      <c r="A369" s="378" t="s">
        <v>446</v>
      </c>
      <c r="B369" s="377"/>
      <c r="C369" s="377"/>
      <c r="D369" s="377"/>
      <c r="E369" s="377"/>
      <c r="F369" s="377"/>
      <c r="G369" s="377"/>
      <c r="H369" s="377"/>
    </row>
    <row r="370" spans="1:8">
      <c r="A370" s="378" t="s">
        <v>447</v>
      </c>
      <c r="B370" s="377"/>
      <c r="C370" s="377"/>
      <c r="D370" s="377"/>
      <c r="E370" s="377"/>
      <c r="F370" s="377"/>
      <c r="G370" s="377"/>
      <c r="H370" s="377"/>
    </row>
    <row r="371" spans="1:8">
      <c r="A371" s="377"/>
      <c r="B371" s="377"/>
      <c r="C371" s="377"/>
      <c r="D371" s="377"/>
      <c r="E371" s="377"/>
      <c r="F371" s="377"/>
      <c r="G371" s="377"/>
      <c r="H371" s="377"/>
    </row>
    <row r="372" spans="1:8">
      <c r="A372" s="378" t="s">
        <v>441</v>
      </c>
      <c r="B372" s="377"/>
      <c r="C372" s="377"/>
      <c r="D372" s="377"/>
      <c r="E372" s="377"/>
      <c r="F372" s="377"/>
      <c r="G372" s="377"/>
      <c r="H372" s="377"/>
    </row>
    <row r="373" spans="1:8">
      <c r="A373" s="378" t="s">
        <v>442</v>
      </c>
      <c r="B373" s="377"/>
      <c r="C373" s="377"/>
      <c r="D373" s="377"/>
      <c r="E373" s="377"/>
      <c r="F373" s="377"/>
      <c r="G373" s="377"/>
      <c r="H373" s="377"/>
    </row>
    <row r="375" spans="1:8">
      <c r="A375" s="373" t="s">
        <v>686</v>
      </c>
    </row>
  </sheetData>
  <mergeCells count="12">
    <mergeCell ref="A116:H116"/>
    <mergeCell ref="A117:H117"/>
    <mergeCell ref="B109:C109"/>
    <mergeCell ref="D109:F109"/>
    <mergeCell ref="G109:H109"/>
    <mergeCell ref="A95:H95"/>
    <mergeCell ref="A96:H96"/>
    <mergeCell ref="A97:H97"/>
    <mergeCell ref="A98:H98"/>
    <mergeCell ref="A100:H100"/>
    <mergeCell ref="A101:H101"/>
    <mergeCell ref="A108:H10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IW375"/>
  <sheetViews>
    <sheetView showGridLines="0" zoomScale="115" zoomScaleNormal="115" zoomScaleSheetLayoutView="70" workbookViewId="0">
      <pane xSplit="2" ySplit="7" topLeftCell="Y8" activePane="bottomRight" state="frozen"/>
      <selection activeCell="CP132" sqref="CP132"/>
      <selection pane="topRight" activeCell="CP132" sqref="CP132"/>
      <selection pane="bottomLeft" activeCell="CP132" sqref="CP132"/>
      <selection pane="bottomRight" activeCell="Y8" sqref="Y8"/>
    </sheetView>
  </sheetViews>
  <sheetFormatPr defaultRowHeight="12.75" outlineLevelRow="2" outlineLevelCol="1"/>
  <cols>
    <col min="1" max="1" width="1.1640625" style="2" customWidth="1"/>
    <col min="2" max="2" width="39.1640625" style="1" customWidth="1"/>
    <col min="3" max="4" width="10.1640625" style="1" hidden="1" customWidth="1" outlineLevel="1" collapsed="1"/>
    <col min="5" max="10" width="10.1640625" style="1" hidden="1" customWidth="1" outlineLevel="1"/>
    <col min="11" max="12" width="10.1640625" style="1" hidden="1" customWidth="1" outlineLevel="1" collapsed="1"/>
    <col min="13" max="20" width="10.1640625" style="1" hidden="1" customWidth="1" outlineLevel="1"/>
    <col min="21" max="24" width="10.1640625" style="1" hidden="1" customWidth="1" outlineLevel="1" collapsed="1"/>
    <col min="25" max="25" width="10.1640625" style="1" customWidth="1" collapsed="1"/>
    <col min="26" max="32" width="10.1640625" style="1" customWidth="1"/>
    <col min="33" max="33" width="9.6640625" style="3" customWidth="1"/>
    <col min="34" max="109" width="9.5" style="1" hidden="1" customWidth="1" outlineLevel="1"/>
    <col min="110" max="110" width="9.5" style="1" hidden="1" customWidth="1" outlineLevel="1" collapsed="1"/>
    <col min="111" max="114" width="9.5" style="1" hidden="1" customWidth="1" outlineLevel="1"/>
    <col min="115" max="115" width="9.5" style="1" hidden="1" customWidth="1" outlineLevel="1" collapsed="1"/>
    <col min="116" max="118" width="9.5" style="1" hidden="1" customWidth="1" outlineLevel="1"/>
    <col min="119" max="119" width="9.5" style="1" hidden="1" customWidth="1" outlineLevel="1" collapsed="1"/>
    <col min="120" max="121" width="9.5" style="1" hidden="1" customWidth="1" outlineLevel="1"/>
    <col min="122" max="123" width="9.5" style="1" hidden="1" customWidth="1" outlineLevel="1" collapsed="1"/>
    <col min="124" max="125" width="9.5" style="1" hidden="1" customWidth="1" outlineLevel="1"/>
    <col min="126" max="127" width="9.5" style="1" hidden="1" customWidth="1" outlineLevel="1" collapsed="1"/>
    <col min="128" max="129" width="9.5" style="1" hidden="1" customWidth="1" outlineLevel="1"/>
    <col min="130" max="130" width="9.5" style="1" customWidth="1" collapsed="1"/>
    <col min="131" max="147" width="9.5" style="1" customWidth="1"/>
    <col min="148" max="148" width="9.33203125" style="1"/>
    <col min="149" max="149" width="9.33203125" style="1" hidden="1" customWidth="1" outlineLevel="1"/>
    <col min="150" max="150" width="34.1640625" hidden="1" customWidth="1" outlineLevel="1"/>
    <col min="151" max="155" width="10.6640625" hidden="1" customWidth="1" outlineLevel="1"/>
    <col min="156" max="156" width="9.33203125" style="1" collapsed="1"/>
    <col min="157" max="157" width="9.33203125" style="1"/>
    <col min="158" max="158" width="35" style="1" customWidth="1"/>
    <col min="159" max="16384" width="9.33203125" style="1"/>
  </cols>
  <sheetData>
    <row r="1" spans="1:257" ht="15.75">
      <c r="A1" s="15"/>
      <c r="B1" s="342" t="s">
        <v>380</v>
      </c>
      <c r="C1" s="10"/>
      <c r="D1" s="10"/>
      <c r="E1" s="341">
        <f t="shared" ref="E1:AF1" si="0">E52</f>
        <v>0.23419179660180239</v>
      </c>
      <c r="F1" s="341">
        <f t="shared" si="0"/>
        <v>0.21472599934469189</v>
      </c>
      <c r="G1" s="341">
        <f t="shared" si="0"/>
        <v>0.16207817085099435</v>
      </c>
      <c r="H1" s="341">
        <f t="shared" si="0"/>
        <v>0.45646010530579184</v>
      </c>
      <c r="I1" s="341">
        <f t="shared" si="0"/>
        <v>0.83254880243666074</v>
      </c>
      <c r="J1" s="341">
        <f t="shared" si="0"/>
        <v>0.7686799169385945</v>
      </c>
      <c r="K1" s="341">
        <f t="shared" si="0"/>
        <v>0.35054298733364136</v>
      </c>
      <c r="L1" s="341">
        <f t="shared" si="0"/>
        <v>0.74497851503947254</v>
      </c>
      <c r="M1" s="341">
        <f t="shared" si="0"/>
        <v>1.4110500866619398</v>
      </c>
      <c r="N1" s="341">
        <f t="shared" si="0"/>
        <v>0.38155338166650138</v>
      </c>
      <c r="O1" s="341">
        <f t="shared" si="0"/>
        <v>0.14656593406593382</v>
      </c>
      <c r="P1" s="341">
        <f t="shared" si="0"/>
        <v>0.13866848307202054</v>
      </c>
      <c r="Q1" s="341">
        <f t="shared" si="0"/>
        <v>1.0000109545865135</v>
      </c>
      <c r="R1" s="341">
        <f t="shared" si="0"/>
        <v>2.6026929711285596</v>
      </c>
      <c r="S1" s="341">
        <f t="shared" si="0"/>
        <v>3.519697511604897</v>
      </c>
      <c r="T1" s="341">
        <f t="shared" si="0"/>
        <v>4.1371455686687213</v>
      </c>
      <c r="U1" s="341">
        <f t="shared" si="0"/>
        <v>3.2764693800994089</v>
      </c>
      <c r="V1" s="341">
        <f t="shared" si="0"/>
        <v>2.5543645971552951</v>
      </c>
      <c r="W1" s="341">
        <f t="shared" si="0"/>
        <v>3.966532799708764</v>
      </c>
      <c r="X1" s="341">
        <f t="shared" si="0"/>
        <v>5.1468238638854871</v>
      </c>
      <c r="Y1" s="341">
        <f t="shared" si="0"/>
        <v>5.5318105238248734</v>
      </c>
      <c r="Z1" s="341">
        <f t="shared" si="0"/>
        <v>6.1219377713797183</v>
      </c>
      <c r="AA1" s="341">
        <f t="shared" si="0"/>
        <v>2.8811950846980543</v>
      </c>
      <c r="AB1" s="341">
        <f t="shared" si="0"/>
        <v>-1.0303717818134761</v>
      </c>
      <c r="AC1" s="341">
        <f t="shared" si="0"/>
        <v>-1.2778571445037434</v>
      </c>
      <c r="AD1" s="341">
        <f t="shared" si="0"/>
        <v>0.18430672585999661</v>
      </c>
      <c r="AE1" s="341">
        <f t="shared" si="0"/>
        <v>1.7424644308798487</v>
      </c>
      <c r="AF1" s="341">
        <f t="shared" si="0"/>
        <v>2.2906173325718067</v>
      </c>
      <c r="AG1" s="339"/>
      <c r="AH1" s="341">
        <f t="shared" ref="AH1:BM1" si="1">AH52</f>
        <v>6.5042041218944996E-2</v>
      </c>
      <c r="AI1" s="341">
        <f t="shared" si="1"/>
        <v>7.1346353426458647E-2</v>
      </c>
      <c r="AJ1" s="341">
        <f t="shared" si="1"/>
        <v>5.0934768006919227E-2</v>
      </c>
      <c r="AK1" s="341">
        <f t="shared" si="1"/>
        <v>4.6945711477759874E-2</v>
      </c>
      <c r="AL1" s="341">
        <f t="shared" si="1"/>
        <v>7.4411112934996762E-2</v>
      </c>
      <c r="AM1" s="341">
        <f t="shared" si="1"/>
        <v>6.3042854801704282E-2</v>
      </c>
      <c r="AN1" s="341">
        <f t="shared" si="1"/>
        <v>4.7663857294820491E-2</v>
      </c>
      <c r="AO1" s="341">
        <f t="shared" si="1"/>
        <v>2.968788349832252E-2</v>
      </c>
      <c r="AP1" s="341">
        <f t="shared" si="1"/>
        <v>4.5099881531108374E-2</v>
      </c>
      <c r="AQ1" s="341">
        <f t="shared" si="1"/>
        <v>4.8000517614955808E-2</v>
      </c>
      <c r="AR1" s="341">
        <f t="shared" si="1"/>
        <v>3.9683039107411631E-2</v>
      </c>
      <c r="AS1" s="341">
        <f t="shared" si="1"/>
        <v>2.9345395405570119E-2</v>
      </c>
      <c r="AT1" s="341">
        <f t="shared" si="1"/>
        <v>9.620777953908069E-2</v>
      </c>
      <c r="AU1" s="341">
        <f t="shared" si="1"/>
        <v>9.9391604137091819E-2</v>
      </c>
      <c r="AV1" s="341">
        <f t="shared" si="1"/>
        <v>0.12431798892616094</v>
      </c>
      <c r="AW1" s="341">
        <f t="shared" si="1"/>
        <v>0.13637465164182749</v>
      </c>
      <c r="AX1" s="341">
        <f t="shared" si="1"/>
        <v>0.19932057681641707</v>
      </c>
      <c r="AY1" s="341">
        <f t="shared" si="1"/>
        <v>0.22249349927549178</v>
      </c>
      <c r="AZ1" s="341">
        <f t="shared" si="1"/>
        <v>0.23399960419552748</v>
      </c>
      <c r="BA1" s="341">
        <f t="shared" si="1"/>
        <v>0.1769680045623494</v>
      </c>
      <c r="BB1" s="341">
        <f t="shared" si="1"/>
        <v>0.24957897622684377</v>
      </c>
      <c r="BC1" s="341">
        <f t="shared" si="1"/>
        <v>0.19104309510166176</v>
      </c>
      <c r="BD1" s="341">
        <f t="shared" si="1"/>
        <v>0.20499208547684994</v>
      </c>
      <c r="BE1" s="341">
        <f t="shared" si="1"/>
        <v>0.12178039764212339</v>
      </c>
      <c r="BF1" s="341">
        <f t="shared" si="1"/>
        <v>6.4835695876288596E-2</v>
      </c>
      <c r="BG1" s="341">
        <f t="shared" si="1"/>
        <v>7.4121869580997729E-2</v>
      </c>
      <c r="BH1" s="341">
        <f t="shared" si="1"/>
        <v>0.11479382372378975</v>
      </c>
      <c r="BI1" s="341">
        <f t="shared" si="1"/>
        <v>9.6551310981089725E-2</v>
      </c>
      <c r="BJ1" s="341">
        <f t="shared" si="1"/>
        <v>0.18795715778474389</v>
      </c>
      <c r="BK1" s="341">
        <f t="shared" si="1"/>
        <v>0.13322830537047448</v>
      </c>
      <c r="BL1" s="341">
        <f t="shared" si="1"/>
        <v>0.18473131980807131</v>
      </c>
      <c r="BM1" s="341">
        <f t="shared" si="1"/>
        <v>0.23856793656471706</v>
      </c>
      <c r="BN1" s="341">
        <f t="shared" ref="BN1:CS1" si="2">BN52</f>
        <v>0.33550792171481819</v>
      </c>
      <c r="BO1" s="341">
        <f t="shared" si="2"/>
        <v>0.40746788165587922</v>
      </c>
      <c r="BP1" s="341">
        <f t="shared" si="2"/>
        <v>0.38057983455595457</v>
      </c>
      <c r="BQ1" s="341">
        <f t="shared" si="2"/>
        <v>0.28601935663556594</v>
      </c>
      <c r="BR1" s="341">
        <f t="shared" si="2"/>
        <v>0.18098765925156754</v>
      </c>
      <c r="BS1" s="341">
        <f t="shared" si="2"/>
        <v>7.7638515865910668E-2</v>
      </c>
      <c r="BT1" s="341">
        <f t="shared" si="2"/>
        <v>7.0026100367777899E-2</v>
      </c>
      <c r="BU1" s="341">
        <f t="shared" si="2"/>
        <v>5.3542438715047269E-2</v>
      </c>
      <c r="BV1" s="341">
        <f t="shared" si="2"/>
        <v>6.0138308201399572E-3</v>
      </c>
      <c r="BW1" s="341">
        <f t="shared" si="2"/>
        <v>2.5465482102930464E-2</v>
      </c>
      <c r="BX1" s="341">
        <f t="shared" si="2"/>
        <v>8.0523273021447836E-2</v>
      </c>
      <c r="BY1" s="341">
        <f t="shared" si="2"/>
        <v>3.4404773646316181E-2</v>
      </c>
      <c r="BZ1" s="341">
        <f t="shared" si="2"/>
        <v>3.8181163281820411E-2</v>
      </c>
      <c r="CA1" s="341">
        <f t="shared" si="2"/>
        <v>2.3272793352061727E-2</v>
      </c>
      <c r="CB1" s="341">
        <f t="shared" si="2"/>
        <v>4.2247051886792501E-2</v>
      </c>
      <c r="CC1" s="341">
        <f t="shared" si="2"/>
        <v>3.4986636008097143E-2</v>
      </c>
      <c r="CD1" s="341">
        <f t="shared" si="2"/>
        <v>0.17315046043390045</v>
      </c>
      <c r="CE1" s="341">
        <f t="shared" si="2"/>
        <v>0.21003979495480923</v>
      </c>
      <c r="CF1" s="341">
        <f t="shared" si="2"/>
        <v>0.28207778160655483</v>
      </c>
      <c r="CG1" s="341">
        <f t="shared" si="2"/>
        <v>0.33223906346272353</v>
      </c>
      <c r="CH1" s="341">
        <f t="shared" si="2"/>
        <v>0.45643007167547295</v>
      </c>
      <c r="CI1" s="341">
        <f t="shared" si="2"/>
        <v>0.58669968147464024</v>
      </c>
      <c r="CJ1" s="341">
        <f t="shared" si="2"/>
        <v>0.68258252755616988</v>
      </c>
      <c r="CK1" s="341">
        <f t="shared" si="2"/>
        <v>0.87369038200723348</v>
      </c>
      <c r="CL1" s="341">
        <f t="shared" si="2"/>
        <v>0.89351836298388909</v>
      </c>
      <c r="CM1" s="341">
        <f t="shared" si="2"/>
        <v>0.7892998321123319</v>
      </c>
      <c r="CN1" s="341">
        <f t="shared" si="2"/>
        <v>0.86673288198038168</v>
      </c>
      <c r="CO1" s="341">
        <f t="shared" si="2"/>
        <v>0.97041991317370946</v>
      </c>
      <c r="CP1" s="341">
        <f t="shared" si="2"/>
        <v>0.987029872650666</v>
      </c>
      <c r="CQ1" s="341">
        <f t="shared" si="2"/>
        <v>0.9185819587142986</v>
      </c>
      <c r="CR1" s="341">
        <f t="shared" si="2"/>
        <v>1.1036037454657934</v>
      </c>
      <c r="CS1" s="341">
        <f t="shared" si="2"/>
        <v>1.126297110904007</v>
      </c>
      <c r="CT1" s="341">
        <f t="shared" ref="CT1:DY1" si="3">CT52</f>
        <v>1.3580308368802321</v>
      </c>
      <c r="CU1" s="341">
        <f t="shared" si="3"/>
        <v>0.96272608544503013</v>
      </c>
      <c r="CV1" s="341">
        <f t="shared" si="3"/>
        <v>0.48406472025386416</v>
      </c>
      <c r="CW1" s="341">
        <f t="shared" si="3"/>
        <v>0.47419052878899959</v>
      </c>
      <c r="CX1" s="341">
        <f t="shared" si="3"/>
        <v>0.584189373169959</v>
      </c>
      <c r="CY1" s="341">
        <f t="shared" si="3"/>
        <v>0.60889202113802943</v>
      </c>
      <c r="CZ1" s="341">
        <f t="shared" si="3"/>
        <v>0.5911930866311752</v>
      </c>
      <c r="DA1" s="341">
        <f t="shared" si="3"/>
        <v>0.76628430970913564</v>
      </c>
      <c r="DB1" s="341">
        <f t="shared" si="3"/>
        <v>0.94871815079924271</v>
      </c>
      <c r="DC1" s="341">
        <f t="shared" si="3"/>
        <v>0.92369584235001589</v>
      </c>
      <c r="DD1" s="341">
        <f t="shared" si="3"/>
        <v>1.0016036365641996</v>
      </c>
      <c r="DE1" s="341">
        <f t="shared" si="3"/>
        <v>1.092031310327076</v>
      </c>
      <c r="DF1" s="341">
        <f t="shared" si="3"/>
        <v>1.2940678199801452</v>
      </c>
      <c r="DG1" s="341">
        <f t="shared" si="3"/>
        <v>1.1349663432438872</v>
      </c>
      <c r="DH1" s="341">
        <f t="shared" si="3"/>
        <v>1.3601567904081149</v>
      </c>
      <c r="DI1" s="341">
        <f t="shared" si="3"/>
        <v>1.3593691052051629</v>
      </c>
      <c r="DJ1" s="341">
        <f t="shared" si="3"/>
        <v>1.3946286262242571</v>
      </c>
      <c r="DK1" s="341">
        <f t="shared" si="3"/>
        <v>1.3618981129274677</v>
      </c>
      <c r="DL1" s="341">
        <f t="shared" si="3"/>
        <v>1.4317733750208748</v>
      </c>
      <c r="DM1" s="341">
        <f t="shared" si="3"/>
        <v>1.3436497404147811</v>
      </c>
      <c r="DN1" s="341">
        <f t="shared" si="3"/>
        <v>1.4900856056070806</v>
      </c>
      <c r="DO1" s="341">
        <f t="shared" si="3"/>
        <v>1.427737186127741</v>
      </c>
      <c r="DP1" s="341">
        <f t="shared" si="3"/>
        <v>1.6091513016424934</v>
      </c>
      <c r="DQ1" s="341">
        <f t="shared" si="3"/>
        <v>1.5945013723696246</v>
      </c>
      <c r="DR1" s="341">
        <f t="shared" si="3"/>
        <v>1.6967112262616801</v>
      </c>
      <c r="DS1" s="341">
        <f t="shared" si="3"/>
        <v>0.95477746608840097</v>
      </c>
      <c r="DT1" s="341">
        <f t="shared" si="3"/>
        <v>0.27276327798725897</v>
      </c>
      <c r="DU1" s="341">
        <f t="shared" si="3"/>
        <v>-5.1395953220717328E-2</v>
      </c>
      <c r="DV1" s="341">
        <f t="shared" si="3"/>
        <v>4.4250016142571479E-2</v>
      </c>
      <c r="DW1" s="341">
        <f t="shared" si="3"/>
        <v>-0.27236184610845809</v>
      </c>
      <c r="DX1" s="341">
        <f t="shared" si="3"/>
        <v>-0.47264903236554401</v>
      </c>
      <c r="DY1" s="341">
        <f t="shared" si="3"/>
        <v>-0.33056493933195735</v>
      </c>
      <c r="DZ1" s="341">
        <f t="shared" ref="DZ1:EP1" si="4">DZ52</f>
        <v>-0.40386777088923825</v>
      </c>
      <c r="EA1" s="341">
        <f t="shared" si="4"/>
        <v>-0.47058720582139729</v>
      </c>
      <c r="EB1" s="341">
        <f t="shared" si="4"/>
        <v>-0.25721069889105824</v>
      </c>
      <c r="EC1" s="341">
        <f t="shared" si="4"/>
        <v>-0.1466169374148166</v>
      </c>
      <c r="ED1" s="341">
        <f t="shared" si="4"/>
        <v>-1.3379128282690224E-2</v>
      </c>
      <c r="EE1" s="341">
        <f t="shared" si="4"/>
        <v>-6.2580610870831443E-2</v>
      </c>
      <c r="EF1" s="341">
        <f t="shared" si="4"/>
        <v>4.6938761373299026E-2</v>
      </c>
      <c r="EG1" s="341">
        <f t="shared" si="4"/>
        <v>0.21176207395963029</v>
      </c>
      <c r="EH1" s="341">
        <f t="shared" si="4"/>
        <v>0.31721042944277777</v>
      </c>
      <c r="EI1" s="341">
        <f t="shared" si="4"/>
        <v>0.4177409027016854</v>
      </c>
      <c r="EJ1" s="341">
        <f t="shared" si="4"/>
        <v>0.47786432972573423</v>
      </c>
      <c r="EK1" s="341">
        <f t="shared" si="4"/>
        <v>0.52961390430426591</v>
      </c>
      <c r="EL1" s="341">
        <f t="shared" si="4"/>
        <v>0.60590462968308745</v>
      </c>
      <c r="EM1" s="341">
        <f t="shared" si="4"/>
        <v>0.57033108411670019</v>
      </c>
      <c r="EN1" s="341">
        <f t="shared" si="4"/>
        <v>0.55505377587690086</v>
      </c>
      <c r="EO1" s="341">
        <f t="shared" si="4"/>
        <v>0.55933559152953771</v>
      </c>
      <c r="EP1" s="341">
        <f t="shared" si="4"/>
        <v>0.54393060758872303</v>
      </c>
      <c r="EQ1" s="5"/>
      <c r="ER1" s="5"/>
      <c r="ES1" s="355" t="s">
        <v>394</v>
      </c>
    </row>
    <row r="2" spans="1:257" s="338" customFormat="1">
      <c r="A2" s="9"/>
      <c r="B2" s="340" t="s">
        <v>379</v>
      </c>
      <c r="X2" s="93">
        <f t="shared" ref="X2:AE2" si="5">MIN(X251,0)</f>
        <v>0</v>
      </c>
      <c r="Y2" s="93">
        <f t="shared" si="5"/>
        <v>0</v>
      </c>
      <c r="Z2" s="93">
        <f t="shared" si="5"/>
        <v>0</v>
      </c>
      <c r="AA2" s="93">
        <f t="shared" si="5"/>
        <v>0</v>
      </c>
      <c r="AB2" s="93">
        <f t="shared" si="5"/>
        <v>0</v>
      </c>
      <c r="AC2" s="93">
        <f t="shared" si="5"/>
        <v>0</v>
      </c>
      <c r="AD2" s="93">
        <f t="shared" si="5"/>
        <v>0</v>
      </c>
      <c r="AE2" s="93">
        <f t="shared" si="5"/>
        <v>0</v>
      </c>
      <c r="AG2" s="339"/>
      <c r="DE2" s="93">
        <f t="shared" ref="DE2:EP2" si="6">MIN(DE251,0)</f>
        <v>0</v>
      </c>
      <c r="DF2" s="93">
        <f t="shared" si="6"/>
        <v>0</v>
      </c>
      <c r="DG2" s="93">
        <f t="shared" si="6"/>
        <v>0</v>
      </c>
      <c r="DH2" s="93">
        <f t="shared" si="6"/>
        <v>0</v>
      </c>
      <c r="DI2" s="93">
        <f t="shared" si="6"/>
        <v>0</v>
      </c>
      <c r="DJ2" s="93">
        <f t="shared" si="6"/>
        <v>0</v>
      </c>
      <c r="DK2" s="93">
        <f t="shared" si="6"/>
        <v>0</v>
      </c>
      <c r="DL2" s="93">
        <f t="shared" si="6"/>
        <v>0</v>
      </c>
      <c r="DM2" s="93">
        <f t="shared" si="6"/>
        <v>0</v>
      </c>
      <c r="DN2" s="93">
        <f t="shared" si="6"/>
        <v>0</v>
      </c>
      <c r="DO2" s="93">
        <f t="shared" si="6"/>
        <v>0</v>
      </c>
      <c r="DP2" s="93">
        <f t="shared" si="6"/>
        <v>0</v>
      </c>
      <c r="DQ2" s="93">
        <f t="shared" si="6"/>
        <v>0</v>
      </c>
      <c r="DR2" s="93">
        <f t="shared" si="6"/>
        <v>0</v>
      </c>
      <c r="DS2" s="93">
        <f t="shared" si="6"/>
        <v>0</v>
      </c>
      <c r="DT2" s="93">
        <f t="shared" si="6"/>
        <v>0</v>
      </c>
      <c r="DU2" s="93">
        <f t="shared" si="6"/>
        <v>0</v>
      </c>
      <c r="DV2" s="93">
        <f t="shared" si="6"/>
        <v>0</v>
      </c>
      <c r="DW2" s="93">
        <f t="shared" si="6"/>
        <v>0</v>
      </c>
      <c r="DX2" s="93">
        <f t="shared" si="6"/>
        <v>0</v>
      </c>
      <c r="DY2" s="93">
        <f t="shared" si="6"/>
        <v>0</v>
      </c>
      <c r="DZ2" s="93">
        <f t="shared" si="6"/>
        <v>0</v>
      </c>
      <c r="EA2" s="93">
        <f t="shared" si="6"/>
        <v>0</v>
      </c>
      <c r="EB2" s="93">
        <f t="shared" si="6"/>
        <v>0</v>
      </c>
      <c r="EC2" s="93">
        <f t="shared" si="6"/>
        <v>0</v>
      </c>
      <c r="ED2" s="93">
        <f t="shared" si="6"/>
        <v>0</v>
      </c>
      <c r="EE2" s="93">
        <f t="shared" si="6"/>
        <v>0</v>
      </c>
      <c r="EF2" s="93">
        <f t="shared" si="6"/>
        <v>0</v>
      </c>
      <c r="EG2" s="93">
        <f t="shared" si="6"/>
        <v>0</v>
      </c>
      <c r="EH2" s="93">
        <f t="shared" si="6"/>
        <v>0</v>
      </c>
      <c r="EI2" s="93">
        <f t="shared" si="6"/>
        <v>0</v>
      </c>
      <c r="EJ2" s="93">
        <f t="shared" si="6"/>
        <v>0</v>
      </c>
      <c r="EK2" s="93">
        <f t="shared" si="6"/>
        <v>0</v>
      </c>
      <c r="EL2" s="93">
        <f t="shared" si="6"/>
        <v>0</v>
      </c>
      <c r="EM2" s="93">
        <f t="shared" si="6"/>
        <v>0</v>
      </c>
      <c r="EN2" s="93">
        <f t="shared" si="6"/>
        <v>0</v>
      </c>
      <c r="EO2" s="93">
        <f t="shared" si="6"/>
        <v>0</v>
      </c>
      <c r="EP2" s="93">
        <f t="shared" si="6"/>
        <v>0</v>
      </c>
      <c r="ES2" s="356"/>
      <c r="ET2"/>
      <c r="EU2"/>
      <c r="EV2"/>
      <c r="EW2"/>
      <c r="EX2"/>
      <c r="EY2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s="2" customFormat="1" ht="11.45" hidden="1" customHeight="1">
      <c r="A3" s="15"/>
      <c r="B3" s="336"/>
      <c r="C3" s="11"/>
      <c r="D3" s="11"/>
      <c r="E3" s="335">
        <f>SUM(AH3:AK3)</f>
        <v>365</v>
      </c>
      <c r="F3" s="335">
        <f>SUM(AL3:AO3)</f>
        <v>365</v>
      </c>
      <c r="G3" s="335">
        <f>SUM(AP3:AS3)</f>
        <v>365</v>
      </c>
      <c r="H3" s="335">
        <f>SUM(AT3:AW3)</f>
        <v>366</v>
      </c>
      <c r="I3" s="335">
        <f>SUM(AX3:BA3)</f>
        <v>365</v>
      </c>
      <c r="J3" s="335">
        <f>SUM(BB3:BE3)</f>
        <v>365</v>
      </c>
      <c r="K3" s="335">
        <f>SUM(BF3:BI3)</f>
        <v>365</v>
      </c>
      <c r="L3" s="335">
        <f>SUM(BJ3:BM3)</f>
        <v>366</v>
      </c>
      <c r="M3" s="335">
        <f>SUM(BN3:BQ3)</f>
        <v>365</v>
      </c>
      <c r="N3" s="335">
        <f>SUM(BR3:BU3)</f>
        <v>365</v>
      </c>
      <c r="O3" s="335">
        <f>SUM(BV3:BY3)</f>
        <v>365</v>
      </c>
      <c r="P3" s="337">
        <f>SUM(BZ3:CC3)</f>
        <v>366</v>
      </c>
      <c r="Q3" s="337">
        <f>SUM(CD3:CG3)</f>
        <v>365</v>
      </c>
      <c r="R3" s="337">
        <f>SUM(CH3:CK3)</f>
        <v>365</v>
      </c>
      <c r="S3" s="337">
        <f>SUM(CL3:CO3)</f>
        <v>365</v>
      </c>
      <c r="T3" s="337">
        <f>SUM(CP3:CS3)</f>
        <v>366</v>
      </c>
      <c r="U3" s="337">
        <f>SUM(CT3:CW3)</f>
        <v>365</v>
      </c>
      <c r="V3" s="337">
        <f>SUM(CX3:DA3)</f>
        <v>365</v>
      </c>
      <c r="W3" s="337">
        <f>SUM(DB3:DE3)</f>
        <v>365</v>
      </c>
      <c r="X3" s="337">
        <f>SUM(DF3:DI3)</f>
        <v>366</v>
      </c>
      <c r="Y3" s="337">
        <f>SUM(DJ3:DM3)</f>
        <v>365</v>
      </c>
      <c r="Z3" s="337">
        <f>SUM(DN3:DQ3)</f>
        <v>365</v>
      </c>
      <c r="AA3" s="337">
        <f>SUM(DR3:DU3)</f>
        <v>365</v>
      </c>
      <c r="AB3" s="337">
        <f>SUM(DV3:DY3)</f>
        <v>366</v>
      </c>
      <c r="AC3" s="337">
        <f>SUM(DZ3:EC3)</f>
        <v>365</v>
      </c>
      <c r="AD3" s="337">
        <f>SUM(EA3:ED3)</f>
        <v>365</v>
      </c>
      <c r="AE3" s="337">
        <f>SUM(EB3:EE3)</f>
        <v>365</v>
      </c>
      <c r="AF3" s="337">
        <f>SUM(EC3:EF3)</f>
        <v>365</v>
      </c>
      <c r="AG3" s="333"/>
      <c r="AH3" s="337">
        <v>92</v>
      </c>
      <c r="AI3" s="337">
        <f>AI7-AH7</f>
        <v>90</v>
      </c>
      <c r="AJ3" s="337">
        <f>AJ7-AI7</f>
        <v>91</v>
      </c>
      <c r="AK3" s="337">
        <f>AK7-AJ7</f>
        <v>92</v>
      </c>
      <c r="AL3" s="337">
        <v>92</v>
      </c>
      <c r="AM3" s="337">
        <f t="shared" ref="AM3:BR3" si="7">AM7-AL7</f>
        <v>90</v>
      </c>
      <c r="AN3" s="337">
        <f t="shared" si="7"/>
        <v>91</v>
      </c>
      <c r="AO3" s="337">
        <f t="shared" si="7"/>
        <v>92</v>
      </c>
      <c r="AP3" s="337">
        <f t="shared" si="7"/>
        <v>92</v>
      </c>
      <c r="AQ3" s="337">
        <f t="shared" si="7"/>
        <v>90</v>
      </c>
      <c r="AR3" s="337">
        <f t="shared" si="7"/>
        <v>91</v>
      </c>
      <c r="AS3" s="337">
        <f t="shared" si="7"/>
        <v>92</v>
      </c>
      <c r="AT3" s="337">
        <f t="shared" si="7"/>
        <v>92</v>
      </c>
      <c r="AU3" s="337">
        <f t="shared" si="7"/>
        <v>91</v>
      </c>
      <c r="AV3" s="337">
        <f t="shared" si="7"/>
        <v>91</v>
      </c>
      <c r="AW3" s="337">
        <f t="shared" si="7"/>
        <v>92</v>
      </c>
      <c r="AX3" s="337">
        <f t="shared" si="7"/>
        <v>92</v>
      </c>
      <c r="AY3" s="337">
        <f t="shared" si="7"/>
        <v>90</v>
      </c>
      <c r="AZ3" s="337">
        <f t="shared" si="7"/>
        <v>91</v>
      </c>
      <c r="BA3" s="337">
        <f t="shared" si="7"/>
        <v>92</v>
      </c>
      <c r="BB3" s="337">
        <f t="shared" si="7"/>
        <v>92</v>
      </c>
      <c r="BC3" s="337">
        <f t="shared" si="7"/>
        <v>90</v>
      </c>
      <c r="BD3" s="337">
        <f t="shared" si="7"/>
        <v>91</v>
      </c>
      <c r="BE3" s="337">
        <f t="shared" si="7"/>
        <v>92</v>
      </c>
      <c r="BF3" s="337">
        <f t="shared" si="7"/>
        <v>92</v>
      </c>
      <c r="BG3" s="337">
        <f t="shared" si="7"/>
        <v>90</v>
      </c>
      <c r="BH3" s="337">
        <f t="shared" si="7"/>
        <v>91</v>
      </c>
      <c r="BI3" s="337">
        <f t="shared" si="7"/>
        <v>92</v>
      </c>
      <c r="BJ3" s="337">
        <f t="shared" si="7"/>
        <v>92</v>
      </c>
      <c r="BK3" s="337">
        <f t="shared" si="7"/>
        <v>91</v>
      </c>
      <c r="BL3" s="337">
        <f t="shared" si="7"/>
        <v>91</v>
      </c>
      <c r="BM3" s="337">
        <f t="shared" si="7"/>
        <v>92</v>
      </c>
      <c r="BN3" s="337">
        <f t="shared" si="7"/>
        <v>92</v>
      </c>
      <c r="BO3" s="337">
        <f t="shared" si="7"/>
        <v>90</v>
      </c>
      <c r="BP3" s="337">
        <f t="shared" si="7"/>
        <v>91</v>
      </c>
      <c r="BQ3" s="337">
        <f t="shared" si="7"/>
        <v>92</v>
      </c>
      <c r="BR3" s="337">
        <f t="shared" si="7"/>
        <v>92</v>
      </c>
      <c r="BS3" s="337">
        <f t="shared" ref="BS3:CX3" si="8">BS7-BR7</f>
        <v>90</v>
      </c>
      <c r="BT3" s="337">
        <f t="shared" si="8"/>
        <v>91</v>
      </c>
      <c r="BU3" s="337">
        <f t="shared" si="8"/>
        <v>92</v>
      </c>
      <c r="BV3" s="337">
        <f t="shared" si="8"/>
        <v>92</v>
      </c>
      <c r="BW3" s="337">
        <f t="shared" si="8"/>
        <v>90</v>
      </c>
      <c r="BX3" s="337">
        <f t="shared" si="8"/>
        <v>91</v>
      </c>
      <c r="BY3" s="337">
        <f t="shared" si="8"/>
        <v>92</v>
      </c>
      <c r="BZ3" s="337">
        <f t="shared" si="8"/>
        <v>92</v>
      </c>
      <c r="CA3" s="337">
        <f t="shared" si="8"/>
        <v>91</v>
      </c>
      <c r="CB3" s="337">
        <f t="shared" si="8"/>
        <v>91</v>
      </c>
      <c r="CC3" s="337">
        <f t="shared" si="8"/>
        <v>92</v>
      </c>
      <c r="CD3" s="337">
        <f t="shared" si="8"/>
        <v>92</v>
      </c>
      <c r="CE3" s="337">
        <f t="shared" si="8"/>
        <v>90</v>
      </c>
      <c r="CF3" s="337">
        <f t="shared" si="8"/>
        <v>91</v>
      </c>
      <c r="CG3" s="337">
        <f t="shared" si="8"/>
        <v>92</v>
      </c>
      <c r="CH3" s="337">
        <f t="shared" si="8"/>
        <v>92</v>
      </c>
      <c r="CI3" s="337">
        <f t="shared" si="8"/>
        <v>90</v>
      </c>
      <c r="CJ3" s="337">
        <f t="shared" si="8"/>
        <v>91</v>
      </c>
      <c r="CK3" s="337">
        <f t="shared" si="8"/>
        <v>92</v>
      </c>
      <c r="CL3" s="337">
        <f t="shared" si="8"/>
        <v>92</v>
      </c>
      <c r="CM3" s="337">
        <f t="shared" si="8"/>
        <v>90</v>
      </c>
      <c r="CN3" s="337">
        <f t="shared" si="8"/>
        <v>91</v>
      </c>
      <c r="CO3" s="337">
        <f t="shared" si="8"/>
        <v>92</v>
      </c>
      <c r="CP3" s="337">
        <f t="shared" si="8"/>
        <v>92</v>
      </c>
      <c r="CQ3" s="337">
        <f t="shared" si="8"/>
        <v>91</v>
      </c>
      <c r="CR3" s="337">
        <f t="shared" si="8"/>
        <v>91</v>
      </c>
      <c r="CS3" s="337">
        <f t="shared" si="8"/>
        <v>92</v>
      </c>
      <c r="CT3" s="337">
        <f t="shared" si="8"/>
        <v>92</v>
      </c>
      <c r="CU3" s="337">
        <f t="shared" si="8"/>
        <v>90</v>
      </c>
      <c r="CV3" s="337">
        <f t="shared" si="8"/>
        <v>91</v>
      </c>
      <c r="CW3" s="337">
        <f t="shared" si="8"/>
        <v>92</v>
      </c>
      <c r="CX3" s="337">
        <f t="shared" si="8"/>
        <v>92</v>
      </c>
      <c r="CY3" s="337">
        <f t="shared" ref="CY3:ED3" si="9">CY7-CX7</f>
        <v>90</v>
      </c>
      <c r="CZ3" s="337">
        <f t="shared" si="9"/>
        <v>91</v>
      </c>
      <c r="DA3" s="337">
        <f t="shared" si="9"/>
        <v>92</v>
      </c>
      <c r="DB3" s="337">
        <f t="shared" si="9"/>
        <v>92</v>
      </c>
      <c r="DC3" s="337">
        <f t="shared" si="9"/>
        <v>90</v>
      </c>
      <c r="DD3" s="337">
        <f t="shared" si="9"/>
        <v>91</v>
      </c>
      <c r="DE3" s="337">
        <f t="shared" si="9"/>
        <v>92</v>
      </c>
      <c r="DF3" s="337">
        <f t="shared" si="9"/>
        <v>92</v>
      </c>
      <c r="DG3" s="337">
        <f t="shared" si="9"/>
        <v>91</v>
      </c>
      <c r="DH3" s="337">
        <f t="shared" si="9"/>
        <v>91</v>
      </c>
      <c r="DI3" s="337">
        <f t="shared" si="9"/>
        <v>92</v>
      </c>
      <c r="DJ3" s="337">
        <f t="shared" si="9"/>
        <v>92</v>
      </c>
      <c r="DK3" s="337">
        <f t="shared" si="9"/>
        <v>90</v>
      </c>
      <c r="DL3" s="337">
        <f t="shared" si="9"/>
        <v>91</v>
      </c>
      <c r="DM3" s="337">
        <f t="shared" si="9"/>
        <v>92</v>
      </c>
      <c r="DN3" s="337">
        <f t="shared" si="9"/>
        <v>92</v>
      </c>
      <c r="DO3" s="337">
        <f t="shared" si="9"/>
        <v>90</v>
      </c>
      <c r="DP3" s="337">
        <f t="shared" si="9"/>
        <v>91</v>
      </c>
      <c r="DQ3" s="337">
        <f t="shared" si="9"/>
        <v>92</v>
      </c>
      <c r="DR3" s="337">
        <f t="shared" si="9"/>
        <v>92</v>
      </c>
      <c r="DS3" s="337">
        <f t="shared" si="9"/>
        <v>90</v>
      </c>
      <c r="DT3" s="337">
        <f t="shared" si="9"/>
        <v>91</v>
      </c>
      <c r="DU3" s="337">
        <f t="shared" si="9"/>
        <v>92</v>
      </c>
      <c r="DV3" s="337">
        <f t="shared" si="9"/>
        <v>92</v>
      </c>
      <c r="DW3" s="337">
        <f t="shared" si="9"/>
        <v>91</v>
      </c>
      <c r="DX3" s="337">
        <f t="shared" si="9"/>
        <v>91</v>
      </c>
      <c r="DY3" s="337">
        <f t="shared" si="9"/>
        <v>92</v>
      </c>
      <c r="DZ3" s="337">
        <f t="shared" si="9"/>
        <v>92</v>
      </c>
      <c r="EA3" s="337">
        <f t="shared" si="9"/>
        <v>90</v>
      </c>
      <c r="EB3" s="337">
        <f t="shared" si="9"/>
        <v>91</v>
      </c>
      <c r="EC3" s="337">
        <f t="shared" si="9"/>
        <v>92</v>
      </c>
      <c r="ED3" s="337">
        <f t="shared" si="9"/>
        <v>92</v>
      </c>
      <c r="EE3" s="337">
        <f t="shared" ref="EE3:EP3" si="10">EE7-ED7</f>
        <v>90</v>
      </c>
      <c r="EF3" s="337">
        <f t="shared" si="10"/>
        <v>91</v>
      </c>
      <c r="EG3" s="337">
        <f t="shared" si="10"/>
        <v>92</v>
      </c>
      <c r="EH3" s="337">
        <f t="shared" si="10"/>
        <v>92</v>
      </c>
      <c r="EI3" s="337">
        <f t="shared" si="10"/>
        <v>90</v>
      </c>
      <c r="EJ3" s="337">
        <f t="shared" si="10"/>
        <v>91</v>
      </c>
      <c r="EK3" s="337">
        <f t="shared" si="10"/>
        <v>92</v>
      </c>
      <c r="EL3" s="337">
        <f t="shared" si="10"/>
        <v>92</v>
      </c>
      <c r="EM3" s="337">
        <f t="shared" si="10"/>
        <v>91</v>
      </c>
      <c r="EN3" s="337">
        <f t="shared" si="10"/>
        <v>91</v>
      </c>
      <c r="EO3" s="337">
        <f t="shared" si="10"/>
        <v>92</v>
      </c>
      <c r="EP3" s="337">
        <f t="shared" si="10"/>
        <v>92</v>
      </c>
      <c r="EQ3" s="5"/>
      <c r="ER3" s="5"/>
      <c r="ES3" s="355"/>
      <c r="ET3"/>
      <c r="EU3"/>
      <c r="EV3"/>
      <c r="EW3"/>
      <c r="EX3"/>
      <c r="EY3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s="2" customFormat="1" ht="11.45" hidden="1" customHeight="1">
      <c r="A4" s="15"/>
      <c r="B4" s="336"/>
      <c r="C4" s="11"/>
      <c r="D4" s="11"/>
      <c r="E4" s="335"/>
      <c r="F4" s="334">
        <v>34607</v>
      </c>
      <c r="G4" s="334">
        <f t="shared" ref="G4:AF4" si="11">EDATE(F4,12)</f>
        <v>34972</v>
      </c>
      <c r="H4" s="334">
        <f t="shared" si="11"/>
        <v>35338</v>
      </c>
      <c r="I4" s="334">
        <f t="shared" si="11"/>
        <v>35703</v>
      </c>
      <c r="J4" s="334">
        <f t="shared" si="11"/>
        <v>36068</v>
      </c>
      <c r="K4" s="334">
        <f t="shared" si="11"/>
        <v>36433</v>
      </c>
      <c r="L4" s="334">
        <f t="shared" si="11"/>
        <v>36799</v>
      </c>
      <c r="M4" s="334">
        <f t="shared" si="11"/>
        <v>37164</v>
      </c>
      <c r="N4" s="334">
        <f t="shared" si="11"/>
        <v>37529</v>
      </c>
      <c r="O4" s="334">
        <f t="shared" si="11"/>
        <v>37894</v>
      </c>
      <c r="P4" s="334">
        <f t="shared" si="11"/>
        <v>38260</v>
      </c>
      <c r="Q4" s="334">
        <f t="shared" si="11"/>
        <v>38625</v>
      </c>
      <c r="R4" s="334">
        <f t="shared" si="11"/>
        <v>38990</v>
      </c>
      <c r="S4" s="334">
        <f t="shared" si="11"/>
        <v>39355</v>
      </c>
      <c r="T4" s="334">
        <f t="shared" si="11"/>
        <v>39721</v>
      </c>
      <c r="U4" s="334">
        <f t="shared" si="11"/>
        <v>40086</v>
      </c>
      <c r="V4" s="334">
        <f t="shared" si="11"/>
        <v>40451</v>
      </c>
      <c r="W4" s="334">
        <f t="shared" si="11"/>
        <v>40816</v>
      </c>
      <c r="X4" s="334">
        <f t="shared" si="11"/>
        <v>41182</v>
      </c>
      <c r="Y4" s="334">
        <f t="shared" si="11"/>
        <v>41547</v>
      </c>
      <c r="Z4" s="334">
        <f t="shared" si="11"/>
        <v>41912</v>
      </c>
      <c r="AA4" s="334">
        <f t="shared" si="11"/>
        <v>42277</v>
      </c>
      <c r="AB4" s="334">
        <f t="shared" si="11"/>
        <v>42643</v>
      </c>
      <c r="AC4" s="334">
        <f t="shared" si="11"/>
        <v>43008</v>
      </c>
      <c r="AD4" s="334">
        <f t="shared" si="11"/>
        <v>43373</v>
      </c>
      <c r="AE4" s="334">
        <f t="shared" si="11"/>
        <v>43738</v>
      </c>
      <c r="AF4" s="334">
        <f t="shared" si="11"/>
        <v>44104</v>
      </c>
      <c r="AG4" s="333"/>
      <c r="AH4" s="332">
        <f t="shared" ref="AH4:BM4" si="12">AH7</f>
        <v>33969</v>
      </c>
      <c r="AI4" s="332">
        <f t="shared" si="12"/>
        <v>34059</v>
      </c>
      <c r="AJ4" s="332">
        <f t="shared" si="12"/>
        <v>34150</v>
      </c>
      <c r="AK4" s="332">
        <f t="shared" si="12"/>
        <v>34242</v>
      </c>
      <c r="AL4" s="332">
        <f t="shared" si="12"/>
        <v>34334</v>
      </c>
      <c r="AM4" s="332">
        <f t="shared" si="12"/>
        <v>34424</v>
      </c>
      <c r="AN4" s="332">
        <f t="shared" si="12"/>
        <v>34515</v>
      </c>
      <c r="AO4" s="332">
        <f t="shared" si="12"/>
        <v>34607</v>
      </c>
      <c r="AP4" s="332">
        <f t="shared" si="12"/>
        <v>34699</v>
      </c>
      <c r="AQ4" s="332">
        <f t="shared" si="12"/>
        <v>34789</v>
      </c>
      <c r="AR4" s="332">
        <f t="shared" si="12"/>
        <v>34880</v>
      </c>
      <c r="AS4" s="332">
        <f t="shared" si="12"/>
        <v>34972</v>
      </c>
      <c r="AT4" s="332">
        <f t="shared" si="12"/>
        <v>35064</v>
      </c>
      <c r="AU4" s="332">
        <f t="shared" si="12"/>
        <v>35155</v>
      </c>
      <c r="AV4" s="332">
        <f t="shared" si="12"/>
        <v>35246</v>
      </c>
      <c r="AW4" s="332">
        <f t="shared" si="12"/>
        <v>35338</v>
      </c>
      <c r="AX4" s="332">
        <f t="shared" si="12"/>
        <v>35430</v>
      </c>
      <c r="AY4" s="332">
        <f t="shared" si="12"/>
        <v>35520</v>
      </c>
      <c r="AZ4" s="332">
        <f t="shared" si="12"/>
        <v>35611</v>
      </c>
      <c r="BA4" s="332">
        <f t="shared" si="12"/>
        <v>35703</v>
      </c>
      <c r="BB4" s="332">
        <f t="shared" si="12"/>
        <v>35795</v>
      </c>
      <c r="BC4" s="332">
        <f t="shared" si="12"/>
        <v>35885</v>
      </c>
      <c r="BD4" s="332">
        <f t="shared" si="12"/>
        <v>35976</v>
      </c>
      <c r="BE4" s="332">
        <f t="shared" si="12"/>
        <v>36068</v>
      </c>
      <c r="BF4" s="332">
        <f t="shared" si="12"/>
        <v>36160</v>
      </c>
      <c r="BG4" s="332">
        <f t="shared" si="12"/>
        <v>36250</v>
      </c>
      <c r="BH4" s="332">
        <f t="shared" si="12"/>
        <v>36341</v>
      </c>
      <c r="BI4" s="332">
        <f t="shared" si="12"/>
        <v>36433</v>
      </c>
      <c r="BJ4" s="332">
        <f t="shared" si="12"/>
        <v>36525</v>
      </c>
      <c r="BK4" s="332">
        <f t="shared" si="12"/>
        <v>36616</v>
      </c>
      <c r="BL4" s="332">
        <f t="shared" si="12"/>
        <v>36707</v>
      </c>
      <c r="BM4" s="332">
        <f t="shared" si="12"/>
        <v>36799</v>
      </c>
      <c r="BN4" s="332">
        <f t="shared" ref="BN4:CS4" si="13">BN7</f>
        <v>36891</v>
      </c>
      <c r="BO4" s="332">
        <f t="shared" si="13"/>
        <v>36981</v>
      </c>
      <c r="BP4" s="332">
        <f t="shared" si="13"/>
        <v>37072</v>
      </c>
      <c r="BQ4" s="332">
        <f t="shared" si="13"/>
        <v>37164</v>
      </c>
      <c r="BR4" s="332">
        <f t="shared" si="13"/>
        <v>37256</v>
      </c>
      <c r="BS4" s="332">
        <f t="shared" si="13"/>
        <v>37346</v>
      </c>
      <c r="BT4" s="332">
        <f t="shared" si="13"/>
        <v>37437</v>
      </c>
      <c r="BU4" s="332">
        <f t="shared" si="13"/>
        <v>37529</v>
      </c>
      <c r="BV4" s="332">
        <f t="shared" si="13"/>
        <v>37621</v>
      </c>
      <c r="BW4" s="332">
        <f t="shared" si="13"/>
        <v>37711</v>
      </c>
      <c r="BX4" s="332">
        <f t="shared" si="13"/>
        <v>37802</v>
      </c>
      <c r="BY4" s="332">
        <f t="shared" si="13"/>
        <v>37894</v>
      </c>
      <c r="BZ4" s="332">
        <f t="shared" si="13"/>
        <v>37986</v>
      </c>
      <c r="CA4" s="332">
        <f t="shared" si="13"/>
        <v>38077</v>
      </c>
      <c r="CB4" s="332">
        <f t="shared" si="13"/>
        <v>38168</v>
      </c>
      <c r="CC4" s="332">
        <f t="shared" si="13"/>
        <v>38260</v>
      </c>
      <c r="CD4" s="332">
        <f t="shared" si="13"/>
        <v>38352</v>
      </c>
      <c r="CE4" s="332">
        <f t="shared" si="13"/>
        <v>38442</v>
      </c>
      <c r="CF4" s="332">
        <f t="shared" si="13"/>
        <v>38533</v>
      </c>
      <c r="CG4" s="332">
        <f t="shared" si="13"/>
        <v>38625</v>
      </c>
      <c r="CH4" s="332">
        <f t="shared" si="13"/>
        <v>38717</v>
      </c>
      <c r="CI4" s="332">
        <f t="shared" si="13"/>
        <v>38807</v>
      </c>
      <c r="CJ4" s="332">
        <f t="shared" si="13"/>
        <v>38898</v>
      </c>
      <c r="CK4" s="332">
        <f t="shared" si="13"/>
        <v>38990</v>
      </c>
      <c r="CL4" s="332">
        <f t="shared" si="13"/>
        <v>39082</v>
      </c>
      <c r="CM4" s="332">
        <f t="shared" si="13"/>
        <v>39172</v>
      </c>
      <c r="CN4" s="332">
        <f t="shared" si="13"/>
        <v>39263</v>
      </c>
      <c r="CO4" s="332">
        <f t="shared" si="13"/>
        <v>39355</v>
      </c>
      <c r="CP4" s="332">
        <f t="shared" si="13"/>
        <v>39447</v>
      </c>
      <c r="CQ4" s="332">
        <f t="shared" si="13"/>
        <v>39538</v>
      </c>
      <c r="CR4" s="332">
        <f t="shared" si="13"/>
        <v>39629</v>
      </c>
      <c r="CS4" s="332">
        <f t="shared" si="13"/>
        <v>39721</v>
      </c>
      <c r="CT4" s="332">
        <f t="shared" ref="CT4:DY4" si="14">CT7</f>
        <v>39813</v>
      </c>
      <c r="CU4" s="332">
        <f t="shared" si="14"/>
        <v>39903</v>
      </c>
      <c r="CV4" s="332">
        <f t="shared" si="14"/>
        <v>39994</v>
      </c>
      <c r="CW4" s="332">
        <f t="shared" si="14"/>
        <v>40086</v>
      </c>
      <c r="CX4" s="332">
        <f t="shared" si="14"/>
        <v>40178</v>
      </c>
      <c r="CY4" s="332">
        <f t="shared" si="14"/>
        <v>40268</v>
      </c>
      <c r="CZ4" s="332">
        <f t="shared" si="14"/>
        <v>40359</v>
      </c>
      <c r="DA4" s="332">
        <f t="shared" si="14"/>
        <v>40451</v>
      </c>
      <c r="DB4" s="332">
        <f t="shared" si="14"/>
        <v>40543</v>
      </c>
      <c r="DC4" s="332">
        <f t="shared" si="14"/>
        <v>40633</v>
      </c>
      <c r="DD4" s="332">
        <f t="shared" si="14"/>
        <v>40724</v>
      </c>
      <c r="DE4" s="332">
        <f t="shared" si="14"/>
        <v>40816</v>
      </c>
      <c r="DF4" s="332">
        <f t="shared" si="14"/>
        <v>40908</v>
      </c>
      <c r="DG4" s="332">
        <f t="shared" si="14"/>
        <v>40999</v>
      </c>
      <c r="DH4" s="332">
        <f t="shared" si="14"/>
        <v>41090</v>
      </c>
      <c r="DI4" s="332">
        <f t="shared" si="14"/>
        <v>41182</v>
      </c>
      <c r="DJ4" s="332">
        <f t="shared" si="14"/>
        <v>41274</v>
      </c>
      <c r="DK4" s="332">
        <f t="shared" si="14"/>
        <v>41364</v>
      </c>
      <c r="DL4" s="332">
        <f t="shared" si="14"/>
        <v>41455</v>
      </c>
      <c r="DM4" s="332">
        <f t="shared" si="14"/>
        <v>41547</v>
      </c>
      <c r="DN4" s="332">
        <f t="shared" si="14"/>
        <v>41639</v>
      </c>
      <c r="DO4" s="332">
        <f t="shared" si="14"/>
        <v>41729</v>
      </c>
      <c r="DP4" s="332">
        <f t="shared" si="14"/>
        <v>41820</v>
      </c>
      <c r="DQ4" s="332">
        <f t="shared" si="14"/>
        <v>41912</v>
      </c>
      <c r="DR4" s="332">
        <f t="shared" si="14"/>
        <v>42004</v>
      </c>
      <c r="DS4" s="332">
        <f t="shared" si="14"/>
        <v>42094</v>
      </c>
      <c r="DT4" s="332">
        <f t="shared" si="14"/>
        <v>42185</v>
      </c>
      <c r="DU4" s="332">
        <f t="shared" si="14"/>
        <v>42277</v>
      </c>
      <c r="DV4" s="332">
        <f t="shared" si="14"/>
        <v>42369</v>
      </c>
      <c r="DW4" s="332">
        <f t="shared" si="14"/>
        <v>42460</v>
      </c>
      <c r="DX4" s="332">
        <f t="shared" si="14"/>
        <v>42551</v>
      </c>
      <c r="DY4" s="332">
        <f t="shared" si="14"/>
        <v>42643</v>
      </c>
      <c r="DZ4" s="332">
        <f t="shared" ref="DZ4:EP4" si="15">DZ7</f>
        <v>42735</v>
      </c>
      <c r="EA4" s="332">
        <f t="shared" si="15"/>
        <v>42825</v>
      </c>
      <c r="EB4" s="332">
        <f t="shared" si="15"/>
        <v>42916</v>
      </c>
      <c r="EC4" s="332">
        <f t="shared" si="15"/>
        <v>43008</v>
      </c>
      <c r="ED4" s="332">
        <f t="shared" si="15"/>
        <v>43100</v>
      </c>
      <c r="EE4" s="332">
        <f t="shared" si="15"/>
        <v>43190</v>
      </c>
      <c r="EF4" s="332">
        <f t="shared" si="15"/>
        <v>43281</v>
      </c>
      <c r="EG4" s="332">
        <f t="shared" si="15"/>
        <v>43373</v>
      </c>
      <c r="EH4" s="332">
        <f t="shared" si="15"/>
        <v>43465</v>
      </c>
      <c r="EI4" s="332">
        <f t="shared" si="15"/>
        <v>43555</v>
      </c>
      <c r="EJ4" s="332">
        <f t="shared" si="15"/>
        <v>43646</v>
      </c>
      <c r="EK4" s="332">
        <f t="shared" si="15"/>
        <v>43738</v>
      </c>
      <c r="EL4" s="332">
        <f t="shared" si="15"/>
        <v>43830</v>
      </c>
      <c r="EM4" s="332">
        <f t="shared" si="15"/>
        <v>43921</v>
      </c>
      <c r="EN4" s="332">
        <f t="shared" si="15"/>
        <v>44012</v>
      </c>
      <c r="EO4" s="332">
        <f t="shared" si="15"/>
        <v>44104</v>
      </c>
      <c r="EP4" s="332">
        <f t="shared" si="15"/>
        <v>44196</v>
      </c>
      <c r="EQ4" s="5"/>
      <c r="ER4" s="5"/>
      <c r="ES4" s="355"/>
      <c r="ET4"/>
      <c r="EU4"/>
      <c r="EV4"/>
      <c r="EW4"/>
      <c r="EX4"/>
      <c r="EY4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11.45" hidden="1" customHeight="1">
      <c r="A5" s="15"/>
      <c r="B5" s="8"/>
      <c r="C5" s="7"/>
      <c r="D5" s="7"/>
      <c r="E5" s="7"/>
      <c r="F5" s="7">
        <v>1994</v>
      </c>
      <c r="G5" s="7">
        <v>1995</v>
      </c>
      <c r="H5" s="7">
        <v>1996</v>
      </c>
      <c r="I5" s="7">
        <v>1997</v>
      </c>
      <c r="J5" s="7">
        <v>1998</v>
      </c>
      <c r="K5" s="7">
        <v>1999</v>
      </c>
      <c r="L5" s="7">
        <v>2000</v>
      </c>
      <c r="M5" s="7">
        <v>2001</v>
      </c>
      <c r="N5" s="7">
        <v>2002</v>
      </c>
      <c r="O5" s="7">
        <v>2003</v>
      </c>
      <c r="P5" s="7">
        <v>2004</v>
      </c>
      <c r="Q5" s="7">
        <v>2005</v>
      </c>
      <c r="R5" s="7">
        <v>2006</v>
      </c>
      <c r="S5" s="7">
        <v>2007</v>
      </c>
      <c r="T5" s="7">
        <v>2008</v>
      </c>
      <c r="U5" s="7">
        <v>2009</v>
      </c>
      <c r="V5" s="7">
        <v>2010</v>
      </c>
      <c r="W5" s="7">
        <v>2011</v>
      </c>
      <c r="X5" s="7">
        <v>2012</v>
      </c>
      <c r="Y5" s="7">
        <v>2013</v>
      </c>
      <c r="Z5" s="7">
        <v>2014</v>
      </c>
      <c r="AA5" s="7">
        <v>2015</v>
      </c>
      <c r="AB5" s="7">
        <v>2016</v>
      </c>
      <c r="AC5" s="7">
        <v>2017</v>
      </c>
      <c r="AD5" s="7">
        <v>2018</v>
      </c>
      <c r="AE5" s="7">
        <f>+AD5+1</f>
        <v>2019</v>
      </c>
      <c r="AF5" s="7">
        <f>+AE5+1</f>
        <v>2020</v>
      </c>
      <c r="AG5" s="331"/>
      <c r="AH5" s="330" t="s">
        <v>378</v>
      </c>
      <c r="AI5" s="330" t="s">
        <v>378</v>
      </c>
      <c r="AJ5" s="330" t="s">
        <v>378</v>
      </c>
      <c r="AK5" s="330" t="s">
        <v>378</v>
      </c>
      <c r="AL5" s="330" t="s">
        <v>377</v>
      </c>
      <c r="AM5" s="330" t="s">
        <v>377</v>
      </c>
      <c r="AN5" s="330" t="s">
        <v>377</v>
      </c>
      <c r="AO5" s="330" t="s">
        <v>377</v>
      </c>
      <c r="AP5" s="330" t="s">
        <v>376</v>
      </c>
      <c r="AQ5" s="330" t="s">
        <v>376</v>
      </c>
      <c r="AR5" s="330" t="s">
        <v>376</v>
      </c>
      <c r="AS5" s="330" t="s">
        <v>376</v>
      </c>
      <c r="AT5" s="330" t="s">
        <v>375</v>
      </c>
      <c r="AU5" s="330" t="s">
        <v>375</v>
      </c>
      <c r="AV5" s="330" t="s">
        <v>375</v>
      </c>
      <c r="AW5" s="330" t="s">
        <v>375</v>
      </c>
      <c r="AX5" s="330" t="s">
        <v>374</v>
      </c>
      <c r="AY5" s="330" t="s">
        <v>374</v>
      </c>
      <c r="AZ5" s="330" t="s">
        <v>374</v>
      </c>
      <c r="BA5" s="330" t="s">
        <v>374</v>
      </c>
      <c r="BB5" s="330" t="s">
        <v>373</v>
      </c>
      <c r="BC5" s="330" t="s">
        <v>373</v>
      </c>
      <c r="BD5" s="330" t="s">
        <v>373</v>
      </c>
      <c r="BE5" s="330" t="s">
        <v>373</v>
      </c>
      <c r="BF5" s="330" t="s">
        <v>372</v>
      </c>
      <c r="BG5" s="330" t="s">
        <v>372</v>
      </c>
      <c r="BH5" s="330" t="s">
        <v>372</v>
      </c>
      <c r="BI5" s="330" t="s">
        <v>372</v>
      </c>
      <c r="BJ5" s="330" t="s">
        <v>371</v>
      </c>
      <c r="BK5" s="330" t="s">
        <v>371</v>
      </c>
      <c r="BL5" s="330" t="s">
        <v>371</v>
      </c>
      <c r="BM5" s="330" t="s">
        <v>371</v>
      </c>
      <c r="BN5" s="330" t="s">
        <v>370</v>
      </c>
      <c r="BO5" s="330" t="s">
        <v>370</v>
      </c>
      <c r="BP5" s="330" t="s">
        <v>370</v>
      </c>
      <c r="BQ5" s="330" t="s">
        <v>370</v>
      </c>
      <c r="BR5" s="330" t="s">
        <v>369</v>
      </c>
      <c r="BS5" s="330" t="s">
        <v>369</v>
      </c>
      <c r="BT5" s="330" t="s">
        <v>369</v>
      </c>
      <c r="BU5" s="330" t="s">
        <v>369</v>
      </c>
      <c r="BV5" s="330" t="s">
        <v>368</v>
      </c>
      <c r="BW5" s="330" t="s">
        <v>368</v>
      </c>
      <c r="BX5" s="330" t="s">
        <v>368</v>
      </c>
      <c r="BY5" s="330" t="s">
        <v>368</v>
      </c>
      <c r="BZ5" s="330" t="s">
        <v>367</v>
      </c>
      <c r="CA5" s="330" t="s">
        <v>367</v>
      </c>
      <c r="CB5" s="330" t="s">
        <v>367</v>
      </c>
      <c r="CC5" s="330" t="s">
        <v>367</v>
      </c>
      <c r="CD5" s="330" t="s">
        <v>366</v>
      </c>
      <c r="CE5" s="330" t="s">
        <v>366</v>
      </c>
      <c r="CF5" s="330" t="s">
        <v>366</v>
      </c>
      <c r="CG5" s="330" t="s">
        <v>366</v>
      </c>
      <c r="CH5" s="330" t="s">
        <v>365</v>
      </c>
      <c r="CI5" s="330" t="s">
        <v>365</v>
      </c>
      <c r="CJ5" s="330" t="s">
        <v>365</v>
      </c>
      <c r="CK5" s="330" t="s">
        <v>365</v>
      </c>
      <c r="CL5" s="330" t="s">
        <v>364</v>
      </c>
      <c r="CM5" s="330" t="s">
        <v>364</v>
      </c>
      <c r="CN5" s="330" t="s">
        <v>364</v>
      </c>
      <c r="CO5" s="330" t="s">
        <v>364</v>
      </c>
      <c r="CP5" s="330" t="s">
        <v>363</v>
      </c>
      <c r="CQ5" s="330" t="s">
        <v>363</v>
      </c>
      <c r="CR5" s="330" t="s">
        <v>363</v>
      </c>
      <c r="CS5" s="330" t="s">
        <v>363</v>
      </c>
      <c r="CT5" s="330" t="s">
        <v>362</v>
      </c>
      <c r="CU5" s="330" t="s">
        <v>362</v>
      </c>
      <c r="CV5" s="330" t="s">
        <v>362</v>
      </c>
      <c r="CW5" s="330" t="s">
        <v>362</v>
      </c>
      <c r="CX5" s="330" t="s">
        <v>361</v>
      </c>
      <c r="CY5" s="330" t="s">
        <v>361</v>
      </c>
      <c r="CZ5" s="330" t="s">
        <v>361</v>
      </c>
      <c r="DA5" s="330" t="s">
        <v>361</v>
      </c>
      <c r="DB5" s="330" t="s">
        <v>360</v>
      </c>
      <c r="DC5" s="330" t="s">
        <v>360</v>
      </c>
      <c r="DD5" s="330" t="s">
        <v>360</v>
      </c>
      <c r="DE5" s="330" t="s">
        <v>360</v>
      </c>
      <c r="DF5" s="330" t="s">
        <v>359</v>
      </c>
      <c r="DG5" s="330" t="s">
        <v>359</v>
      </c>
      <c r="DH5" s="330" t="s">
        <v>359</v>
      </c>
      <c r="DI5" s="330" t="s">
        <v>359</v>
      </c>
      <c r="DJ5" s="330" t="s">
        <v>358</v>
      </c>
      <c r="DK5" s="330" t="s">
        <v>358</v>
      </c>
      <c r="DL5" s="330" t="s">
        <v>358</v>
      </c>
      <c r="DM5" s="330" t="s">
        <v>358</v>
      </c>
      <c r="DN5" s="330" t="s">
        <v>357</v>
      </c>
      <c r="DO5" s="330" t="s">
        <v>357</v>
      </c>
      <c r="DP5" s="330" t="s">
        <v>357</v>
      </c>
      <c r="DQ5" s="330" t="s">
        <v>357</v>
      </c>
      <c r="DR5" s="330" t="s">
        <v>356</v>
      </c>
      <c r="DS5" s="330" t="s">
        <v>356</v>
      </c>
      <c r="DT5" s="330" t="s">
        <v>356</v>
      </c>
      <c r="DU5" s="330" t="s">
        <v>356</v>
      </c>
      <c r="DV5" s="330">
        <f t="shared" ref="DV5:EP5" si="16">+DR5+1</f>
        <v>2016</v>
      </c>
      <c r="DW5" s="330">
        <f t="shared" si="16"/>
        <v>2016</v>
      </c>
      <c r="DX5" s="330">
        <f t="shared" si="16"/>
        <v>2016</v>
      </c>
      <c r="DY5" s="330">
        <f t="shared" si="16"/>
        <v>2016</v>
      </c>
      <c r="DZ5" s="330">
        <f t="shared" si="16"/>
        <v>2017</v>
      </c>
      <c r="EA5" s="330">
        <f t="shared" si="16"/>
        <v>2017</v>
      </c>
      <c r="EB5" s="330">
        <f t="shared" si="16"/>
        <v>2017</v>
      </c>
      <c r="EC5" s="330">
        <f t="shared" si="16"/>
        <v>2017</v>
      </c>
      <c r="ED5" s="330">
        <f t="shared" si="16"/>
        <v>2018</v>
      </c>
      <c r="EE5" s="330">
        <f t="shared" si="16"/>
        <v>2018</v>
      </c>
      <c r="EF5" s="330">
        <f t="shared" si="16"/>
        <v>2018</v>
      </c>
      <c r="EG5" s="330">
        <f t="shared" si="16"/>
        <v>2018</v>
      </c>
      <c r="EH5" s="330">
        <f t="shared" si="16"/>
        <v>2019</v>
      </c>
      <c r="EI5" s="330">
        <f t="shared" si="16"/>
        <v>2019</v>
      </c>
      <c r="EJ5" s="330">
        <f t="shared" si="16"/>
        <v>2019</v>
      </c>
      <c r="EK5" s="330">
        <f t="shared" si="16"/>
        <v>2019</v>
      </c>
      <c r="EL5" s="330">
        <f t="shared" si="16"/>
        <v>2020</v>
      </c>
      <c r="EM5" s="330">
        <f t="shared" si="16"/>
        <v>2020</v>
      </c>
      <c r="EN5" s="330">
        <f t="shared" si="16"/>
        <v>2020</v>
      </c>
      <c r="EO5" s="330">
        <f t="shared" si="16"/>
        <v>2020</v>
      </c>
      <c r="EP5" s="330">
        <f t="shared" si="16"/>
        <v>2021</v>
      </c>
      <c r="EQ5" s="5"/>
      <c r="ER5" s="5"/>
      <c r="ES5" s="355"/>
    </row>
    <row r="6" spans="1:257" s="367" customFormat="1" ht="11.45" customHeight="1">
      <c r="A6" s="361"/>
      <c r="B6" s="362"/>
      <c r="C6" s="362"/>
      <c r="D6" s="362"/>
      <c r="E6" s="362"/>
      <c r="F6" s="362"/>
      <c r="G6" s="362"/>
      <c r="H6" s="362"/>
      <c r="I6" s="362"/>
      <c r="J6" s="362"/>
      <c r="K6" s="362"/>
      <c r="L6" s="362"/>
      <c r="M6" s="362"/>
      <c r="N6" s="362"/>
      <c r="O6" s="362"/>
      <c r="P6" s="362"/>
      <c r="Q6" s="362"/>
      <c r="R6" s="362"/>
      <c r="S6" s="362"/>
      <c r="T6" s="362"/>
      <c r="U6" s="362"/>
      <c r="V6" s="362"/>
      <c r="W6" s="362"/>
      <c r="X6" s="362"/>
      <c r="Y6" s="370">
        <v>2013</v>
      </c>
      <c r="Z6" s="370">
        <v>2014</v>
      </c>
      <c r="AA6" s="370">
        <v>2015</v>
      </c>
      <c r="AB6" s="370">
        <v>2016</v>
      </c>
      <c r="AC6" s="370">
        <v>2017</v>
      </c>
      <c r="AD6" s="370" t="s">
        <v>245</v>
      </c>
      <c r="AE6" s="370" t="s">
        <v>244</v>
      </c>
      <c r="AF6" s="370" t="s">
        <v>243</v>
      </c>
      <c r="AG6" s="363"/>
      <c r="AH6" s="364" t="s">
        <v>355</v>
      </c>
      <c r="AI6" s="364" t="s">
        <v>354</v>
      </c>
      <c r="AJ6" s="364" t="s">
        <v>353</v>
      </c>
      <c r="AK6" s="364" t="s">
        <v>352</v>
      </c>
      <c r="AL6" s="364" t="s">
        <v>351</v>
      </c>
      <c r="AM6" s="364" t="s">
        <v>350</v>
      </c>
      <c r="AN6" s="364" t="s">
        <v>349</v>
      </c>
      <c r="AO6" s="364" t="s">
        <v>348</v>
      </c>
      <c r="AP6" s="364" t="s">
        <v>347</v>
      </c>
      <c r="AQ6" s="364" t="s">
        <v>346</v>
      </c>
      <c r="AR6" s="364" t="s">
        <v>345</v>
      </c>
      <c r="AS6" s="364" t="s">
        <v>344</v>
      </c>
      <c r="AT6" s="364" t="s">
        <v>343</v>
      </c>
      <c r="AU6" s="364" t="s">
        <v>342</v>
      </c>
      <c r="AV6" s="364" t="s">
        <v>341</v>
      </c>
      <c r="AW6" s="364" t="s">
        <v>340</v>
      </c>
      <c r="AX6" s="364" t="s">
        <v>339</v>
      </c>
      <c r="AY6" s="364" t="s">
        <v>338</v>
      </c>
      <c r="AZ6" s="364" t="s">
        <v>337</v>
      </c>
      <c r="BA6" s="364" t="s">
        <v>336</v>
      </c>
      <c r="BB6" s="364" t="s">
        <v>335</v>
      </c>
      <c r="BC6" s="364" t="s">
        <v>334</v>
      </c>
      <c r="BD6" s="364" t="s">
        <v>333</v>
      </c>
      <c r="BE6" s="364" t="s">
        <v>332</v>
      </c>
      <c r="BF6" s="364" t="s">
        <v>331</v>
      </c>
      <c r="BG6" s="364" t="s">
        <v>330</v>
      </c>
      <c r="BH6" s="364" t="s">
        <v>329</v>
      </c>
      <c r="BI6" s="364" t="s">
        <v>328</v>
      </c>
      <c r="BJ6" s="364" t="s">
        <v>327</v>
      </c>
      <c r="BK6" s="364" t="s">
        <v>326</v>
      </c>
      <c r="BL6" s="364" t="s">
        <v>325</v>
      </c>
      <c r="BM6" s="364" t="s">
        <v>324</v>
      </c>
      <c r="BN6" s="364" t="s">
        <v>323</v>
      </c>
      <c r="BO6" s="364" t="s">
        <v>322</v>
      </c>
      <c r="BP6" s="364" t="s">
        <v>321</v>
      </c>
      <c r="BQ6" s="364" t="s">
        <v>320</v>
      </c>
      <c r="BR6" s="364" t="s">
        <v>319</v>
      </c>
      <c r="BS6" s="364" t="s">
        <v>318</v>
      </c>
      <c r="BT6" s="364" t="s">
        <v>317</v>
      </c>
      <c r="BU6" s="364" t="s">
        <v>316</v>
      </c>
      <c r="BV6" s="364" t="s">
        <v>315</v>
      </c>
      <c r="BW6" s="364" t="s">
        <v>314</v>
      </c>
      <c r="BX6" s="364" t="s">
        <v>313</v>
      </c>
      <c r="BY6" s="364" t="s">
        <v>312</v>
      </c>
      <c r="BZ6" s="364" t="s">
        <v>311</v>
      </c>
      <c r="CA6" s="364" t="s">
        <v>310</v>
      </c>
      <c r="CB6" s="364" t="s">
        <v>309</v>
      </c>
      <c r="CC6" s="364" t="s">
        <v>308</v>
      </c>
      <c r="CD6" s="364" t="s">
        <v>307</v>
      </c>
      <c r="CE6" s="364" t="s">
        <v>306</v>
      </c>
      <c r="CF6" s="364" t="s">
        <v>305</v>
      </c>
      <c r="CG6" s="364" t="s">
        <v>304</v>
      </c>
      <c r="CH6" s="364" t="s">
        <v>303</v>
      </c>
      <c r="CI6" s="364" t="s">
        <v>302</v>
      </c>
      <c r="CJ6" s="364" t="s">
        <v>301</v>
      </c>
      <c r="CK6" s="364" t="s">
        <v>300</v>
      </c>
      <c r="CL6" s="364" t="s">
        <v>299</v>
      </c>
      <c r="CM6" s="364" t="s">
        <v>298</v>
      </c>
      <c r="CN6" s="364" t="s">
        <v>297</v>
      </c>
      <c r="CO6" s="364" t="s">
        <v>296</v>
      </c>
      <c r="CP6" s="364" t="s">
        <v>295</v>
      </c>
      <c r="CQ6" s="364" t="s">
        <v>294</v>
      </c>
      <c r="CR6" s="364" t="s">
        <v>293</v>
      </c>
      <c r="CS6" s="364" t="s">
        <v>292</v>
      </c>
      <c r="CT6" s="364" t="s">
        <v>291</v>
      </c>
      <c r="CU6" s="364" t="s">
        <v>290</v>
      </c>
      <c r="CV6" s="364" t="s">
        <v>289</v>
      </c>
      <c r="CW6" s="364" t="s">
        <v>288</v>
      </c>
      <c r="CX6" s="364" t="s">
        <v>287</v>
      </c>
      <c r="CY6" s="364" t="s">
        <v>286</v>
      </c>
      <c r="CZ6" s="364" t="s">
        <v>285</v>
      </c>
      <c r="DA6" s="364" t="s">
        <v>284</v>
      </c>
      <c r="DB6" s="364" t="s">
        <v>283</v>
      </c>
      <c r="DC6" s="364" t="s">
        <v>282</v>
      </c>
      <c r="DD6" s="364" t="s">
        <v>281</v>
      </c>
      <c r="DE6" s="364" t="s">
        <v>280</v>
      </c>
      <c r="DF6" s="364" t="s">
        <v>279</v>
      </c>
      <c r="DG6" s="364" t="s">
        <v>278</v>
      </c>
      <c r="DH6" s="364" t="s">
        <v>277</v>
      </c>
      <c r="DI6" s="364" t="s">
        <v>276</v>
      </c>
      <c r="DJ6" s="364" t="s">
        <v>275</v>
      </c>
      <c r="DK6" s="364" t="s">
        <v>274</v>
      </c>
      <c r="DL6" s="364" t="s">
        <v>273</v>
      </c>
      <c r="DM6" s="364" t="s">
        <v>272</v>
      </c>
      <c r="DN6" s="364" t="s">
        <v>271</v>
      </c>
      <c r="DO6" s="364" t="s">
        <v>270</v>
      </c>
      <c r="DP6" s="364" t="s">
        <v>269</v>
      </c>
      <c r="DQ6" s="364" t="s">
        <v>268</v>
      </c>
      <c r="DR6" s="364" t="s">
        <v>267</v>
      </c>
      <c r="DS6" s="364" t="s">
        <v>266</v>
      </c>
      <c r="DT6" s="364" t="s">
        <v>265</v>
      </c>
      <c r="DU6" s="364" t="s">
        <v>264</v>
      </c>
      <c r="DV6" s="364" t="s">
        <v>263</v>
      </c>
      <c r="DW6" s="364" t="s">
        <v>262</v>
      </c>
      <c r="DX6" s="364" t="s">
        <v>261</v>
      </c>
      <c r="DY6" s="364" t="s">
        <v>260</v>
      </c>
      <c r="DZ6" s="364" t="s">
        <v>259</v>
      </c>
      <c r="EA6" s="364" t="s">
        <v>258</v>
      </c>
      <c r="EB6" s="364" t="s">
        <v>395</v>
      </c>
      <c r="EC6" s="364" t="s">
        <v>396</v>
      </c>
      <c r="ED6" s="364" t="s">
        <v>397</v>
      </c>
      <c r="EE6" s="364" t="s">
        <v>257</v>
      </c>
      <c r="EF6" s="364" t="s">
        <v>256</v>
      </c>
      <c r="EG6" s="364" t="s">
        <v>255</v>
      </c>
      <c r="EH6" s="364" t="s">
        <v>254</v>
      </c>
      <c r="EI6" s="364" t="s">
        <v>253</v>
      </c>
      <c r="EJ6" s="364" t="s">
        <v>252</v>
      </c>
      <c r="EK6" s="364" t="s">
        <v>251</v>
      </c>
      <c r="EL6" s="364" t="s">
        <v>250</v>
      </c>
      <c r="EM6" s="364" t="s">
        <v>249</v>
      </c>
      <c r="EN6" s="364" t="s">
        <v>248</v>
      </c>
      <c r="EO6" s="364" t="s">
        <v>247</v>
      </c>
      <c r="EP6" s="364" t="s">
        <v>246</v>
      </c>
      <c r="EQ6" s="365"/>
      <c r="ER6" s="365"/>
      <c r="ES6" s="6">
        <v>1</v>
      </c>
      <c r="ET6"/>
      <c r="EU6"/>
      <c r="EV6"/>
      <c r="EW6"/>
      <c r="EX6"/>
      <c r="EY6"/>
      <c r="EZ6" s="366"/>
      <c r="FA6" s="366"/>
      <c r="FB6" s="366"/>
      <c r="FC6" s="366"/>
      <c r="FD6" s="366"/>
      <c r="FE6" s="366"/>
      <c r="FF6" s="366"/>
      <c r="FG6" s="366"/>
      <c r="FH6" s="366"/>
      <c r="FI6" s="366"/>
      <c r="FJ6" s="366"/>
      <c r="FK6" s="366"/>
      <c r="FL6" s="366"/>
      <c r="FM6" s="366"/>
      <c r="FN6" s="366"/>
      <c r="FO6" s="366"/>
      <c r="FP6" s="366"/>
      <c r="FQ6" s="366"/>
      <c r="FR6" s="366"/>
      <c r="FS6" s="366"/>
      <c r="FT6" s="366"/>
      <c r="FU6" s="366"/>
      <c r="FV6" s="366"/>
      <c r="FW6" s="366"/>
      <c r="FX6" s="366"/>
      <c r="FY6" s="366"/>
      <c r="FZ6" s="366"/>
      <c r="GA6" s="366"/>
      <c r="GB6" s="366"/>
      <c r="GC6" s="366"/>
      <c r="GD6" s="366"/>
      <c r="GE6" s="366"/>
      <c r="GF6" s="366"/>
      <c r="GG6" s="366"/>
      <c r="GH6" s="366"/>
      <c r="GI6" s="366"/>
      <c r="GJ6" s="366"/>
      <c r="GK6" s="366"/>
      <c r="GL6" s="366"/>
      <c r="GM6" s="366"/>
      <c r="GN6" s="366"/>
      <c r="GO6" s="366"/>
      <c r="GP6" s="366"/>
      <c r="GQ6" s="366"/>
      <c r="GR6" s="366"/>
      <c r="GS6" s="366"/>
      <c r="GT6" s="366"/>
      <c r="GU6" s="366"/>
      <c r="GV6" s="366"/>
      <c r="GW6" s="366"/>
      <c r="GX6" s="366"/>
      <c r="GY6" s="366"/>
      <c r="GZ6" s="366"/>
      <c r="HA6" s="366"/>
      <c r="HB6" s="366"/>
      <c r="HC6" s="366"/>
      <c r="HD6" s="366"/>
      <c r="HE6" s="366"/>
      <c r="HF6" s="366"/>
      <c r="HG6" s="366"/>
      <c r="HH6" s="366"/>
      <c r="HI6" s="366"/>
      <c r="HJ6" s="366"/>
      <c r="HK6" s="366"/>
      <c r="HL6" s="366"/>
      <c r="HM6" s="366"/>
      <c r="HN6" s="366"/>
      <c r="HO6" s="366"/>
      <c r="HP6" s="366"/>
      <c r="HQ6" s="366"/>
      <c r="HR6" s="366"/>
      <c r="HS6" s="366"/>
      <c r="HT6" s="366"/>
      <c r="HU6" s="366"/>
      <c r="HV6" s="366"/>
      <c r="HW6" s="366"/>
      <c r="HX6" s="366"/>
      <c r="HY6" s="366"/>
      <c r="HZ6" s="366"/>
      <c r="IA6" s="366"/>
      <c r="IB6" s="366"/>
      <c r="IC6" s="366"/>
      <c r="ID6" s="366"/>
      <c r="IE6" s="366"/>
      <c r="IF6" s="366"/>
      <c r="IG6" s="366"/>
      <c r="IH6" s="366"/>
      <c r="II6" s="366"/>
      <c r="IJ6" s="366"/>
      <c r="IK6" s="366"/>
      <c r="IL6" s="366"/>
      <c r="IM6" s="366"/>
      <c r="IN6" s="366"/>
      <c r="IO6" s="366"/>
      <c r="IP6" s="366"/>
      <c r="IQ6" s="366"/>
      <c r="IR6" s="366"/>
      <c r="IS6" s="366"/>
      <c r="IT6" s="366"/>
      <c r="IU6" s="366"/>
      <c r="IV6" s="366"/>
      <c r="IW6" s="366"/>
    </row>
    <row r="7" spans="1:257" s="4" customFormat="1" ht="11.45" customHeight="1">
      <c r="A7" s="15"/>
      <c r="B7" s="121"/>
      <c r="C7" s="329">
        <v>1991</v>
      </c>
      <c r="D7" s="329">
        <v>1992</v>
      </c>
      <c r="E7" s="329">
        <v>1993</v>
      </c>
      <c r="F7" s="329">
        <v>1994</v>
      </c>
      <c r="G7" s="329">
        <v>1995</v>
      </c>
      <c r="H7" s="329">
        <v>1996</v>
      </c>
      <c r="I7" s="329">
        <v>1997</v>
      </c>
      <c r="J7" s="329">
        <v>1998</v>
      </c>
      <c r="K7" s="329">
        <v>1999</v>
      </c>
      <c r="L7" s="329">
        <v>2000</v>
      </c>
      <c r="M7" s="329">
        <v>2001</v>
      </c>
      <c r="N7" s="329">
        <v>2002</v>
      </c>
      <c r="O7" s="329">
        <v>2003</v>
      </c>
      <c r="P7" s="329">
        <v>2004</v>
      </c>
      <c r="Q7" s="329">
        <v>2005</v>
      </c>
      <c r="R7" s="329">
        <v>2006</v>
      </c>
      <c r="S7" s="329">
        <v>2007</v>
      </c>
      <c r="T7" s="329">
        <v>2008</v>
      </c>
      <c r="U7" s="329">
        <v>2009</v>
      </c>
      <c r="V7" s="329">
        <v>2010</v>
      </c>
      <c r="W7" s="329">
        <v>2011</v>
      </c>
      <c r="X7" s="326">
        <v>2012</v>
      </c>
      <c r="Y7" s="326">
        <v>2013</v>
      </c>
      <c r="Z7" s="326">
        <v>2014</v>
      </c>
      <c r="AA7" s="326">
        <v>2015</v>
      </c>
      <c r="AB7" s="326">
        <v>2016</v>
      </c>
      <c r="AC7" s="326">
        <v>2017</v>
      </c>
      <c r="AD7" s="326" t="s">
        <v>245</v>
      </c>
      <c r="AE7" s="326" t="s">
        <v>244</v>
      </c>
      <c r="AF7" s="326" t="s">
        <v>243</v>
      </c>
      <c r="AG7" s="17"/>
      <c r="AH7" s="328">
        <v>33969</v>
      </c>
      <c r="AI7" s="328">
        <v>34059</v>
      </c>
      <c r="AJ7" s="328">
        <v>34150</v>
      </c>
      <c r="AK7" s="328">
        <v>34242</v>
      </c>
      <c r="AL7" s="328">
        <v>34334</v>
      </c>
      <c r="AM7" s="328">
        <v>34424</v>
      </c>
      <c r="AN7" s="328">
        <v>34515</v>
      </c>
      <c r="AO7" s="328">
        <v>34607</v>
      </c>
      <c r="AP7" s="328">
        <v>34699</v>
      </c>
      <c r="AQ7" s="328">
        <v>34789</v>
      </c>
      <c r="AR7" s="328">
        <v>34880</v>
      </c>
      <c r="AS7" s="328">
        <v>34972</v>
      </c>
      <c r="AT7" s="328">
        <v>35064</v>
      </c>
      <c r="AU7" s="328">
        <v>35155</v>
      </c>
      <c r="AV7" s="328">
        <v>35246</v>
      </c>
      <c r="AW7" s="328">
        <v>35338</v>
      </c>
      <c r="AX7" s="328">
        <v>35430</v>
      </c>
      <c r="AY7" s="328">
        <v>35520</v>
      </c>
      <c r="AZ7" s="328">
        <v>35611</v>
      </c>
      <c r="BA7" s="328">
        <v>35703</v>
      </c>
      <c r="BB7" s="328">
        <v>35795</v>
      </c>
      <c r="BC7" s="328">
        <v>35885</v>
      </c>
      <c r="BD7" s="328">
        <v>35976</v>
      </c>
      <c r="BE7" s="328">
        <v>36068</v>
      </c>
      <c r="BF7" s="328">
        <v>36160</v>
      </c>
      <c r="BG7" s="328">
        <v>36250</v>
      </c>
      <c r="BH7" s="328">
        <v>36341</v>
      </c>
      <c r="BI7" s="328">
        <v>36433</v>
      </c>
      <c r="BJ7" s="328">
        <v>36525</v>
      </c>
      <c r="BK7" s="328">
        <v>36616</v>
      </c>
      <c r="BL7" s="328">
        <v>36707</v>
      </c>
      <c r="BM7" s="328">
        <v>36799</v>
      </c>
      <c r="BN7" s="328">
        <v>36891</v>
      </c>
      <c r="BO7" s="328">
        <v>36981</v>
      </c>
      <c r="BP7" s="328">
        <v>37072</v>
      </c>
      <c r="BQ7" s="328">
        <v>37164</v>
      </c>
      <c r="BR7" s="328">
        <v>37256</v>
      </c>
      <c r="BS7" s="328">
        <v>37346</v>
      </c>
      <c r="BT7" s="328">
        <v>37437</v>
      </c>
      <c r="BU7" s="328">
        <v>37529</v>
      </c>
      <c r="BV7" s="328">
        <v>37621</v>
      </c>
      <c r="BW7" s="328">
        <v>37711</v>
      </c>
      <c r="BX7" s="328">
        <v>37802</v>
      </c>
      <c r="BY7" s="328">
        <v>37894</v>
      </c>
      <c r="BZ7" s="328">
        <v>37986</v>
      </c>
      <c r="CA7" s="328">
        <v>38077</v>
      </c>
      <c r="CB7" s="328">
        <v>38168</v>
      </c>
      <c r="CC7" s="328">
        <v>38260</v>
      </c>
      <c r="CD7" s="328">
        <v>38352</v>
      </c>
      <c r="CE7" s="328">
        <v>38442</v>
      </c>
      <c r="CF7" s="328">
        <v>38533</v>
      </c>
      <c r="CG7" s="328">
        <v>38625</v>
      </c>
      <c r="CH7" s="328">
        <v>38717</v>
      </c>
      <c r="CI7" s="328">
        <v>38807</v>
      </c>
      <c r="CJ7" s="328">
        <v>38898</v>
      </c>
      <c r="CK7" s="328">
        <v>38990</v>
      </c>
      <c r="CL7" s="328">
        <v>39082</v>
      </c>
      <c r="CM7" s="328">
        <v>39172</v>
      </c>
      <c r="CN7" s="328">
        <v>39263</v>
      </c>
      <c r="CO7" s="328">
        <v>39355</v>
      </c>
      <c r="CP7" s="328">
        <v>39447</v>
      </c>
      <c r="CQ7" s="328">
        <v>39538</v>
      </c>
      <c r="CR7" s="328">
        <v>39629</v>
      </c>
      <c r="CS7" s="328">
        <v>39721</v>
      </c>
      <c r="CT7" s="328">
        <v>39813</v>
      </c>
      <c r="CU7" s="328">
        <v>39903</v>
      </c>
      <c r="CV7" s="328">
        <v>39994</v>
      </c>
      <c r="CW7" s="328">
        <v>40086</v>
      </c>
      <c r="CX7" s="328">
        <v>40178</v>
      </c>
      <c r="CY7" s="328">
        <v>40268</v>
      </c>
      <c r="CZ7" s="328">
        <v>40359</v>
      </c>
      <c r="DA7" s="328">
        <v>40451</v>
      </c>
      <c r="DB7" s="328">
        <v>40543</v>
      </c>
      <c r="DC7" s="328">
        <v>40633</v>
      </c>
      <c r="DD7" s="328">
        <v>40724</v>
      </c>
      <c r="DE7" s="328">
        <v>40816</v>
      </c>
      <c r="DF7" s="328">
        <v>40908</v>
      </c>
      <c r="DG7" s="328">
        <v>40999</v>
      </c>
      <c r="DH7" s="328">
        <v>41090</v>
      </c>
      <c r="DI7" s="328">
        <v>41182</v>
      </c>
      <c r="DJ7" s="328">
        <v>41274</v>
      </c>
      <c r="DK7" s="328">
        <v>41364</v>
      </c>
      <c r="DL7" s="328">
        <v>41455</v>
      </c>
      <c r="DM7" s="328">
        <v>41547</v>
      </c>
      <c r="DN7" s="328">
        <v>41639</v>
      </c>
      <c r="DO7" s="328">
        <v>41729</v>
      </c>
      <c r="DP7" s="328">
        <v>41820</v>
      </c>
      <c r="DQ7" s="328">
        <v>41912</v>
      </c>
      <c r="DR7" s="328">
        <v>42004</v>
      </c>
      <c r="DS7" s="328">
        <v>42094</v>
      </c>
      <c r="DT7" s="328">
        <v>42185</v>
      </c>
      <c r="DU7" s="328">
        <v>42277</v>
      </c>
      <c r="DV7" s="328">
        <v>42369</v>
      </c>
      <c r="DW7" s="328">
        <v>42460</v>
      </c>
      <c r="DX7" s="328">
        <v>42551</v>
      </c>
      <c r="DY7" s="328">
        <v>42643</v>
      </c>
      <c r="DZ7" s="328">
        <f t="shared" ref="DZ7:EP7" si="17">EOMONTH(DY7,3)</f>
        <v>42735</v>
      </c>
      <c r="EA7" s="328">
        <f t="shared" si="17"/>
        <v>42825</v>
      </c>
      <c r="EB7" s="328">
        <f t="shared" si="17"/>
        <v>42916</v>
      </c>
      <c r="EC7" s="328">
        <f t="shared" si="17"/>
        <v>43008</v>
      </c>
      <c r="ED7" s="328">
        <f t="shared" si="17"/>
        <v>43100</v>
      </c>
      <c r="EE7" s="327">
        <f t="shared" si="17"/>
        <v>43190</v>
      </c>
      <c r="EF7" s="327">
        <f t="shared" si="17"/>
        <v>43281</v>
      </c>
      <c r="EG7" s="327">
        <f t="shared" si="17"/>
        <v>43373</v>
      </c>
      <c r="EH7" s="327">
        <f t="shared" si="17"/>
        <v>43465</v>
      </c>
      <c r="EI7" s="327">
        <f t="shared" si="17"/>
        <v>43555</v>
      </c>
      <c r="EJ7" s="327">
        <f t="shared" si="17"/>
        <v>43646</v>
      </c>
      <c r="EK7" s="327">
        <f t="shared" si="17"/>
        <v>43738</v>
      </c>
      <c r="EL7" s="327">
        <f t="shared" si="17"/>
        <v>43830</v>
      </c>
      <c r="EM7" s="327">
        <f t="shared" si="17"/>
        <v>43921</v>
      </c>
      <c r="EN7" s="327">
        <f t="shared" si="17"/>
        <v>44012</v>
      </c>
      <c r="EO7" s="327">
        <f t="shared" si="17"/>
        <v>44104</v>
      </c>
      <c r="EP7" s="327">
        <f t="shared" si="17"/>
        <v>44196</v>
      </c>
      <c r="EQ7" s="323"/>
      <c r="ER7" s="323"/>
      <c r="ES7" s="355">
        <f>ES6+1</f>
        <v>2</v>
      </c>
      <c r="ET7"/>
      <c r="EU7"/>
      <c r="EV7"/>
      <c r="EW7"/>
      <c r="EX7"/>
      <c r="EY7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s="4" customFormat="1" ht="11.45" customHeight="1">
      <c r="A8" s="15" t="s">
        <v>0</v>
      </c>
      <c r="B8" s="92" t="s">
        <v>242</v>
      </c>
      <c r="C8" s="326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  <c r="U8" s="326"/>
      <c r="V8" s="326"/>
      <c r="W8" s="326"/>
      <c r="X8" s="326"/>
      <c r="Y8" s="300"/>
      <c r="Z8" s="300"/>
      <c r="AA8" s="300"/>
      <c r="AB8" s="300"/>
      <c r="AC8" s="300"/>
      <c r="AD8" s="300"/>
      <c r="AE8" s="300"/>
      <c r="AF8" s="300"/>
      <c r="AG8" s="17"/>
      <c r="AH8" s="325"/>
      <c r="AI8" s="325"/>
      <c r="AJ8" s="325"/>
      <c r="AK8" s="325"/>
      <c r="AL8" s="325"/>
      <c r="AM8" s="325"/>
      <c r="AN8" s="325"/>
      <c r="AO8" s="325"/>
      <c r="AP8" s="325"/>
      <c r="AQ8" s="325"/>
      <c r="AR8" s="325"/>
      <c r="AS8" s="325"/>
      <c r="AT8" s="325"/>
      <c r="AU8" s="325"/>
      <c r="AV8" s="325"/>
      <c r="AW8" s="325"/>
      <c r="AX8" s="325"/>
      <c r="AY8" s="325"/>
      <c r="AZ8" s="325"/>
      <c r="BA8" s="325"/>
      <c r="BB8" s="325"/>
      <c r="BC8" s="325"/>
      <c r="BD8" s="325"/>
      <c r="BE8" s="325"/>
      <c r="BF8" s="325"/>
      <c r="BG8" s="325"/>
      <c r="BH8" s="325"/>
      <c r="BI8" s="325"/>
      <c r="BJ8" s="325"/>
      <c r="BK8" s="325"/>
      <c r="BL8" s="325"/>
      <c r="BM8" s="325"/>
      <c r="BN8" s="325"/>
      <c r="BO8" s="325"/>
      <c r="BP8" s="325"/>
      <c r="BQ8" s="325"/>
      <c r="BR8" s="325"/>
      <c r="BS8" s="325"/>
      <c r="BT8" s="325"/>
      <c r="BU8" s="325"/>
      <c r="BV8" s="325"/>
      <c r="BW8" s="325"/>
      <c r="BX8" s="325"/>
      <c r="BY8" s="325"/>
      <c r="BZ8" s="325"/>
      <c r="CA8" s="325"/>
      <c r="CB8" s="325"/>
      <c r="CC8" s="325"/>
      <c r="CD8" s="325"/>
      <c r="CE8" s="325"/>
      <c r="CF8" s="325"/>
      <c r="CG8" s="325"/>
      <c r="CH8" s="325"/>
      <c r="CI8" s="325"/>
      <c r="CJ8" s="325"/>
      <c r="CK8" s="325"/>
      <c r="CL8" s="325"/>
      <c r="CM8" s="325"/>
      <c r="CN8" s="325"/>
      <c r="CO8" s="325"/>
      <c r="CP8" s="325"/>
      <c r="CQ8" s="325"/>
      <c r="CR8" s="325"/>
      <c r="CS8" s="325"/>
      <c r="CT8" s="325"/>
      <c r="CU8" s="324"/>
      <c r="CV8" s="324"/>
      <c r="CW8" s="324"/>
      <c r="CX8" s="324"/>
      <c r="CY8" s="324"/>
      <c r="CZ8" s="324"/>
      <c r="DA8" s="324"/>
      <c r="DB8" s="324"/>
      <c r="DC8" s="324"/>
      <c r="DD8" s="324"/>
      <c r="DE8" s="324"/>
      <c r="DF8" s="324"/>
      <c r="DG8" s="324"/>
      <c r="DH8" s="300"/>
      <c r="DI8" s="300"/>
      <c r="DJ8" s="300"/>
      <c r="DK8" s="300"/>
      <c r="DL8" s="300"/>
      <c r="DM8" s="300"/>
      <c r="DN8" s="300"/>
      <c r="DO8" s="300"/>
      <c r="DP8" s="300"/>
      <c r="DQ8" s="300"/>
      <c r="DR8" s="300"/>
      <c r="DS8" s="300"/>
      <c r="DT8" s="300"/>
      <c r="DU8" s="300"/>
      <c r="DV8" s="300"/>
      <c r="DW8" s="300"/>
      <c r="DX8" s="324"/>
      <c r="DY8" s="324"/>
      <c r="DZ8" s="324"/>
      <c r="EA8" s="324"/>
      <c r="EB8" s="324"/>
      <c r="EC8" s="324"/>
      <c r="ED8" s="324"/>
      <c r="EE8" s="324"/>
      <c r="EF8" s="324"/>
      <c r="EG8" s="324"/>
      <c r="EH8" s="324"/>
      <c r="EI8" s="324"/>
      <c r="EJ8" s="324"/>
      <c r="EK8" s="324"/>
      <c r="EL8" s="324"/>
      <c r="EM8" s="324"/>
      <c r="EN8" s="324"/>
      <c r="EO8" s="324"/>
      <c r="EP8" s="324"/>
      <c r="EQ8" s="323"/>
      <c r="ER8" s="323"/>
      <c r="ES8" s="355">
        <f t="shared" ref="ES8:ES71" si="18">ES7+1</f>
        <v>3</v>
      </c>
      <c r="ET8"/>
      <c r="EU8"/>
      <c r="EV8"/>
      <c r="EW8"/>
      <c r="EX8"/>
      <c r="EY8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s="4" customFormat="1" ht="11.45" customHeight="1" outlineLevel="1">
      <c r="A9" s="15"/>
      <c r="B9" s="121" t="s">
        <v>109</v>
      </c>
      <c r="C9" s="120">
        <f t="shared" ref="C9:AF9" si="19">C7</f>
        <v>1991</v>
      </c>
      <c r="D9" s="120">
        <f t="shared" si="19"/>
        <v>1992</v>
      </c>
      <c r="E9" s="120">
        <f t="shared" si="19"/>
        <v>1993</v>
      </c>
      <c r="F9" s="120">
        <f t="shared" si="19"/>
        <v>1994</v>
      </c>
      <c r="G9" s="120">
        <f t="shared" si="19"/>
        <v>1995</v>
      </c>
      <c r="H9" s="120">
        <f t="shared" si="19"/>
        <v>1996</v>
      </c>
      <c r="I9" s="120">
        <f t="shared" si="19"/>
        <v>1997</v>
      </c>
      <c r="J9" s="120">
        <f t="shared" si="19"/>
        <v>1998</v>
      </c>
      <c r="K9" s="120">
        <f t="shared" si="19"/>
        <v>1999</v>
      </c>
      <c r="L9" s="120">
        <f t="shared" si="19"/>
        <v>2000</v>
      </c>
      <c r="M9" s="120">
        <f t="shared" si="19"/>
        <v>2001</v>
      </c>
      <c r="N9" s="120">
        <f t="shared" si="19"/>
        <v>2002</v>
      </c>
      <c r="O9" s="120">
        <f t="shared" si="19"/>
        <v>2003</v>
      </c>
      <c r="P9" s="120">
        <f t="shared" si="19"/>
        <v>2004</v>
      </c>
      <c r="Q9" s="120">
        <f t="shared" si="19"/>
        <v>2005</v>
      </c>
      <c r="R9" s="120">
        <f t="shared" si="19"/>
        <v>2006</v>
      </c>
      <c r="S9" s="120">
        <f t="shared" si="19"/>
        <v>2007</v>
      </c>
      <c r="T9" s="120">
        <f t="shared" si="19"/>
        <v>2008</v>
      </c>
      <c r="U9" s="120">
        <f t="shared" si="19"/>
        <v>2009</v>
      </c>
      <c r="V9" s="120">
        <f t="shared" si="19"/>
        <v>2010</v>
      </c>
      <c r="W9" s="120">
        <f t="shared" si="19"/>
        <v>2011</v>
      </c>
      <c r="X9" s="120">
        <f t="shared" si="19"/>
        <v>2012</v>
      </c>
      <c r="Y9" s="120">
        <f t="shared" si="19"/>
        <v>2013</v>
      </c>
      <c r="Z9" s="120">
        <f t="shared" si="19"/>
        <v>2014</v>
      </c>
      <c r="AA9" s="120">
        <f t="shared" si="19"/>
        <v>2015</v>
      </c>
      <c r="AB9" s="120">
        <f t="shared" si="19"/>
        <v>2016</v>
      </c>
      <c r="AC9" s="120">
        <f t="shared" si="19"/>
        <v>2017</v>
      </c>
      <c r="AD9" s="120" t="str">
        <f t="shared" si="19"/>
        <v>2018E</v>
      </c>
      <c r="AE9" s="120" t="str">
        <f t="shared" si="19"/>
        <v>2019E</v>
      </c>
      <c r="AF9" s="120" t="str">
        <f t="shared" si="19"/>
        <v>2020E</v>
      </c>
      <c r="AG9" s="17"/>
      <c r="AH9" s="119">
        <f t="shared" ref="AH9:BM9" si="20">AH7</f>
        <v>33969</v>
      </c>
      <c r="AI9" s="119">
        <f t="shared" si="20"/>
        <v>34059</v>
      </c>
      <c r="AJ9" s="119">
        <f t="shared" si="20"/>
        <v>34150</v>
      </c>
      <c r="AK9" s="119">
        <f t="shared" si="20"/>
        <v>34242</v>
      </c>
      <c r="AL9" s="119">
        <f t="shared" si="20"/>
        <v>34334</v>
      </c>
      <c r="AM9" s="119">
        <f t="shared" si="20"/>
        <v>34424</v>
      </c>
      <c r="AN9" s="119">
        <f t="shared" si="20"/>
        <v>34515</v>
      </c>
      <c r="AO9" s="119">
        <f t="shared" si="20"/>
        <v>34607</v>
      </c>
      <c r="AP9" s="119">
        <f t="shared" si="20"/>
        <v>34699</v>
      </c>
      <c r="AQ9" s="119">
        <f t="shared" si="20"/>
        <v>34789</v>
      </c>
      <c r="AR9" s="119">
        <f t="shared" si="20"/>
        <v>34880</v>
      </c>
      <c r="AS9" s="119">
        <f t="shared" si="20"/>
        <v>34972</v>
      </c>
      <c r="AT9" s="119">
        <f t="shared" si="20"/>
        <v>35064</v>
      </c>
      <c r="AU9" s="119">
        <f t="shared" si="20"/>
        <v>35155</v>
      </c>
      <c r="AV9" s="119">
        <f t="shared" si="20"/>
        <v>35246</v>
      </c>
      <c r="AW9" s="119">
        <f t="shared" si="20"/>
        <v>35338</v>
      </c>
      <c r="AX9" s="119">
        <f t="shared" si="20"/>
        <v>35430</v>
      </c>
      <c r="AY9" s="119">
        <f t="shared" si="20"/>
        <v>35520</v>
      </c>
      <c r="AZ9" s="119">
        <f t="shared" si="20"/>
        <v>35611</v>
      </c>
      <c r="BA9" s="119">
        <f t="shared" si="20"/>
        <v>35703</v>
      </c>
      <c r="BB9" s="119">
        <f t="shared" si="20"/>
        <v>35795</v>
      </c>
      <c r="BC9" s="119">
        <f t="shared" si="20"/>
        <v>35885</v>
      </c>
      <c r="BD9" s="119">
        <f t="shared" si="20"/>
        <v>35976</v>
      </c>
      <c r="BE9" s="119">
        <f t="shared" si="20"/>
        <v>36068</v>
      </c>
      <c r="BF9" s="119">
        <f t="shared" si="20"/>
        <v>36160</v>
      </c>
      <c r="BG9" s="119">
        <f t="shared" si="20"/>
        <v>36250</v>
      </c>
      <c r="BH9" s="119">
        <f t="shared" si="20"/>
        <v>36341</v>
      </c>
      <c r="BI9" s="119">
        <f t="shared" si="20"/>
        <v>36433</v>
      </c>
      <c r="BJ9" s="119">
        <f t="shared" si="20"/>
        <v>36525</v>
      </c>
      <c r="BK9" s="119">
        <f t="shared" si="20"/>
        <v>36616</v>
      </c>
      <c r="BL9" s="119">
        <f t="shared" si="20"/>
        <v>36707</v>
      </c>
      <c r="BM9" s="119">
        <f t="shared" si="20"/>
        <v>36799</v>
      </c>
      <c r="BN9" s="119">
        <f t="shared" ref="BN9:CS9" si="21">BN7</f>
        <v>36891</v>
      </c>
      <c r="BO9" s="119">
        <f t="shared" si="21"/>
        <v>36981</v>
      </c>
      <c r="BP9" s="119">
        <f t="shared" si="21"/>
        <v>37072</v>
      </c>
      <c r="BQ9" s="119">
        <f t="shared" si="21"/>
        <v>37164</v>
      </c>
      <c r="BR9" s="119">
        <f t="shared" si="21"/>
        <v>37256</v>
      </c>
      <c r="BS9" s="119">
        <f t="shared" si="21"/>
        <v>37346</v>
      </c>
      <c r="BT9" s="119">
        <f t="shared" si="21"/>
        <v>37437</v>
      </c>
      <c r="BU9" s="119">
        <f t="shared" si="21"/>
        <v>37529</v>
      </c>
      <c r="BV9" s="119">
        <f t="shared" si="21"/>
        <v>37621</v>
      </c>
      <c r="BW9" s="119">
        <f t="shared" si="21"/>
        <v>37711</v>
      </c>
      <c r="BX9" s="119">
        <f t="shared" si="21"/>
        <v>37802</v>
      </c>
      <c r="BY9" s="119">
        <f t="shared" si="21"/>
        <v>37894</v>
      </c>
      <c r="BZ9" s="119">
        <f t="shared" si="21"/>
        <v>37986</v>
      </c>
      <c r="CA9" s="119">
        <f t="shared" si="21"/>
        <v>38077</v>
      </c>
      <c r="CB9" s="119">
        <f t="shared" si="21"/>
        <v>38168</v>
      </c>
      <c r="CC9" s="119">
        <f t="shared" si="21"/>
        <v>38260</v>
      </c>
      <c r="CD9" s="119">
        <f t="shared" si="21"/>
        <v>38352</v>
      </c>
      <c r="CE9" s="119">
        <f t="shared" si="21"/>
        <v>38442</v>
      </c>
      <c r="CF9" s="119">
        <f t="shared" si="21"/>
        <v>38533</v>
      </c>
      <c r="CG9" s="119">
        <f t="shared" si="21"/>
        <v>38625</v>
      </c>
      <c r="CH9" s="119">
        <f t="shared" si="21"/>
        <v>38717</v>
      </c>
      <c r="CI9" s="119">
        <f t="shared" si="21"/>
        <v>38807</v>
      </c>
      <c r="CJ9" s="119">
        <f t="shared" si="21"/>
        <v>38898</v>
      </c>
      <c r="CK9" s="119">
        <f t="shared" si="21"/>
        <v>38990</v>
      </c>
      <c r="CL9" s="119">
        <f t="shared" si="21"/>
        <v>39082</v>
      </c>
      <c r="CM9" s="119">
        <f t="shared" si="21"/>
        <v>39172</v>
      </c>
      <c r="CN9" s="119">
        <f t="shared" si="21"/>
        <v>39263</v>
      </c>
      <c r="CO9" s="119">
        <f t="shared" si="21"/>
        <v>39355</v>
      </c>
      <c r="CP9" s="119">
        <f t="shared" si="21"/>
        <v>39447</v>
      </c>
      <c r="CQ9" s="119">
        <f t="shared" si="21"/>
        <v>39538</v>
      </c>
      <c r="CR9" s="119">
        <f t="shared" si="21"/>
        <v>39629</v>
      </c>
      <c r="CS9" s="119">
        <f t="shared" si="21"/>
        <v>39721</v>
      </c>
      <c r="CT9" s="119">
        <f t="shared" ref="CT9:DY9" si="22">CT7</f>
        <v>39813</v>
      </c>
      <c r="CU9" s="119">
        <f t="shared" si="22"/>
        <v>39903</v>
      </c>
      <c r="CV9" s="119">
        <f t="shared" si="22"/>
        <v>39994</v>
      </c>
      <c r="CW9" s="119">
        <f t="shared" si="22"/>
        <v>40086</v>
      </c>
      <c r="CX9" s="119">
        <f t="shared" si="22"/>
        <v>40178</v>
      </c>
      <c r="CY9" s="119">
        <f t="shared" si="22"/>
        <v>40268</v>
      </c>
      <c r="CZ9" s="119">
        <f t="shared" si="22"/>
        <v>40359</v>
      </c>
      <c r="DA9" s="119">
        <f t="shared" si="22"/>
        <v>40451</v>
      </c>
      <c r="DB9" s="119">
        <f t="shared" si="22"/>
        <v>40543</v>
      </c>
      <c r="DC9" s="119">
        <f t="shared" si="22"/>
        <v>40633</v>
      </c>
      <c r="DD9" s="119">
        <f t="shared" si="22"/>
        <v>40724</v>
      </c>
      <c r="DE9" s="119">
        <f t="shared" si="22"/>
        <v>40816</v>
      </c>
      <c r="DF9" s="119">
        <f t="shared" si="22"/>
        <v>40908</v>
      </c>
      <c r="DG9" s="119">
        <f t="shared" si="22"/>
        <v>40999</v>
      </c>
      <c r="DH9" s="119">
        <f t="shared" si="22"/>
        <v>41090</v>
      </c>
      <c r="DI9" s="119">
        <f t="shared" si="22"/>
        <v>41182</v>
      </c>
      <c r="DJ9" s="119">
        <f t="shared" si="22"/>
        <v>41274</v>
      </c>
      <c r="DK9" s="119">
        <f t="shared" si="22"/>
        <v>41364</v>
      </c>
      <c r="DL9" s="119">
        <f t="shared" si="22"/>
        <v>41455</v>
      </c>
      <c r="DM9" s="119">
        <f t="shared" si="22"/>
        <v>41547</v>
      </c>
      <c r="DN9" s="119">
        <f t="shared" si="22"/>
        <v>41639</v>
      </c>
      <c r="DO9" s="119">
        <f t="shared" si="22"/>
        <v>41729</v>
      </c>
      <c r="DP9" s="119">
        <f t="shared" si="22"/>
        <v>41820</v>
      </c>
      <c r="DQ9" s="119">
        <f t="shared" si="22"/>
        <v>41912</v>
      </c>
      <c r="DR9" s="119">
        <f t="shared" si="22"/>
        <v>42004</v>
      </c>
      <c r="DS9" s="119">
        <f t="shared" si="22"/>
        <v>42094</v>
      </c>
      <c r="DT9" s="119">
        <f t="shared" si="22"/>
        <v>42185</v>
      </c>
      <c r="DU9" s="119">
        <f t="shared" si="22"/>
        <v>42277</v>
      </c>
      <c r="DV9" s="119">
        <f t="shared" si="22"/>
        <v>42369</v>
      </c>
      <c r="DW9" s="119">
        <f t="shared" si="22"/>
        <v>42460</v>
      </c>
      <c r="DX9" s="119">
        <f t="shared" si="22"/>
        <v>42551</v>
      </c>
      <c r="DY9" s="119">
        <f t="shared" si="22"/>
        <v>42643</v>
      </c>
      <c r="DZ9" s="119">
        <f t="shared" ref="DZ9:EP9" si="23">DZ7</f>
        <v>42735</v>
      </c>
      <c r="EA9" s="119">
        <f t="shared" si="23"/>
        <v>42825</v>
      </c>
      <c r="EB9" s="119">
        <f t="shared" si="23"/>
        <v>42916</v>
      </c>
      <c r="EC9" s="119">
        <f t="shared" ref="EC9:ED9" si="24">EC7</f>
        <v>43008</v>
      </c>
      <c r="ED9" s="119">
        <f t="shared" si="24"/>
        <v>43100</v>
      </c>
      <c r="EE9" s="119">
        <f t="shared" si="23"/>
        <v>43190</v>
      </c>
      <c r="EF9" s="119">
        <f t="shared" si="23"/>
        <v>43281</v>
      </c>
      <c r="EG9" s="119">
        <f t="shared" si="23"/>
        <v>43373</v>
      </c>
      <c r="EH9" s="119">
        <f t="shared" si="23"/>
        <v>43465</v>
      </c>
      <c r="EI9" s="119">
        <f t="shared" si="23"/>
        <v>43555</v>
      </c>
      <c r="EJ9" s="119">
        <f t="shared" si="23"/>
        <v>43646</v>
      </c>
      <c r="EK9" s="119">
        <f t="shared" si="23"/>
        <v>43738</v>
      </c>
      <c r="EL9" s="119">
        <f t="shared" si="23"/>
        <v>43830</v>
      </c>
      <c r="EM9" s="119">
        <f t="shared" si="23"/>
        <v>43921</v>
      </c>
      <c r="EN9" s="119">
        <f t="shared" si="23"/>
        <v>44012</v>
      </c>
      <c r="EO9" s="119">
        <f t="shared" si="23"/>
        <v>44104</v>
      </c>
      <c r="EP9" s="119">
        <f t="shared" si="23"/>
        <v>44196</v>
      </c>
      <c r="EQ9" s="323"/>
      <c r="ER9" s="323"/>
      <c r="ES9" s="355">
        <f t="shared" si="18"/>
        <v>4</v>
      </c>
      <c r="ET9"/>
      <c r="EU9"/>
      <c r="EV9"/>
      <c r="EW9"/>
      <c r="EX9"/>
      <c r="EY9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s="4" customFormat="1" ht="11.45" customHeight="1" outlineLevel="1">
      <c r="A10" s="15"/>
      <c r="B10" s="322" t="s">
        <v>241</v>
      </c>
      <c r="C10" s="318"/>
      <c r="D10" s="318"/>
      <c r="E10" s="318"/>
      <c r="F10" s="318"/>
      <c r="G10" s="318"/>
      <c r="H10" s="318"/>
      <c r="I10" s="321"/>
      <c r="J10" s="321"/>
      <c r="K10" s="321"/>
      <c r="L10" s="321"/>
      <c r="M10" s="321"/>
      <c r="N10" s="320"/>
      <c r="O10" s="320"/>
      <c r="P10" s="320"/>
      <c r="Q10" s="320"/>
      <c r="R10" s="320"/>
      <c r="S10" s="320"/>
      <c r="T10" s="320"/>
      <c r="U10" s="320"/>
      <c r="V10" s="320"/>
      <c r="W10" s="320"/>
      <c r="X10" s="320"/>
      <c r="Y10" s="320"/>
      <c r="Z10" s="320"/>
      <c r="AA10" s="320"/>
      <c r="AB10" s="320"/>
      <c r="AC10" s="320"/>
      <c r="AD10" s="320"/>
      <c r="AE10" s="320"/>
      <c r="AF10" s="320"/>
      <c r="AG10" s="17"/>
      <c r="AH10" s="318"/>
      <c r="AI10" s="318"/>
      <c r="AJ10" s="318"/>
      <c r="AK10" s="318"/>
      <c r="AL10" s="318"/>
      <c r="AM10" s="318"/>
      <c r="AN10" s="318"/>
      <c r="AO10" s="318"/>
      <c r="AP10" s="318"/>
      <c r="AQ10" s="318"/>
      <c r="AR10" s="318"/>
      <c r="AS10" s="318"/>
      <c r="AT10" s="318"/>
      <c r="AU10" s="318"/>
      <c r="AV10" s="318"/>
      <c r="AW10" s="318"/>
      <c r="AX10" s="318"/>
      <c r="AY10" s="318"/>
      <c r="AZ10" s="318"/>
      <c r="BA10" s="318"/>
      <c r="BB10" s="318"/>
      <c r="BC10" s="318"/>
      <c r="BD10" s="318"/>
      <c r="BE10" s="318"/>
      <c r="BF10" s="318"/>
      <c r="BG10" s="318"/>
      <c r="BH10" s="318"/>
      <c r="BI10" s="318"/>
      <c r="BJ10" s="318"/>
      <c r="BK10" s="318"/>
      <c r="BL10" s="318"/>
      <c r="BM10" s="318"/>
      <c r="BN10" s="318"/>
      <c r="BO10" s="318"/>
      <c r="BP10" s="318"/>
      <c r="BQ10" s="318"/>
      <c r="BR10" s="318"/>
      <c r="BS10" s="318"/>
      <c r="BT10" s="318"/>
      <c r="BU10" s="318"/>
      <c r="BV10" s="318"/>
      <c r="BW10" s="319"/>
      <c r="BX10" s="318"/>
      <c r="BY10" s="318"/>
      <c r="BZ10" s="318"/>
      <c r="CA10" s="317"/>
      <c r="CB10" s="317"/>
      <c r="CC10" s="318"/>
      <c r="CD10" s="317"/>
      <c r="CE10" s="317"/>
      <c r="CF10" s="317"/>
      <c r="CG10" s="317"/>
      <c r="CH10" s="317"/>
      <c r="CI10" s="317"/>
      <c r="CJ10" s="317"/>
      <c r="CK10" s="317"/>
      <c r="CL10" s="317"/>
      <c r="CM10" s="317"/>
      <c r="CN10" s="317"/>
      <c r="CO10" s="317"/>
      <c r="CP10" s="317"/>
      <c r="CQ10" s="317"/>
      <c r="CR10" s="317"/>
      <c r="CS10" s="317"/>
      <c r="CT10" s="317"/>
      <c r="CU10" s="317"/>
      <c r="CV10" s="317"/>
      <c r="CW10" s="317"/>
      <c r="CX10" s="317"/>
      <c r="CY10" s="317"/>
      <c r="CZ10" s="317"/>
      <c r="DA10" s="317"/>
      <c r="DB10" s="317"/>
      <c r="DC10" s="317"/>
      <c r="DD10" s="317"/>
      <c r="DE10" s="317"/>
      <c r="DF10" s="317"/>
      <c r="DG10" s="317"/>
      <c r="DH10" s="317"/>
      <c r="DI10" s="317"/>
      <c r="DJ10" s="317"/>
      <c r="DK10" s="317"/>
      <c r="DL10" s="317"/>
      <c r="DM10" s="317"/>
      <c r="DN10" s="317"/>
      <c r="DO10" s="317"/>
      <c r="DP10" s="317"/>
      <c r="DQ10" s="317"/>
      <c r="DR10" s="317"/>
      <c r="DS10" s="317"/>
      <c r="DT10" s="317"/>
      <c r="DU10" s="317"/>
      <c r="DV10" s="317"/>
      <c r="DW10" s="317"/>
      <c r="DX10" s="317"/>
      <c r="DY10" s="316"/>
      <c r="DZ10" s="316"/>
      <c r="EA10" s="316"/>
      <c r="EB10" s="316"/>
      <c r="EC10" s="316"/>
      <c r="ED10" s="316"/>
      <c r="EE10" s="315"/>
      <c r="EF10" s="315"/>
      <c r="EG10" s="315"/>
      <c r="EH10" s="315"/>
      <c r="EI10" s="315"/>
      <c r="EJ10" s="315"/>
      <c r="EK10" s="315"/>
      <c r="EL10" s="315"/>
      <c r="EM10" s="315"/>
      <c r="EN10" s="315"/>
      <c r="EO10" s="315"/>
      <c r="EP10" s="315"/>
      <c r="EQ10" s="315"/>
      <c r="ER10" s="315"/>
      <c r="ES10" s="355">
        <f t="shared" si="18"/>
        <v>5</v>
      </c>
      <c r="ET10"/>
      <c r="EU10"/>
      <c r="EV10"/>
      <c r="EW10"/>
      <c r="EX10"/>
      <c r="EY10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s="4" customFormat="1" ht="11.45" customHeight="1" outlineLevel="1">
      <c r="A11" s="15"/>
      <c r="B11" s="14" t="s">
        <v>192</v>
      </c>
      <c r="C11" s="129"/>
      <c r="D11" s="129"/>
      <c r="E11" s="18">
        <f t="shared" ref="E11:M11" si="25">E156</f>
        <v>60.328000000000003</v>
      </c>
      <c r="F11" s="18">
        <f t="shared" si="25"/>
        <v>86.521000000000001</v>
      </c>
      <c r="G11" s="18">
        <f t="shared" si="25"/>
        <v>93.89</v>
      </c>
      <c r="H11" s="18">
        <f t="shared" si="25"/>
        <v>108.336</v>
      </c>
      <c r="I11" s="18">
        <f t="shared" si="25"/>
        <v>140.29400000000001</v>
      </c>
      <c r="J11" s="18">
        <f t="shared" si="25"/>
        <v>181.143</v>
      </c>
      <c r="K11" s="18">
        <f t="shared" si="25"/>
        <v>216.10400000000001</v>
      </c>
      <c r="L11" s="18">
        <f t="shared" si="25"/>
        <v>217.57900000000001</v>
      </c>
      <c r="M11" s="18">
        <f t="shared" si="25"/>
        <v>336.88600000000002</v>
      </c>
      <c r="N11" s="18">
        <f>SUM(BR11:BU12)</f>
        <v>364.56800000000004</v>
      </c>
      <c r="O11" s="18">
        <f t="shared" ref="O11:X14" si="26">SUMIF($AH$5:$ER$5,O$5,$AH11:$ER11)</f>
        <v>273.99299999999999</v>
      </c>
      <c r="P11" s="18">
        <f t="shared" si="26"/>
        <v>346.01500000000004</v>
      </c>
      <c r="Q11" s="18">
        <f t="shared" si="26"/>
        <v>527.63700000000006</v>
      </c>
      <c r="R11" s="18">
        <f t="shared" si="26"/>
        <v>829.06200000000013</v>
      </c>
      <c r="S11" s="18">
        <f t="shared" si="26"/>
        <v>1174.9559999999999</v>
      </c>
      <c r="T11" s="18">
        <f t="shared" si="26"/>
        <v>1542.0379999999998</v>
      </c>
      <c r="U11" s="18">
        <f t="shared" si="26"/>
        <v>1441.164</v>
      </c>
      <c r="V11" s="18">
        <f t="shared" si="26"/>
        <v>1412.4950000000001</v>
      </c>
      <c r="W11" s="18">
        <f t="shared" si="26"/>
        <v>2100.5079999999998</v>
      </c>
      <c r="X11" s="18">
        <f t="shared" si="26"/>
        <v>2678.4750000000004</v>
      </c>
      <c r="Y11" s="18">
        <f t="shared" ref="Y11:AF14" si="27">SUMIF($AH$5:$ER$5,Y$5,$AH11:$ER11)</f>
        <v>2769.0093999999999</v>
      </c>
      <c r="Z11" s="18">
        <f t="shared" si="27"/>
        <v>3090.0521920000001</v>
      </c>
      <c r="AA11" s="18">
        <f t="shared" si="27"/>
        <v>2320.3224190000001</v>
      </c>
      <c r="AB11" s="18">
        <f t="shared" si="27"/>
        <v>1023.502358</v>
      </c>
      <c r="AC11" s="18">
        <f t="shared" si="27"/>
        <v>1415.0695040000001</v>
      </c>
      <c r="AD11" s="18">
        <f t="shared" si="27"/>
        <v>1942.60923525</v>
      </c>
      <c r="AE11" s="18">
        <f t="shared" si="27"/>
        <v>2269.1475350000001</v>
      </c>
      <c r="AF11" s="18">
        <f t="shared" si="27"/>
        <v>2414.6450000000004</v>
      </c>
      <c r="AG11" s="96"/>
      <c r="AH11" s="102">
        <v>14.632</v>
      </c>
      <c r="AI11" s="102">
        <v>14.75</v>
      </c>
      <c r="AJ11" s="102">
        <v>14.781000000000001</v>
      </c>
      <c r="AK11" s="102">
        <f>60.328-SUM(AH11:AJ11)</f>
        <v>16.165000000000006</v>
      </c>
      <c r="AL11" s="102">
        <v>19.817</v>
      </c>
      <c r="AM11" s="102">
        <v>21.248999999999999</v>
      </c>
      <c r="AN11" s="102">
        <v>20.289000000000001</v>
      </c>
      <c r="AO11" s="102">
        <f>86.521-SUM(AL11:AN11)</f>
        <v>25.165999999999997</v>
      </c>
      <c r="AP11" s="102">
        <v>25.488</v>
      </c>
      <c r="AQ11" s="102">
        <v>23.553000000000001</v>
      </c>
      <c r="AR11" s="102">
        <v>21.599</v>
      </c>
      <c r="AS11" s="102">
        <f>93.89-SUM(AP11:AR11)</f>
        <v>23.25</v>
      </c>
      <c r="AT11" s="102">
        <v>23.02</v>
      </c>
      <c r="AU11" s="102">
        <v>26.088000000000001</v>
      </c>
      <c r="AV11" s="102">
        <v>29.981000000000002</v>
      </c>
      <c r="AW11" s="102">
        <f>108.336-SUM(AT11:AV11)</f>
        <v>29.247</v>
      </c>
      <c r="AX11" s="102">
        <v>29.596</v>
      </c>
      <c r="AY11" s="102">
        <v>31.559000000000001</v>
      </c>
      <c r="AZ11" s="102">
        <v>36.773000000000003</v>
      </c>
      <c r="BA11" s="102">
        <f>140.294-SUM(AX11:AZ11)</f>
        <v>42.366000000000014</v>
      </c>
      <c r="BB11" s="102">
        <v>41.735999999999997</v>
      </c>
      <c r="BC11" s="102">
        <v>42.603999999999999</v>
      </c>
      <c r="BD11" s="102">
        <v>46.780999999999999</v>
      </c>
      <c r="BE11" s="102">
        <f>181.143-SUM(BB11:BD11)</f>
        <v>50.021999999999991</v>
      </c>
      <c r="BF11" s="102">
        <v>47.377000000000002</v>
      </c>
      <c r="BG11" s="102">
        <v>72.703999999999994</v>
      </c>
      <c r="BH11" s="102">
        <v>48.335000000000001</v>
      </c>
      <c r="BI11" s="102">
        <f>216.104-SUM(BF11:BH11)</f>
        <v>47.688000000000017</v>
      </c>
      <c r="BJ11" s="102">
        <v>50.728000000000002</v>
      </c>
      <c r="BK11" s="102">
        <v>54.109000000000002</v>
      </c>
      <c r="BL11" s="102">
        <v>54.061999999999998</v>
      </c>
      <c r="BM11" s="102">
        <f>217.579-SUM(BJ11:BL11)</f>
        <v>58.680000000000007</v>
      </c>
      <c r="BN11" s="102">
        <v>63.234999999999999</v>
      </c>
      <c r="BO11" s="102">
        <v>73.83</v>
      </c>
      <c r="BP11" s="102">
        <v>94.034999999999997</v>
      </c>
      <c r="BQ11" s="102">
        <f>336.886-SUM(BN11:BP11)</f>
        <v>105.78600000000003</v>
      </c>
      <c r="BR11" s="102">
        <v>98</v>
      </c>
      <c r="BS11" s="102">
        <v>85.924000000000007</v>
      </c>
      <c r="BT11" s="102">
        <v>90.19</v>
      </c>
      <c r="BU11" s="57">
        <f>59.814-0.127</f>
        <v>59.686999999999998</v>
      </c>
      <c r="BV11" s="57">
        <v>59.037999999999997</v>
      </c>
      <c r="BW11" s="57">
        <v>65.412000000000006</v>
      </c>
      <c r="BX11" s="57">
        <v>74.036000000000001</v>
      </c>
      <c r="BY11" s="57">
        <v>75.507000000000005</v>
      </c>
      <c r="BZ11" s="57">
        <v>74.933000000000007</v>
      </c>
      <c r="CA11" s="57">
        <v>82.477000000000004</v>
      </c>
      <c r="CB11" s="57">
        <v>88.55</v>
      </c>
      <c r="CC11" s="57">
        <v>100.05500000000001</v>
      </c>
      <c r="CD11" s="57">
        <v>109.188</v>
      </c>
      <c r="CE11" s="57">
        <v>122.39400000000001</v>
      </c>
      <c r="CF11" s="57">
        <v>138.72</v>
      </c>
      <c r="CG11" s="57">
        <v>157.33500000000001</v>
      </c>
      <c r="CH11" s="57">
        <v>172.75399999999999</v>
      </c>
      <c r="CI11" s="57">
        <v>193.66800000000001</v>
      </c>
      <c r="CJ11" s="57">
        <v>214.864</v>
      </c>
      <c r="CK11" s="57">
        <v>247.77600000000001</v>
      </c>
      <c r="CL11" s="57">
        <v>269.89999999999998</v>
      </c>
      <c r="CM11" s="57">
        <v>269.14499999999998</v>
      </c>
      <c r="CN11" s="57">
        <v>303.51400000000001</v>
      </c>
      <c r="CO11" s="57">
        <v>332.39699999999999</v>
      </c>
      <c r="CP11" s="57">
        <v>347.64400000000001</v>
      </c>
      <c r="CQ11" s="57">
        <v>365.26299999999998</v>
      </c>
      <c r="CR11" s="57">
        <v>391.755</v>
      </c>
      <c r="CS11" s="57">
        <v>437.37599999999998</v>
      </c>
      <c r="CT11" s="57">
        <v>475.20400000000001</v>
      </c>
      <c r="CU11" s="57">
        <v>414.51400000000001</v>
      </c>
      <c r="CV11" s="57">
        <v>282.358</v>
      </c>
      <c r="CW11" s="57">
        <v>269.08800000000002</v>
      </c>
      <c r="CX11" s="57">
        <v>285.06900000000002</v>
      </c>
      <c r="CY11" s="57">
        <v>324.43900000000002</v>
      </c>
      <c r="CZ11" s="57">
        <v>366.98899999999998</v>
      </c>
      <c r="DA11" s="57">
        <v>435.99799999999999</v>
      </c>
      <c r="DB11" s="57">
        <v>476.81799999999998</v>
      </c>
      <c r="DC11" s="57">
        <v>495.459</v>
      </c>
      <c r="DD11" s="57">
        <v>539.37199999999996</v>
      </c>
      <c r="DE11" s="57">
        <v>588.85900000000004</v>
      </c>
      <c r="DF11" s="57">
        <v>617.779</v>
      </c>
      <c r="DG11" s="57">
        <v>658.80399999999997</v>
      </c>
      <c r="DH11" s="57">
        <v>706.78599999999994</v>
      </c>
      <c r="DI11" s="57">
        <v>695.10599999999999</v>
      </c>
      <c r="DJ11" s="57">
        <v>696.03</v>
      </c>
      <c r="DK11" s="57">
        <v>685.71</v>
      </c>
      <c r="DL11" s="57">
        <v>695.81600000000003</v>
      </c>
      <c r="DM11" s="57">
        <f>707.893-730*DM109/1000000</f>
        <v>691.45339999999999</v>
      </c>
      <c r="DN11" s="57">
        <f>731.674-422*DN109/1000000</f>
        <v>721.77219200000002</v>
      </c>
      <c r="DO11" s="57">
        <v>741.79100000000005</v>
      </c>
      <c r="DP11" s="57">
        <v>802.279</v>
      </c>
      <c r="DQ11" s="57">
        <v>824.21</v>
      </c>
      <c r="DR11" s="57">
        <f>890.047-23</f>
        <v>867.04700000000003</v>
      </c>
      <c r="DS11" s="57">
        <f>718.463-(DS109*3413)/1000000</f>
        <v>647.46577400000001</v>
      </c>
      <c r="DT11" s="57">
        <f>494.615-(DT109*5325)/1000000</f>
        <v>418.89882499999999</v>
      </c>
      <c r="DU11" s="57">
        <f>420.393-(DU109*2482)/1000000</f>
        <v>386.91081999999994</v>
      </c>
      <c r="DV11" s="57">
        <f>369.805-(DV109*2417)/1000000</f>
        <v>340.93393500000002</v>
      </c>
      <c r="DW11" s="57">
        <f>349.283-DW117</f>
        <v>269.71951300000001</v>
      </c>
      <c r="DX11" s="57">
        <f>285.028-(DX117)</f>
        <v>204.28643000000002</v>
      </c>
      <c r="DY11" s="57">
        <f>238.346-(DY117)</f>
        <v>208.56247999999999</v>
      </c>
      <c r="DZ11" s="57">
        <f>263.636-DZ117</f>
        <v>254.85975200000001</v>
      </c>
      <c r="EA11" s="57">
        <f>330.967-EA117</f>
        <v>325.00280199999997</v>
      </c>
      <c r="EB11" s="57">
        <f>405.516-EB117</f>
        <v>400.37713000000002</v>
      </c>
      <c r="EC11" s="57">
        <f>439.404-EC117</f>
        <v>434.82981999999998</v>
      </c>
      <c r="ED11" s="57">
        <f>461.64-ED117</f>
        <v>457.36165399999999</v>
      </c>
      <c r="EE11" s="18">
        <f t="shared" ref="EE11:EP11" si="28">EE123</f>
        <v>463.97643124999996</v>
      </c>
      <c r="EF11" s="18">
        <f t="shared" si="28"/>
        <v>494.49964999999997</v>
      </c>
      <c r="EG11" s="18">
        <f t="shared" si="28"/>
        <v>526.77150000000006</v>
      </c>
      <c r="EH11" s="18">
        <f t="shared" si="28"/>
        <v>546.76355999999998</v>
      </c>
      <c r="EI11" s="18">
        <f t="shared" si="28"/>
        <v>559.58899999999994</v>
      </c>
      <c r="EJ11" s="18">
        <f t="shared" si="28"/>
        <v>574.01317500000005</v>
      </c>
      <c r="EK11" s="18">
        <f t="shared" si="28"/>
        <v>588.78179999999998</v>
      </c>
      <c r="EL11" s="18">
        <f t="shared" si="28"/>
        <v>610.41100000000006</v>
      </c>
      <c r="EM11" s="18">
        <f t="shared" si="28"/>
        <v>601.86599999999999</v>
      </c>
      <c r="EN11" s="18">
        <f t="shared" si="28"/>
        <v>599.40900000000011</v>
      </c>
      <c r="EO11" s="18">
        <f t="shared" si="28"/>
        <v>602.95900000000006</v>
      </c>
      <c r="EP11" s="18">
        <f t="shared" si="28"/>
        <v>600.47499999999991</v>
      </c>
      <c r="EQ11" s="192"/>
      <c r="ER11" s="192"/>
      <c r="ES11" s="355">
        <f t="shared" si="18"/>
        <v>6</v>
      </c>
      <c r="ET11"/>
      <c r="EU11"/>
      <c r="EV11"/>
      <c r="EW11"/>
      <c r="EX11"/>
      <c r="EY1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s="4" customFormat="1" ht="11.45" customHeight="1" outlineLevel="1">
      <c r="A12" s="15"/>
      <c r="B12" s="14" t="s">
        <v>177</v>
      </c>
      <c r="C12" s="129"/>
      <c r="D12" s="129"/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  <c r="O12" s="18">
        <f t="shared" si="26"/>
        <v>112.633</v>
      </c>
      <c r="P12" s="18">
        <f t="shared" si="26"/>
        <v>84.238</v>
      </c>
      <c r="Q12" s="18">
        <f t="shared" si="26"/>
        <v>84.921000000000006</v>
      </c>
      <c r="R12" s="18">
        <f t="shared" si="26"/>
        <v>138.279</v>
      </c>
      <c r="S12" s="18">
        <f t="shared" si="26"/>
        <v>123.148</v>
      </c>
      <c r="T12" s="18">
        <f t="shared" si="26"/>
        <v>154.452</v>
      </c>
      <c r="U12" s="18">
        <f t="shared" si="26"/>
        <v>204.702</v>
      </c>
      <c r="V12" s="18">
        <f t="shared" si="26"/>
        <v>202.73400000000001</v>
      </c>
      <c r="W12" s="18">
        <f t="shared" si="26"/>
        <v>201.417</v>
      </c>
      <c r="X12" s="18">
        <f t="shared" si="26"/>
        <v>189.08599999999998</v>
      </c>
      <c r="Y12" s="18">
        <f t="shared" si="27"/>
        <v>221.863</v>
      </c>
      <c r="Z12" s="18">
        <f t="shared" si="27"/>
        <v>250.81100000000001</v>
      </c>
      <c r="AA12" s="18">
        <f t="shared" si="27"/>
        <v>241.04300000000001</v>
      </c>
      <c r="AB12" s="18">
        <f t="shared" si="27"/>
        <v>138.60100000000003</v>
      </c>
      <c r="AC12" s="18">
        <f t="shared" si="27"/>
        <v>136.26300000000001</v>
      </c>
      <c r="AD12" s="18">
        <f t="shared" si="27"/>
        <v>123.52104337599999</v>
      </c>
      <c r="AE12" s="18">
        <f t="shared" si="27"/>
        <v>142.53296323035812</v>
      </c>
      <c r="AF12" s="18">
        <f t="shared" si="27"/>
        <v>161.90293075629452</v>
      </c>
      <c r="AG12" s="96"/>
      <c r="AH12" s="18">
        <f t="shared" ref="AH12:BT12" si="29">AH156</f>
        <v>0</v>
      </c>
      <c r="AI12" s="18">
        <f t="shared" si="29"/>
        <v>0</v>
      </c>
      <c r="AJ12" s="18">
        <f t="shared" si="29"/>
        <v>0</v>
      </c>
      <c r="AK12" s="18">
        <f t="shared" si="29"/>
        <v>0</v>
      </c>
      <c r="AL12" s="18">
        <f t="shared" si="29"/>
        <v>0</v>
      </c>
      <c r="AM12" s="18">
        <f t="shared" si="29"/>
        <v>0</v>
      </c>
      <c r="AN12" s="18">
        <f t="shared" si="29"/>
        <v>0</v>
      </c>
      <c r="AO12" s="18">
        <f t="shared" si="29"/>
        <v>0</v>
      </c>
      <c r="AP12" s="18">
        <f t="shared" si="29"/>
        <v>0</v>
      </c>
      <c r="AQ12" s="18">
        <f t="shared" si="29"/>
        <v>0</v>
      </c>
      <c r="AR12" s="18">
        <f t="shared" si="29"/>
        <v>0</v>
      </c>
      <c r="AS12" s="18">
        <f t="shared" si="29"/>
        <v>0</v>
      </c>
      <c r="AT12" s="18">
        <f t="shared" si="29"/>
        <v>0</v>
      </c>
      <c r="AU12" s="18">
        <f t="shared" si="29"/>
        <v>0</v>
      </c>
      <c r="AV12" s="18">
        <f t="shared" si="29"/>
        <v>0</v>
      </c>
      <c r="AW12" s="18">
        <f t="shared" si="29"/>
        <v>0</v>
      </c>
      <c r="AX12" s="18">
        <f t="shared" si="29"/>
        <v>0</v>
      </c>
      <c r="AY12" s="18">
        <f t="shared" si="29"/>
        <v>0</v>
      </c>
      <c r="AZ12" s="18">
        <f t="shared" si="29"/>
        <v>0</v>
      </c>
      <c r="BA12" s="18">
        <f t="shared" si="29"/>
        <v>0</v>
      </c>
      <c r="BB12" s="18">
        <f t="shared" si="29"/>
        <v>0</v>
      </c>
      <c r="BC12" s="18">
        <f t="shared" si="29"/>
        <v>0</v>
      </c>
      <c r="BD12" s="18">
        <f t="shared" si="29"/>
        <v>0</v>
      </c>
      <c r="BE12" s="18">
        <f t="shared" si="29"/>
        <v>0</v>
      </c>
      <c r="BF12" s="18">
        <f t="shared" si="29"/>
        <v>0</v>
      </c>
      <c r="BG12" s="18">
        <f t="shared" si="29"/>
        <v>0</v>
      </c>
      <c r="BH12" s="18">
        <f t="shared" si="29"/>
        <v>0</v>
      </c>
      <c r="BI12" s="18">
        <f t="shared" si="29"/>
        <v>0</v>
      </c>
      <c r="BJ12" s="18">
        <f t="shared" si="29"/>
        <v>0</v>
      </c>
      <c r="BK12" s="18">
        <f t="shared" si="29"/>
        <v>0</v>
      </c>
      <c r="BL12" s="18">
        <f t="shared" si="29"/>
        <v>0</v>
      </c>
      <c r="BM12" s="18">
        <f t="shared" si="29"/>
        <v>0</v>
      </c>
      <c r="BN12" s="18">
        <f t="shared" si="29"/>
        <v>0</v>
      </c>
      <c r="BO12" s="18">
        <f t="shared" si="29"/>
        <v>0</v>
      </c>
      <c r="BP12" s="18">
        <f t="shared" si="29"/>
        <v>0</v>
      </c>
      <c r="BQ12" s="18">
        <f t="shared" si="29"/>
        <v>0</v>
      </c>
      <c r="BR12" s="18">
        <f t="shared" si="29"/>
        <v>0</v>
      </c>
      <c r="BS12" s="18">
        <f t="shared" si="29"/>
        <v>0</v>
      </c>
      <c r="BT12" s="18">
        <f t="shared" si="29"/>
        <v>0</v>
      </c>
      <c r="BU12" s="57">
        <v>30.766999999999999</v>
      </c>
      <c r="BV12" s="57">
        <v>27.710999999999999</v>
      </c>
      <c r="BW12" s="57">
        <v>28.079000000000001</v>
      </c>
      <c r="BX12" s="57">
        <v>30.596</v>
      </c>
      <c r="BY12" s="57">
        <v>26.247</v>
      </c>
      <c r="BZ12" s="57">
        <v>20.702000000000002</v>
      </c>
      <c r="CA12" s="57">
        <v>18.675000000000001</v>
      </c>
      <c r="CB12" s="57">
        <v>21.26</v>
      </c>
      <c r="CC12" s="57">
        <v>23.600999999999999</v>
      </c>
      <c r="CD12" s="57">
        <v>20.356000000000002</v>
      </c>
      <c r="CE12" s="57">
        <v>18.649000000000001</v>
      </c>
      <c r="CF12" s="57">
        <v>19.905000000000001</v>
      </c>
      <c r="CG12" s="57">
        <v>26.010999999999999</v>
      </c>
      <c r="CH12" s="57">
        <v>29.52</v>
      </c>
      <c r="CI12" s="57">
        <v>33.703000000000003</v>
      </c>
      <c r="CJ12" s="57">
        <v>34.567999999999998</v>
      </c>
      <c r="CK12" s="57">
        <v>40.488</v>
      </c>
      <c r="CL12" s="57">
        <v>35.753999999999998</v>
      </c>
      <c r="CM12" s="57">
        <v>28.702999999999999</v>
      </c>
      <c r="CN12" s="57">
        <v>29.626000000000001</v>
      </c>
      <c r="CO12" s="57">
        <v>29.065000000000001</v>
      </c>
      <c r="CP12" s="57">
        <v>27.280999999999999</v>
      </c>
      <c r="CQ12" s="57">
        <v>29.789000000000001</v>
      </c>
      <c r="CR12" s="57">
        <v>47.298000000000002</v>
      </c>
      <c r="CS12" s="57">
        <v>50.084000000000003</v>
      </c>
      <c r="CT12" s="57">
        <v>50.488</v>
      </c>
      <c r="CU12" s="57">
        <v>51.331000000000003</v>
      </c>
      <c r="CV12" s="57">
        <v>55.604999999999997</v>
      </c>
      <c r="CW12" s="57">
        <v>47.277999999999999</v>
      </c>
      <c r="CX12" s="57">
        <v>52.29</v>
      </c>
      <c r="CY12" s="57">
        <v>47.765000000000001</v>
      </c>
      <c r="CZ12" s="57">
        <v>53.131</v>
      </c>
      <c r="DA12" s="57">
        <v>49.548000000000002</v>
      </c>
      <c r="DB12" s="57">
        <v>44.866999999999997</v>
      </c>
      <c r="DC12" s="57">
        <v>50.585999999999999</v>
      </c>
      <c r="DD12" s="57">
        <v>54.569000000000003</v>
      </c>
      <c r="DE12" s="57">
        <v>51.395000000000003</v>
      </c>
      <c r="DF12" s="57">
        <v>50.792000000000002</v>
      </c>
      <c r="DG12" s="57">
        <v>43.420999999999999</v>
      </c>
      <c r="DH12" s="57">
        <v>41.616999999999997</v>
      </c>
      <c r="DI12" s="57">
        <v>53.256</v>
      </c>
      <c r="DJ12" s="57">
        <v>57.718000000000004</v>
      </c>
      <c r="DK12" s="57">
        <v>55.604999999999997</v>
      </c>
      <c r="DL12" s="57">
        <v>53.859000000000002</v>
      </c>
      <c r="DM12" s="57">
        <v>54.680999999999997</v>
      </c>
      <c r="DN12" s="57">
        <v>59.054000000000002</v>
      </c>
      <c r="DO12" s="57">
        <v>63.276000000000003</v>
      </c>
      <c r="DP12" s="57">
        <v>64.554000000000002</v>
      </c>
      <c r="DQ12" s="57">
        <v>63.927</v>
      </c>
      <c r="DR12" s="57">
        <v>69.472999999999999</v>
      </c>
      <c r="DS12" s="57">
        <v>62.625999999999998</v>
      </c>
      <c r="DT12" s="57">
        <v>55.673000000000002</v>
      </c>
      <c r="DU12" s="57">
        <v>53.271000000000001</v>
      </c>
      <c r="DV12" s="57">
        <v>41.88</v>
      </c>
      <c r="DW12" s="57">
        <v>34.325000000000003</v>
      </c>
      <c r="DX12" s="57">
        <v>30.492000000000001</v>
      </c>
      <c r="DY12" s="57">
        <v>31.904</v>
      </c>
      <c r="DZ12" s="57">
        <v>33.811999999999998</v>
      </c>
      <c r="EA12" s="57">
        <v>36.234999999999999</v>
      </c>
      <c r="EB12" s="57">
        <v>33.710999999999999</v>
      </c>
      <c r="EC12" s="57">
        <v>32.505000000000003</v>
      </c>
      <c r="ED12" s="57">
        <v>33.366</v>
      </c>
      <c r="EE12" s="18">
        <f t="shared" ref="EE12:EP12" si="30">EE156</f>
        <v>29.48404</v>
      </c>
      <c r="EF12" s="18">
        <f t="shared" si="30"/>
        <v>28.747595199999999</v>
      </c>
      <c r="EG12" s="18">
        <f t="shared" si="30"/>
        <v>31.923408176000002</v>
      </c>
      <c r="EH12" s="18">
        <f t="shared" si="30"/>
        <v>32.964480216879998</v>
      </c>
      <c r="EI12" s="18">
        <f t="shared" si="30"/>
        <v>34.416812617964396</v>
      </c>
      <c r="EJ12" s="18">
        <f t="shared" si="30"/>
        <v>36.509406681054216</v>
      </c>
      <c r="EK12" s="18">
        <f t="shared" si="30"/>
        <v>38.642263714459489</v>
      </c>
      <c r="EL12" s="18">
        <f t="shared" si="30"/>
        <v>40.535385033031787</v>
      </c>
      <c r="EM12" s="18">
        <f t="shared" si="30"/>
        <v>40.308771958196942</v>
      </c>
      <c r="EN12" s="18">
        <f t="shared" si="30"/>
        <v>40.362425817987926</v>
      </c>
      <c r="EO12" s="18">
        <f t="shared" si="30"/>
        <v>40.696347947077868</v>
      </c>
      <c r="EP12" s="18">
        <f t="shared" si="30"/>
        <v>40.750539686813255</v>
      </c>
      <c r="EQ12" s="192"/>
      <c r="ER12" s="192"/>
      <c r="ES12" s="355">
        <f t="shared" si="18"/>
        <v>7</v>
      </c>
      <c r="ET12"/>
      <c r="EU12"/>
      <c r="EV12"/>
      <c r="EW12"/>
      <c r="EX12"/>
      <c r="EY12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s="4" customFormat="1" ht="11.45" customHeight="1" outlineLevel="1">
      <c r="A13" s="15"/>
      <c r="B13" s="14" t="s">
        <v>174</v>
      </c>
      <c r="C13" s="129"/>
      <c r="D13" s="129"/>
      <c r="E13" s="129">
        <f t="shared" ref="E13:M13" si="31">E185</f>
        <v>89.617999999999995</v>
      </c>
      <c r="F13" s="129">
        <f t="shared" si="31"/>
        <v>98.111000000000004</v>
      </c>
      <c r="G13" s="129">
        <f t="shared" si="31"/>
        <v>110.69499999999999</v>
      </c>
      <c r="H13" s="129">
        <f t="shared" si="31"/>
        <v>135.69499999999999</v>
      </c>
      <c r="I13" s="129">
        <f t="shared" si="31"/>
        <v>176.65100000000001</v>
      </c>
      <c r="J13" s="129">
        <f t="shared" si="31"/>
        <v>253.072</v>
      </c>
      <c r="K13" s="129">
        <f t="shared" si="31"/>
        <v>182.98699999999999</v>
      </c>
      <c r="L13" s="129">
        <f t="shared" si="31"/>
        <v>136.54900000000001</v>
      </c>
      <c r="M13" s="18">
        <f t="shared" si="31"/>
        <v>154.88999999999999</v>
      </c>
      <c r="N13" s="18">
        <f>SUM(BR13:BU13)</f>
        <v>151.392</v>
      </c>
      <c r="O13" s="18">
        <f t="shared" si="26"/>
        <v>109.81200000000001</v>
      </c>
      <c r="P13" s="18">
        <f t="shared" si="26"/>
        <v>148.78799999999998</v>
      </c>
      <c r="Q13" s="18">
        <f t="shared" si="26"/>
        <v>177.48000000000002</v>
      </c>
      <c r="R13" s="18">
        <f t="shared" si="26"/>
        <v>247.09299999999999</v>
      </c>
      <c r="S13" s="18">
        <f t="shared" si="26"/>
        <v>320.28300000000002</v>
      </c>
      <c r="T13" s="18">
        <f t="shared" si="26"/>
        <v>328.24400000000003</v>
      </c>
      <c r="U13" s="18">
        <f t="shared" si="26"/>
        <v>237.39699999999999</v>
      </c>
      <c r="V13" s="18">
        <f t="shared" si="26"/>
        <v>253.92600000000004</v>
      </c>
      <c r="W13" s="18">
        <f t="shared" si="26"/>
        <v>226.84899999999999</v>
      </c>
      <c r="X13" s="18">
        <f t="shared" si="26"/>
        <v>270.02699999999999</v>
      </c>
      <c r="Y13" s="18">
        <f t="shared" si="27"/>
        <v>366.84100000000001</v>
      </c>
      <c r="Z13" s="18">
        <f t="shared" si="27"/>
        <v>355.53199999999998</v>
      </c>
      <c r="AA13" s="18">
        <f t="shared" si="27"/>
        <v>368.00051299999996</v>
      </c>
      <c r="AB13" s="18">
        <f t="shared" si="27"/>
        <v>229.89400000000001</v>
      </c>
      <c r="AC13" s="18">
        <f t="shared" si="27"/>
        <v>198.79647200000002</v>
      </c>
      <c r="AD13" s="18">
        <f t="shared" si="27"/>
        <v>245.28775000000002</v>
      </c>
      <c r="AE13" s="18">
        <f t="shared" si="27"/>
        <v>294.63800000000003</v>
      </c>
      <c r="AF13" s="18">
        <f t="shared" si="27"/>
        <v>333.524</v>
      </c>
      <c r="AG13" s="96"/>
      <c r="AH13" s="18">
        <f t="shared" ref="AH13:BT13" si="32">AH185</f>
        <v>20.242000000000001</v>
      </c>
      <c r="AI13" s="18">
        <f t="shared" si="32"/>
        <v>23.745000000000001</v>
      </c>
      <c r="AJ13" s="18">
        <f t="shared" si="32"/>
        <v>22.251999999999999</v>
      </c>
      <c r="AK13" s="18">
        <f t="shared" si="32"/>
        <v>23.378999999999991</v>
      </c>
      <c r="AL13" s="18">
        <f t="shared" si="32"/>
        <v>22.318999999999999</v>
      </c>
      <c r="AM13" s="18">
        <f t="shared" si="32"/>
        <v>23.128</v>
      </c>
      <c r="AN13" s="18">
        <f t="shared" si="32"/>
        <v>25.890999999999998</v>
      </c>
      <c r="AO13" s="18">
        <f t="shared" si="32"/>
        <v>26.77300000000001</v>
      </c>
      <c r="AP13" s="18">
        <f t="shared" si="32"/>
        <v>22.15</v>
      </c>
      <c r="AQ13" s="18">
        <f t="shared" si="32"/>
        <v>24.609000000000002</v>
      </c>
      <c r="AR13" s="18">
        <f t="shared" si="32"/>
        <v>28.888999999999999</v>
      </c>
      <c r="AS13" s="18">
        <f t="shared" si="32"/>
        <v>35.046999999999997</v>
      </c>
      <c r="AT13" s="18">
        <f t="shared" si="32"/>
        <v>33.935000000000002</v>
      </c>
      <c r="AU13" s="18">
        <f t="shared" si="32"/>
        <v>33.585000000000001</v>
      </c>
      <c r="AV13" s="18">
        <f t="shared" si="32"/>
        <v>31.533999999999999</v>
      </c>
      <c r="AW13" s="18">
        <f t="shared" si="32"/>
        <v>36.640999999999991</v>
      </c>
      <c r="AX13" s="18">
        <f t="shared" si="32"/>
        <v>35.630000000000003</v>
      </c>
      <c r="AY13" s="18">
        <f t="shared" si="32"/>
        <v>42.686999999999998</v>
      </c>
      <c r="AZ13" s="18">
        <f t="shared" si="32"/>
        <v>47.204000000000001</v>
      </c>
      <c r="BA13" s="18">
        <f t="shared" si="32"/>
        <v>51.129999999999995</v>
      </c>
      <c r="BB13" s="18">
        <f t="shared" si="32"/>
        <v>51.994</v>
      </c>
      <c r="BC13" s="18">
        <f t="shared" si="32"/>
        <v>61.677</v>
      </c>
      <c r="BD13" s="18">
        <f t="shared" si="32"/>
        <v>69.201999999999998</v>
      </c>
      <c r="BE13" s="18">
        <f t="shared" si="32"/>
        <v>70.199000000000012</v>
      </c>
      <c r="BF13" s="18">
        <f t="shared" si="32"/>
        <v>54.685000000000002</v>
      </c>
      <c r="BG13" s="18">
        <f t="shared" si="32"/>
        <v>49.853000000000002</v>
      </c>
      <c r="BH13" s="18">
        <f t="shared" si="32"/>
        <v>42.527999999999999</v>
      </c>
      <c r="BI13" s="18">
        <f t="shared" si="32"/>
        <v>35.920999999999992</v>
      </c>
      <c r="BJ13" s="18">
        <f t="shared" si="32"/>
        <v>34.201000000000001</v>
      </c>
      <c r="BK13" s="18">
        <f t="shared" si="32"/>
        <v>32.167000000000002</v>
      </c>
      <c r="BL13" s="18">
        <f t="shared" si="32"/>
        <v>32.976999999999997</v>
      </c>
      <c r="BM13" s="18">
        <f t="shared" si="32"/>
        <v>37.204000000000001</v>
      </c>
      <c r="BN13" s="18">
        <f t="shared" si="32"/>
        <v>38.691000000000003</v>
      </c>
      <c r="BO13" s="18">
        <f t="shared" si="32"/>
        <v>35.128</v>
      </c>
      <c r="BP13" s="18">
        <f t="shared" si="32"/>
        <v>40.527000000000001</v>
      </c>
      <c r="BQ13" s="18">
        <f t="shared" si="32"/>
        <v>40.543999999999997</v>
      </c>
      <c r="BR13" s="18">
        <f t="shared" si="32"/>
        <v>42.408999999999999</v>
      </c>
      <c r="BS13" s="18">
        <f t="shared" si="32"/>
        <v>43.545999999999999</v>
      </c>
      <c r="BT13" s="18">
        <f t="shared" si="32"/>
        <v>34.26</v>
      </c>
      <c r="BU13" s="57">
        <v>31.177</v>
      </c>
      <c r="BV13" s="57">
        <v>23.524000000000001</v>
      </c>
      <c r="BW13" s="57">
        <v>29.451000000000001</v>
      </c>
      <c r="BX13" s="57">
        <v>29.981000000000002</v>
      </c>
      <c r="BY13" s="57">
        <v>26.856000000000002</v>
      </c>
      <c r="BZ13" s="57">
        <v>35.960999999999999</v>
      </c>
      <c r="CA13" s="57">
        <v>39.311</v>
      </c>
      <c r="CB13" s="57">
        <v>35.487000000000002</v>
      </c>
      <c r="CC13" s="57">
        <v>38.029000000000003</v>
      </c>
      <c r="CD13" s="57">
        <v>42.470999999999997</v>
      </c>
      <c r="CE13" s="57">
        <v>41.798999999999999</v>
      </c>
      <c r="CF13" s="57">
        <v>46.03</v>
      </c>
      <c r="CG13" s="57">
        <v>47.18</v>
      </c>
      <c r="CH13" s="57">
        <v>50.256999999999998</v>
      </c>
      <c r="CI13" s="57">
        <v>61.116999999999997</v>
      </c>
      <c r="CJ13" s="57">
        <v>67.831000000000003</v>
      </c>
      <c r="CK13" s="57">
        <v>67.888000000000005</v>
      </c>
      <c r="CL13" s="57">
        <v>77.846000000000004</v>
      </c>
      <c r="CM13" s="57">
        <v>71.95</v>
      </c>
      <c r="CN13" s="57">
        <v>85.356999999999999</v>
      </c>
      <c r="CO13" s="57">
        <v>85.13</v>
      </c>
      <c r="CP13" s="57">
        <v>78.602000000000004</v>
      </c>
      <c r="CQ13" s="57">
        <v>75.757000000000005</v>
      </c>
      <c r="CR13" s="57">
        <v>80.584999999999994</v>
      </c>
      <c r="CS13" s="57">
        <v>93.3</v>
      </c>
      <c r="CT13" s="57">
        <v>95.177999999999997</v>
      </c>
      <c r="CU13" s="57">
        <v>51.829000000000001</v>
      </c>
      <c r="CV13" s="57">
        <v>47.29</v>
      </c>
      <c r="CW13" s="57">
        <v>43.1</v>
      </c>
      <c r="CX13" s="57">
        <v>59.398000000000003</v>
      </c>
      <c r="CY13" s="57">
        <v>64.680999999999997</v>
      </c>
      <c r="CZ13" s="57">
        <v>60.045000000000002</v>
      </c>
      <c r="DA13" s="57">
        <v>69.802000000000007</v>
      </c>
      <c r="DB13" s="57">
        <v>68.953999999999994</v>
      </c>
      <c r="DC13" s="57">
        <v>54.683999999999997</v>
      </c>
      <c r="DD13" s="57">
        <v>46.051000000000002</v>
      </c>
      <c r="DE13" s="57">
        <v>57.16</v>
      </c>
      <c r="DF13" s="57">
        <v>60.734999999999999</v>
      </c>
      <c r="DG13" s="57">
        <v>64.087999999999994</v>
      </c>
      <c r="DH13" s="57">
        <v>67.481999999999999</v>
      </c>
      <c r="DI13" s="57">
        <v>77.721999999999994</v>
      </c>
      <c r="DJ13" s="57">
        <v>87.266999999999996</v>
      </c>
      <c r="DK13" s="57">
        <v>94.091999999999999</v>
      </c>
      <c r="DL13" s="57">
        <v>86.977999999999994</v>
      </c>
      <c r="DM13" s="57">
        <v>98.504000000000005</v>
      </c>
      <c r="DN13" s="57">
        <v>95.340999999999994</v>
      </c>
      <c r="DO13" s="57">
        <v>85.533000000000001</v>
      </c>
      <c r="DP13" s="57">
        <v>81.266999999999996</v>
      </c>
      <c r="DQ13" s="57">
        <v>93.391000000000005</v>
      </c>
      <c r="DR13" s="57">
        <v>92.885000000000005</v>
      </c>
      <c r="DS13" s="57">
        <f>98.222-(373*DS175)/1000000</f>
        <v>97.534933999999993</v>
      </c>
      <c r="DT13" s="57">
        <f>106.198-(4658*DT175)/1000000</f>
        <v>97.408353999999989</v>
      </c>
      <c r="DU13" s="57">
        <f>89.388-(5535*DU175)/1000000</f>
        <v>80.172224999999997</v>
      </c>
      <c r="DV13" s="57">
        <v>72.194000000000003</v>
      </c>
      <c r="DW13" s="57">
        <v>51.351999999999997</v>
      </c>
      <c r="DX13" s="57">
        <v>47.982999999999997</v>
      </c>
      <c r="DY13" s="57">
        <v>58.365000000000002</v>
      </c>
      <c r="DZ13" s="57">
        <f>68.031-DZ183</f>
        <v>63.303498000000005</v>
      </c>
      <c r="EA13" s="57">
        <v>34.756999999999998</v>
      </c>
      <c r="EB13" s="57">
        <f>55.075-EB183</f>
        <v>45.626974000000004</v>
      </c>
      <c r="EC13" s="57">
        <v>55.109000000000002</v>
      </c>
      <c r="ED13" s="57">
        <v>63.213999999999999</v>
      </c>
      <c r="EE13" s="18">
        <f t="shared" ref="EE13:EP13" si="33">EE185</f>
        <v>56.111749999999994</v>
      </c>
      <c r="EF13" s="18">
        <f t="shared" si="33"/>
        <v>61.829000000000001</v>
      </c>
      <c r="EG13" s="18">
        <f t="shared" si="33"/>
        <v>64.132999999999996</v>
      </c>
      <c r="EH13" s="18">
        <f t="shared" si="33"/>
        <v>69.285000000000011</v>
      </c>
      <c r="EI13" s="18">
        <f t="shared" si="33"/>
        <v>69.551000000000002</v>
      </c>
      <c r="EJ13" s="18">
        <f t="shared" si="33"/>
        <v>75.661000000000001</v>
      </c>
      <c r="EK13" s="18">
        <f t="shared" si="33"/>
        <v>80.141000000000005</v>
      </c>
      <c r="EL13" s="18">
        <f t="shared" si="33"/>
        <v>83.820999999999998</v>
      </c>
      <c r="EM13" s="18">
        <f t="shared" si="33"/>
        <v>82.941000000000003</v>
      </c>
      <c r="EN13" s="18">
        <f t="shared" si="33"/>
        <v>82.941000000000003</v>
      </c>
      <c r="EO13" s="18">
        <f t="shared" si="33"/>
        <v>83.820999999999998</v>
      </c>
      <c r="EP13" s="18">
        <f t="shared" si="33"/>
        <v>83.820999999999998</v>
      </c>
      <c r="EQ13" s="192"/>
      <c r="ER13" s="192"/>
      <c r="ES13" s="355">
        <f t="shared" si="18"/>
        <v>8</v>
      </c>
      <c r="ET13"/>
      <c r="EU13"/>
      <c r="EV13"/>
      <c r="EW13"/>
      <c r="EX13"/>
      <c r="EY13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s="4" customFormat="1" ht="11.45" customHeight="1" outlineLevel="1">
      <c r="A14" s="15"/>
      <c r="B14" s="14" t="s">
        <v>38</v>
      </c>
      <c r="C14" s="18"/>
      <c r="D14" s="18"/>
      <c r="E14" s="18">
        <f t="shared" ref="E14:M14" si="34">E15-SUM(E11:E13)</f>
        <v>156.10100000000003</v>
      </c>
      <c r="F14" s="18">
        <f t="shared" si="34"/>
        <v>138.06599999999997</v>
      </c>
      <c r="G14" s="18">
        <f t="shared" si="34"/>
        <v>91.29000000000002</v>
      </c>
      <c r="H14" s="18">
        <f t="shared" si="34"/>
        <v>143.44200000000001</v>
      </c>
      <c r="I14" s="18">
        <f t="shared" si="34"/>
        <v>189.47699999999998</v>
      </c>
      <c r="J14" s="18">
        <f t="shared" si="34"/>
        <v>157.822</v>
      </c>
      <c r="K14" s="18">
        <f t="shared" si="34"/>
        <v>157.471</v>
      </c>
      <c r="L14" s="18">
        <f t="shared" si="34"/>
        <v>244.99399999999991</v>
      </c>
      <c r="M14" s="18">
        <f t="shared" si="34"/>
        <v>275.74200000000002</v>
      </c>
      <c r="N14" s="18">
        <f>SUM(BR14:BU14)</f>
        <v>7.4340000000000259</v>
      </c>
      <c r="O14" s="18">
        <f t="shared" si="26"/>
        <v>10.892999999999986</v>
      </c>
      <c r="P14" s="18">
        <f t="shared" si="26"/>
        <v>10.015000000000001</v>
      </c>
      <c r="Q14" s="18">
        <f t="shared" si="26"/>
        <v>10.688000000000002</v>
      </c>
      <c r="R14" s="18">
        <f t="shared" si="26"/>
        <v>10.379</v>
      </c>
      <c r="S14" s="18">
        <f t="shared" si="26"/>
        <v>11.271000000000001</v>
      </c>
      <c r="T14" s="18">
        <f t="shared" si="26"/>
        <v>11.808999999999999</v>
      </c>
      <c r="U14" s="18">
        <f t="shared" si="26"/>
        <v>10.774999999999999</v>
      </c>
      <c r="V14" s="18">
        <f t="shared" si="26"/>
        <v>12.754</v>
      </c>
      <c r="W14" s="18">
        <f t="shared" si="26"/>
        <v>15.12</v>
      </c>
      <c r="X14" s="18">
        <f t="shared" si="26"/>
        <v>14.214</v>
      </c>
      <c r="Y14" s="18">
        <f t="shared" si="27"/>
        <v>13.461</v>
      </c>
      <c r="Z14" s="18">
        <f t="shared" si="27"/>
        <v>13.41</v>
      </c>
      <c r="AA14" s="18">
        <f t="shared" si="27"/>
        <v>14.186999999999999</v>
      </c>
      <c r="AB14" s="18">
        <f t="shared" si="27"/>
        <v>13.275</v>
      </c>
      <c r="AC14" s="18">
        <f t="shared" si="27"/>
        <v>15.982999999999999</v>
      </c>
      <c r="AD14" s="18">
        <f t="shared" si="27"/>
        <v>23.867000000000001</v>
      </c>
      <c r="AE14" s="18">
        <f t="shared" si="27"/>
        <v>24</v>
      </c>
      <c r="AF14" s="18">
        <f t="shared" si="27"/>
        <v>24</v>
      </c>
      <c r="AG14" s="96"/>
      <c r="AH14" s="18">
        <f t="shared" ref="AH14:BY14" si="35">AH15-SUM(AH11:AH13)</f>
        <v>45.127999999999993</v>
      </c>
      <c r="AI14" s="18">
        <f t="shared" si="35"/>
        <v>42.75</v>
      </c>
      <c r="AJ14" s="18">
        <f t="shared" si="35"/>
        <v>35.061999999999998</v>
      </c>
      <c r="AK14" s="18">
        <f t="shared" si="35"/>
        <v>33.161000000000016</v>
      </c>
      <c r="AL14" s="18">
        <f t="shared" si="35"/>
        <v>38.50800000000001</v>
      </c>
      <c r="AM14" s="18">
        <f t="shared" si="35"/>
        <v>41.981999999999999</v>
      </c>
      <c r="AN14" s="18">
        <f t="shared" si="35"/>
        <v>30.872000000000007</v>
      </c>
      <c r="AO14" s="18">
        <f t="shared" si="35"/>
        <v>26.703999999999965</v>
      </c>
      <c r="AP14" s="18">
        <f t="shared" si="35"/>
        <v>30.917000000000009</v>
      </c>
      <c r="AQ14" s="18">
        <f t="shared" si="35"/>
        <v>27.946999999999989</v>
      </c>
      <c r="AR14" s="18">
        <f t="shared" si="35"/>
        <v>25.924999999999997</v>
      </c>
      <c r="AS14" s="18">
        <f t="shared" si="35"/>
        <v>6.5010000000000048</v>
      </c>
      <c r="AT14" s="18">
        <f t="shared" si="35"/>
        <v>30.305000000000007</v>
      </c>
      <c r="AU14" s="18">
        <f t="shared" si="35"/>
        <v>34.238</v>
      </c>
      <c r="AV14" s="18">
        <f t="shared" si="35"/>
        <v>38.186999999999998</v>
      </c>
      <c r="AW14" s="18">
        <f t="shared" si="35"/>
        <v>40.712000000000032</v>
      </c>
      <c r="AX14" s="18">
        <f t="shared" si="35"/>
        <v>51.5</v>
      </c>
      <c r="AY14" s="18">
        <f t="shared" si="35"/>
        <v>56.527000000000001</v>
      </c>
      <c r="AZ14" s="18">
        <f t="shared" si="35"/>
        <v>39.385999999999996</v>
      </c>
      <c r="BA14" s="18">
        <f t="shared" si="35"/>
        <v>42.06400000000005</v>
      </c>
      <c r="BB14" s="18">
        <f t="shared" si="35"/>
        <v>50.382000000000005</v>
      </c>
      <c r="BC14" s="18">
        <f t="shared" si="35"/>
        <v>36.540999999999997</v>
      </c>
      <c r="BD14" s="18">
        <f t="shared" si="35"/>
        <v>37.918999999999983</v>
      </c>
      <c r="BE14" s="18">
        <f t="shared" si="35"/>
        <v>32.980000000000075</v>
      </c>
      <c r="BF14" s="18">
        <f t="shared" si="35"/>
        <v>40.455999999999989</v>
      </c>
      <c r="BG14" s="18">
        <f t="shared" si="35"/>
        <v>31.485000000000014</v>
      </c>
      <c r="BH14" s="18">
        <f t="shared" si="35"/>
        <v>38.420999999999992</v>
      </c>
      <c r="BI14" s="18">
        <f t="shared" si="35"/>
        <v>47.109000000000009</v>
      </c>
      <c r="BJ14" s="18">
        <f t="shared" si="35"/>
        <v>50.264999999999986</v>
      </c>
      <c r="BK14" s="18">
        <f t="shared" si="35"/>
        <v>53.965000000000003</v>
      </c>
      <c r="BL14" s="18">
        <f t="shared" si="35"/>
        <v>62.721000000000004</v>
      </c>
      <c r="BM14" s="18">
        <f t="shared" si="35"/>
        <v>78.042999999999978</v>
      </c>
      <c r="BN14" s="18">
        <f t="shared" si="35"/>
        <v>87.821999999999989</v>
      </c>
      <c r="BO14" s="18">
        <f t="shared" si="35"/>
        <v>109.85900000000001</v>
      </c>
      <c r="BP14" s="18">
        <f t="shared" si="35"/>
        <v>78.010999999999996</v>
      </c>
      <c r="BQ14" s="18">
        <f t="shared" si="35"/>
        <v>4.9999999999954525E-2</v>
      </c>
      <c r="BR14" s="18">
        <f t="shared" si="35"/>
        <v>2.1670000000000016</v>
      </c>
      <c r="BS14" s="18">
        <f t="shared" si="35"/>
        <v>1.3460000000000036</v>
      </c>
      <c r="BT14" s="18">
        <f t="shared" si="35"/>
        <v>2.0450000000000159</v>
      </c>
      <c r="BU14" s="18">
        <f t="shared" si="35"/>
        <v>1.8760000000000048</v>
      </c>
      <c r="BV14" s="18">
        <f t="shared" si="35"/>
        <v>2.2310000000000088</v>
      </c>
      <c r="BW14" s="18">
        <f t="shared" si="35"/>
        <v>2.5169999999999959</v>
      </c>
      <c r="BX14" s="18">
        <f t="shared" si="35"/>
        <v>1.9399999999999977</v>
      </c>
      <c r="BY14" s="18">
        <f t="shared" si="35"/>
        <v>4.2049999999999841</v>
      </c>
      <c r="BZ14" s="57">
        <v>2.677</v>
      </c>
      <c r="CA14" s="57">
        <v>2.5609999999999999</v>
      </c>
      <c r="CB14" s="57">
        <v>2.3940000000000001</v>
      </c>
      <c r="CC14" s="57">
        <v>2.383</v>
      </c>
      <c r="CD14" s="57">
        <v>2.6640000000000001</v>
      </c>
      <c r="CE14" s="57">
        <v>2.6080000000000001</v>
      </c>
      <c r="CF14" s="57">
        <v>2.7320000000000002</v>
      </c>
      <c r="CG14" s="57">
        <v>2.6840000000000002</v>
      </c>
      <c r="CH14" s="57">
        <v>2.8570000000000002</v>
      </c>
      <c r="CI14" s="57">
        <v>2.3420000000000001</v>
      </c>
      <c r="CJ14" s="57">
        <v>2.5329999999999999</v>
      </c>
      <c r="CK14" s="57">
        <v>2.6469999999999998</v>
      </c>
      <c r="CL14" s="57">
        <v>2.899</v>
      </c>
      <c r="CM14" s="57">
        <v>2.738</v>
      </c>
      <c r="CN14" s="57">
        <v>2.7770000000000001</v>
      </c>
      <c r="CO14" s="57">
        <v>2.8570000000000002</v>
      </c>
      <c r="CP14" s="57">
        <v>3.1360000000000001</v>
      </c>
      <c r="CQ14" s="57">
        <v>2.835</v>
      </c>
      <c r="CR14" s="57">
        <v>2.879</v>
      </c>
      <c r="CS14" s="57">
        <v>2.9590000000000001</v>
      </c>
      <c r="CT14" s="57">
        <v>2.8839999999999999</v>
      </c>
      <c r="CU14" s="57">
        <v>2.6259999999999999</v>
      </c>
      <c r="CV14" s="57">
        <v>2.5139999999999998</v>
      </c>
      <c r="CW14" s="57">
        <v>2.7509999999999999</v>
      </c>
      <c r="CX14" s="57">
        <v>3.0859999999999999</v>
      </c>
      <c r="CY14" s="57">
        <v>2.84</v>
      </c>
      <c r="CZ14" s="57">
        <v>3.2189999999999999</v>
      </c>
      <c r="DA14" s="57">
        <v>3.609</v>
      </c>
      <c r="DB14" s="57">
        <v>4.0030000000000001</v>
      </c>
      <c r="DC14" s="57">
        <v>3.677</v>
      </c>
      <c r="DD14" s="57">
        <v>4.1029999999999998</v>
      </c>
      <c r="DE14" s="57">
        <v>3.3370000000000002</v>
      </c>
      <c r="DF14" s="57">
        <v>3.282</v>
      </c>
      <c r="DG14" s="57">
        <v>3.669</v>
      </c>
      <c r="DH14" s="57">
        <v>3.9</v>
      </c>
      <c r="DI14" s="57">
        <v>3.363</v>
      </c>
      <c r="DJ14" s="57">
        <v>3.5569999999999999</v>
      </c>
      <c r="DK14" s="57">
        <v>2.9020000000000001</v>
      </c>
      <c r="DL14" s="57">
        <v>3.544</v>
      </c>
      <c r="DM14" s="57">
        <v>3.4580000000000002</v>
      </c>
      <c r="DN14" s="57">
        <v>3.0830000000000002</v>
      </c>
      <c r="DO14" s="57">
        <v>2.83</v>
      </c>
      <c r="DP14" s="57">
        <v>3.9870000000000001</v>
      </c>
      <c r="DQ14" s="57">
        <v>3.51</v>
      </c>
      <c r="DR14" s="57">
        <v>4.18</v>
      </c>
      <c r="DS14" s="57">
        <v>3.7410000000000001</v>
      </c>
      <c r="DT14" s="57">
        <v>3.2080000000000002</v>
      </c>
      <c r="DU14" s="57">
        <v>3.0579999999999998</v>
      </c>
      <c r="DV14" s="57">
        <v>3.968</v>
      </c>
      <c r="DW14" s="57">
        <v>3.2309999999999999</v>
      </c>
      <c r="DX14" s="57">
        <v>2.9830000000000001</v>
      </c>
      <c r="DY14" s="57">
        <v>3.093</v>
      </c>
      <c r="DZ14" s="57">
        <v>3.1110000000000002</v>
      </c>
      <c r="EA14" s="57">
        <v>3.3239999999999998</v>
      </c>
      <c r="EB14" s="57">
        <v>4.2619999999999996</v>
      </c>
      <c r="EC14" s="57">
        <v>5.2859999999999996</v>
      </c>
      <c r="ED14" s="57">
        <v>5.867</v>
      </c>
      <c r="EE14" s="57">
        <v>6</v>
      </c>
      <c r="EF14" s="18">
        <f t="shared" ref="EF14:EP14" si="36">EE14*(1+EF85)</f>
        <v>6</v>
      </c>
      <c r="EG14" s="18">
        <f t="shared" si="36"/>
        <v>6</v>
      </c>
      <c r="EH14" s="18">
        <f t="shared" si="36"/>
        <v>6</v>
      </c>
      <c r="EI14" s="18">
        <f t="shared" si="36"/>
        <v>6</v>
      </c>
      <c r="EJ14" s="18">
        <f t="shared" si="36"/>
        <v>6</v>
      </c>
      <c r="EK14" s="18">
        <f t="shared" si="36"/>
        <v>6</v>
      </c>
      <c r="EL14" s="18">
        <f t="shared" si="36"/>
        <v>6</v>
      </c>
      <c r="EM14" s="18">
        <f t="shared" si="36"/>
        <v>6</v>
      </c>
      <c r="EN14" s="18">
        <f t="shared" si="36"/>
        <v>6</v>
      </c>
      <c r="EO14" s="18">
        <f t="shared" si="36"/>
        <v>6</v>
      </c>
      <c r="EP14" s="18">
        <f t="shared" si="36"/>
        <v>6</v>
      </c>
      <c r="EQ14" s="192"/>
      <c r="ER14" s="192"/>
      <c r="ES14" s="355">
        <f t="shared" si="18"/>
        <v>9</v>
      </c>
      <c r="ET14"/>
      <c r="EU14"/>
      <c r="EV14"/>
      <c r="EW14"/>
      <c r="EX14"/>
      <c r="EY14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s="4" customFormat="1" ht="11.45" customHeight="1" outlineLevel="1">
      <c r="A15" s="15"/>
      <c r="B15" s="308" t="s">
        <v>240</v>
      </c>
      <c r="C15" s="127"/>
      <c r="D15" s="127"/>
      <c r="E15" s="127">
        <f>SUM(AH15:AK15)</f>
        <v>306.04700000000003</v>
      </c>
      <c r="F15" s="127">
        <f>SUM(AL15:AO15)</f>
        <v>322.69799999999998</v>
      </c>
      <c r="G15" s="127">
        <f>SUM(AP15:AS15)</f>
        <v>295.875</v>
      </c>
      <c r="H15" s="127">
        <f>SUM(AT15:AW15)</f>
        <v>387.47300000000001</v>
      </c>
      <c r="I15" s="127">
        <f>SUM(AX15:BA15)</f>
        <v>506.42200000000003</v>
      </c>
      <c r="J15" s="127">
        <f>SUM(BB15:BE15)</f>
        <v>592.03700000000003</v>
      </c>
      <c r="K15" s="127">
        <f>SUM(BF15:BI15)</f>
        <v>556.56200000000001</v>
      </c>
      <c r="L15" s="127">
        <f>SUM(BJ15:BM15)</f>
        <v>599.12199999999996</v>
      </c>
      <c r="M15" s="127">
        <f>SUM(BN15:BQ15)</f>
        <v>767.51800000000003</v>
      </c>
      <c r="N15" s="127">
        <f>SUM(BR15:BU15)</f>
        <v>523.39400000000001</v>
      </c>
      <c r="O15" s="127">
        <f>SUM(BV15:BY15)</f>
        <v>507.33100000000002</v>
      </c>
      <c r="P15" s="127">
        <f t="shared" ref="P15:AF15" si="37">SUM(P11:P14)</f>
        <v>589.05600000000004</v>
      </c>
      <c r="Q15" s="127">
        <f t="shared" si="37"/>
        <v>800.72600000000011</v>
      </c>
      <c r="R15" s="127">
        <f t="shared" si="37"/>
        <v>1224.8130000000001</v>
      </c>
      <c r="S15" s="127">
        <f t="shared" si="37"/>
        <v>1629.6579999999997</v>
      </c>
      <c r="T15" s="127">
        <f t="shared" si="37"/>
        <v>2036.5429999999999</v>
      </c>
      <c r="U15" s="127">
        <f t="shared" si="37"/>
        <v>1894.038</v>
      </c>
      <c r="V15" s="127">
        <f t="shared" si="37"/>
        <v>1881.9090000000001</v>
      </c>
      <c r="W15" s="127">
        <f t="shared" si="37"/>
        <v>2543.8939999999998</v>
      </c>
      <c r="X15" s="127">
        <f t="shared" si="37"/>
        <v>3151.8020000000001</v>
      </c>
      <c r="Y15" s="127">
        <f t="shared" si="37"/>
        <v>3371.1743999999994</v>
      </c>
      <c r="Z15" s="127">
        <f t="shared" si="37"/>
        <v>3709.8051920000003</v>
      </c>
      <c r="AA15" s="127">
        <f t="shared" si="37"/>
        <v>2943.5529320000001</v>
      </c>
      <c r="AB15" s="127">
        <f t="shared" si="37"/>
        <v>1405.2723580000002</v>
      </c>
      <c r="AC15" s="127">
        <f t="shared" si="37"/>
        <v>1766.1119759999999</v>
      </c>
      <c r="AD15" s="127">
        <f t="shared" si="37"/>
        <v>2335.285028626</v>
      </c>
      <c r="AE15" s="127">
        <f t="shared" si="37"/>
        <v>2730.3184982303583</v>
      </c>
      <c r="AF15" s="127">
        <f t="shared" si="37"/>
        <v>2934.0719307562949</v>
      </c>
      <c r="AG15" s="307"/>
      <c r="AH15" s="306">
        <v>80.001999999999995</v>
      </c>
      <c r="AI15" s="306">
        <v>81.245000000000005</v>
      </c>
      <c r="AJ15" s="306">
        <v>72.094999999999999</v>
      </c>
      <c r="AK15" s="306">
        <f>306.047-SUM(AH15:AJ15)</f>
        <v>72.705000000000013</v>
      </c>
      <c r="AL15" s="306">
        <v>80.644000000000005</v>
      </c>
      <c r="AM15" s="306">
        <v>86.358999999999995</v>
      </c>
      <c r="AN15" s="306">
        <v>77.052000000000007</v>
      </c>
      <c r="AO15" s="306">
        <f>322.698-SUM(AL15:AN15)</f>
        <v>78.642999999999972</v>
      </c>
      <c r="AP15" s="306">
        <v>78.555000000000007</v>
      </c>
      <c r="AQ15" s="306">
        <v>76.108999999999995</v>
      </c>
      <c r="AR15" s="306">
        <v>76.412999999999997</v>
      </c>
      <c r="AS15" s="306">
        <f>295.875-SUM(AP15:AR15)</f>
        <v>64.798000000000002</v>
      </c>
      <c r="AT15" s="306">
        <v>87.26</v>
      </c>
      <c r="AU15" s="306">
        <v>93.911000000000001</v>
      </c>
      <c r="AV15" s="306">
        <v>99.701999999999998</v>
      </c>
      <c r="AW15" s="306">
        <f>387.473-SUM(AT15:AV15)</f>
        <v>106.60000000000002</v>
      </c>
      <c r="AX15" s="306">
        <v>116.726</v>
      </c>
      <c r="AY15" s="306">
        <v>130.773</v>
      </c>
      <c r="AZ15" s="306">
        <v>123.363</v>
      </c>
      <c r="BA15" s="306">
        <f>506.422-SUM(AX15:AZ15)</f>
        <v>135.56000000000006</v>
      </c>
      <c r="BB15" s="306">
        <v>144.11199999999999</v>
      </c>
      <c r="BC15" s="306">
        <v>140.822</v>
      </c>
      <c r="BD15" s="306">
        <v>153.90199999999999</v>
      </c>
      <c r="BE15" s="306">
        <f>592.037-SUM(BB15:BD15)</f>
        <v>153.20100000000008</v>
      </c>
      <c r="BF15" s="306">
        <v>142.518</v>
      </c>
      <c r="BG15" s="306">
        <v>154.042</v>
      </c>
      <c r="BH15" s="306">
        <v>129.28399999999999</v>
      </c>
      <c r="BI15" s="306">
        <f>556.562-SUM(BF15:BH15)</f>
        <v>130.71800000000002</v>
      </c>
      <c r="BJ15" s="306">
        <v>135.19399999999999</v>
      </c>
      <c r="BK15" s="306">
        <v>140.24100000000001</v>
      </c>
      <c r="BL15" s="306">
        <v>149.76</v>
      </c>
      <c r="BM15" s="306">
        <v>173.92699999999999</v>
      </c>
      <c r="BN15" s="306">
        <v>189.74799999999999</v>
      </c>
      <c r="BO15" s="306">
        <v>218.81700000000001</v>
      </c>
      <c r="BP15" s="306">
        <v>212.57300000000001</v>
      </c>
      <c r="BQ15" s="306">
        <v>146.38</v>
      </c>
      <c r="BR15" s="306">
        <v>142.57599999999999</v>
      </c>
      <c r="BS15" s="306">
        <v>130.816</v>
      </c>
      <c r="BT15" s="306">
        <v>126.495</v>
      </c>
      <c r="BU15" s="306">
        <v>123.50700000000001</v>
      </c>
      <c r="BV15" s="306">
        <v>112.504</v>
      </c>
      <c r="BW15" s="306">
        <v>125.459</v>
      </c>
      <c r="BX15" s="306">
        <v>136.553</v>
      </c>
      <c r="BY15" s="306">
        <v>132.815</v>
      </c>
      <c r="BZ15" s="127">
        <f t="shared" ref="BZ15:DE15" si="38">SUM(BZ11:BZ14)</f>
        <v>134.273</v>
      </c>
      <c r="CA15" s="127">
        <f t="shared" si="38"/>
        <v>143.024</v>
      </c>
      <c r="CB15" s="127">
        <f t="shared" si="38"/>
        <v>147.691</v>
      </c>
      <c r="CC15" s="127">
        <f t="shared" si="38"/>
        <v>164.06800000000001</v>
      </c>
      <c r="CD15" s="127">
        <f t="shared" si="38"/>
        <v>174.679</v>
      </c>
      <c r="CE15" s="127">
        <f t="shared" si="38"/>
        <v>185.45000000000002</v>
      </c>
      <c r="CF15" s="127">
        <f t="shared" si="38"/>
        <v>207.387</v>
      </c>
      <c r="CG15" s="127">
        <f t="shared" si="38"/>
        <v>233.21</v>
      </c>
      <c r="CH15" s="127">
        <f t="shared" si="38"/>
        <v>255.38800000000001</v>
      </c>
      <c r="CI15" s="127">
        <f t="shared" si="38"/>
        <v>290.83</v>
      </c>
      <c r="CJ15" s="127">
        <f t="shared" si="38"/>
        <v>319.79600000000005</v>
      </c>
      <c r="CK15" s="127">
        <f t="shared" si="38"/>
        <v>358.79900000000004</v>
      </c>
      <c r="CL15" s="127">
        <f t="shared" si="38"/>
        <v>386.399</v>
      </c>
      <c r="CM15" s="127">
        <f t="shared" si="38"/>
        <v>372.53599999999994</v>
      </c>
      <c r="CN15" s="127">
        <f t="shared" si="38"/>
        <v>421.27399999999994</v>
      </c>
      <c r="CO15" s="127">
        <f t="shared" si="38"/>
        <v>449.44900000000001</v>
      </c>
      <c r="CP15" s="127">
        <f t="shared" si="38"/>
        <v>456.66300000000007</v>
      </c>
      <c r="CQ15" s="127">
        <f t="shared" si="38"/>
        <v>473.64399999999995</v>
      </c>
      <c r="CR15" s="127">
        <f t="shared" si="38"/>
        <v>522.51700000000005</v>
      </c>
      <c r="CS15" s="127">
        <f t="shared" si="38"/>
        <v>583.71899999999994</v>
      </c>
      <c r="CT15" s="127">
        <f t="shared" si="38"/>
        <v>623.75400000000002</v>
      </c>
      <c r="CU15" s="127">
        <f t="shared" si="38"/>
        <v>520.29999999999995</v>
      </c>
      <c r="CV15" s="127">
        <f t="shared" si="38"/>
        <v>387.76700000000005</v>
      </c>
      <c r="CW15" s="127">
        <f t="shared" si="38"/>
        <v>362.21700000000004</v>
      </c>
      <c r="CX15" s="127">
        <f t="shared" si="38"/>
        <v>399.84300000000007</v>
      </c>
      <c r="CY15" s="127">
        <f t="shared" si="38"/>
        <v>439.72499999999997</v>
      </c>
      <c r="CZ15" s="127">
        <f t="shared" si="38"/>
        <v>483.38400000000001</v>
      </c>
      <c r="DA15" s="127">
        <f t="shared" si="38"/>
        <v>558.95699999999999</v>
      </c>
      <c r="DB15" s="127">
        <f t="shared" si="38"/>
        <v>594.64199999999994</v>
      </c>
      <c r="DC15" s="127">
        <f t="shared" si="38"/>
        <v>604.40599999999995</v>
      </c>
      <c r="DD15" s="127">
        <f t="shared" si="38"/>
        <v>644.09499999999991</v>
      </c>
      <c r="DE15" s="127">
        <f t="shared" si="38"/>
        <v>700.75099999999998</v>
      </c>
      <c r="DF15" s="127">
        <f t="shared" ref="DF15:EK15" si="39">SUM(DF11:DF14)</f>
        <v>732.58800000000008</v>
      </c>
      <c r="DG15" s="127">
        <f t="shared" si="39"/>
        <v>769.98199999999997</v>
      </c>
      <c r="DH15" s="127">
        <f t="shared" si="39"/>
        <v>819.78499999999985</v>
      </c>
      <c r="DI15" s="127">
        <f t="shared" si="39"/>
        <v>829.447</v>
      </c>
      <c r="DJ15" s="127">
        <f t="shared" si="39"/>
        <v>844.57199999999989</v>
      </c>
      <c r="DK15" s="127">
        <f t="shared" si="39"/>
        <v>838.30900000000008</v>
      </c>
      <c r="DL15" s="127">
        <f t="shared" si="39"/>
        <v>840.197</v>
      </c>
      <c r="DM15" s="127">
        <f t="shared" si="39"/>
        <v>848.09640000000002</v>
      </c>
      <c r="DN15" s="127">
        <f t="shared" si="39"/>
        <v>879.25019199999997</v>
      </c>
      <c r="DO15" s="127">
        <f t="shared" si="39"/>
        <v>893.43000000000006</v>
      </c>
      <c r="DP15" s="127">
        <f t="shared" si="39"/>
        <v>952.08699999999988</v>
      </c>
      <c r="DQ15" s="127">
        <f t="shared" si="39"/>
        <v>985.03800000000001</v>
      </c>
      <c r="DR15" s="127">
        <f t="shared" si="39"/>
        <v>1033.585</v>
      </c>
      <c r="DS15" s="127">
        <f t="shared" si="39"/>
        <v>811.36770799999999</v>
      </c>
      <c r="DT15" s="127">
        <f t="shared" si="39"/>
        <v>575.18817899999999</v>
      </c>
      <c r="DU15" s="127">
        <f t="shared" si="39"/>
        <v>523.41204499999992</v>
      </c>
      <c r="DV15" s="127">
        <f t="shared" si="39"/>
        <v>458.97593500000005</v>
      </c>
      <c r="DW15" s="127">
        <f t="shared" si="39"/>
        <v>358.62751299999996</v>
      </c>
      <c r="DX15" s="127">
        <f t="shared" si="39"/>
        <v>285.74443000000002</v>
      </c>
      <c r="DY15" s="127">
        <f t="shared" si="39"/>
        <v>301.92448000000002</v>
      </c>
      <c r="DZ15" s="127">
        <f t="shared" si="39"/>
        <v>355.08625000000001</v>
      </c>
      <c r="EA15" s="127">
        <f t="shared" si="39"/>
        <v>399.31880200000001</v>
      </c>
      <c r="EB15" s="127">
        <f t="shared" si="39"/>
        <v>483.97710400000005</v>
      </c>
      <c r="EC15" s="127">
        <f t="shared" si="39"/>
        <v>527.7298199999999</v>
      </c>
      <c r="ED15" s="127">
        <f t="shared" si="39"/>
        <v>559.80865399999993</v>
      </c>
      <c r="EE15" s="127">
        <f t="shared" si="39"/>
        <v>555.57222124999998</v>
      </c>
      <c r="EF15" s="127">
        <f t="shared" si="39"/>
        <v>591.0762451999999</v>
      </c>
      <c r="EG15" s="127">
        <f t="shared" si="39"/>
        <v>628.82790817600005</v>
      </c>
      <c r="EH15" s="127">
        <f t="shared" si="39"/>
        <v>655.01304021687997</v>
      </c>
      <c r="EI15" s="127">
        <f t="shared" si="39"/>
        <v>669.5568126179644</v>
      </c>
      <c r="EJ15" s="127">
        <f t="shared" si="39"/>
        <v>692.18358168105419</v>
      </c>
      <c r="EK15" s="127">
        <f t="shared" si="39"/>
        <v>713.56506371445937</v>
      </c>
      <c r="EL15" s="127">
        <f t="shared" ref="EL15:EP15" si="40">SUM(EL11:EL14)</f>
        <v>740.76738503303193</v>
      </c>
      <c r="EM15" s="127">
        <f t="shared" si="40"/>
        <v>731.115771958197</v>
      </c>
      <c r="EN15" s="127">
        <f t="shared" si="40"/>
        <v>728.71242581798811</v>
      </c>
      <c r="EO15" s="127">
        <f t="shared" si="40"/>
        <v>733.4763479470779</v>
      </c>
      <c r="EP15" s="127">
        <f t="shared" si="40"/>
        <v>731.04653968681316</v>
      </c>
      <c r="EQ15" s="192"/>
      <c r="ER15" s="192"/>
      <c r="ES15" s="355">
        <f t="shared" si="18"/>
        <v>10</v>
      </c>
      <c r="ET15"/>
      <c r="EU15"/>
      <c r="EV15"/>
      <c r="EW15"/>
      <c r="EX15"/>
      <c r="EY15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s="4" customFormat="1" ht="3" customHeight="1" outlineLevel="1">
      <c r="A16" s="15"/>
      <c r="B16" s="63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96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314"/>
      <c r="DB16" s="314"/>
      <c r="DC16" s="314"/>
      <c r="DD16" s="314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92"/>
      <c r="ER16" s="192"/>
      <c r="ES16" s="355">
        <f t="shared" si="18"/>
        <v>11</v>
      </c>
      <c r="ET16"/>
      <c r="EU16"/>
      <c r="EV16"/>
      <c r="EW16"/>
      <c r="EX16"/>
      <c r="EY16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s="4" customFormat="1" ht="11.45" hidden="1" customHeight="1" outlineLevel="2">
      <c r="A17" s="15"/>
      <c r="B17" s="47" t="s">
        <v>239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92"/>
      <c r="ER17" s="192"/>
      <c r="ES17" s="355">
        <f t="shared" si="18"/>
        <v>12</v>
      </c>
      <c r="ET17"/>
      <c r="EU17"/>
      <c r="EV17"/>
      <c r="EW17"/>
      <c r="EX17"/>
      <c r="EY17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s="4" customFormat="1" ht="11.45" hidden="1" customHeight="1" outlineLevel="2">
      <c r="A18" s="15"/>
      <c r="B18" s="14" t="s">
        <v>192</v>
      </c>
      <c r="C18" s="18"/>
      <c r="D18" s="18"/>
      <c r="E18" s="18"/>
      <c r="F18" s="18"/>
      <c r="G18" s="18"/>
      <c r="H18" s="18"/>
      <c r="I18" s="132"/>
      <c r="J18" s="132"/>
      <c r="K18" s="132"/>
      <c r="L18" s="132"/>
      <c r="M18" s="132"/>
      <c r="N18" s="18">
        <f>-165.394</f>
        <v>-165.39400000000001</v>
      </c>
      <c r="O18" s="18">
        <f>SUM(BV18:BY18)</f>
        <v>-201.39800000000002</v>
      </c>
      <c r="P18" s="18">
        <f>SUM(BZ18:CC18)</f>
        <v>-246.17699999999996</v>
      </c>
      <c r="Q18" s="18">
        <f>SUM(CD18:CG18)</f>
        <v>-294.16399999999999</v>
      </c>
      <c r="R18" s="18">
        <f>SUM(CH18:CK18)</f>
        <v>-398.87300000000005</v>
      </c>
      <c r="S18" s="18">
        <f>SUM(CL18:CO18)</f>
        <v>-587.82500000000005</v>
      </c>
      <c r="T18" s="18">
        <f>SUM(CP18:CS18)</f>
        <v>-756.82799999999997</v>
      </c>
      <c r="U18" s="18">
        <f>SUM(CT18:CW18)</f>
        <v>-663.38499999999999</v>
      </c>
      <c r="V18" s="18">
        <f>SUM(CX18:DA18)</f>
        <v>-772.76599999999996</v>
      </c>
      <c r="W18" s="18">
        <f>SUM(DB18:DE18)</f>
        <v>-1116.126</v>
      </c>
      <c r="X18" s="18">
        <f t="shared" ref="X18:AF21" si="41">SUMIF($AH$5:$ER$5,X$5,$AH18:$ER18)</f>
        <v>-1407.9859999999999</v>
      </c>
      <c r="Y18" s="18">
        <f t="shared" si="41"/>
        <v>-1424.7160000000001</v>
      </c>
      <c r="Z18" s="18">
        <f t="shared" si="41"/>
        <v>-1576.7019999999998</v>
      </c>
      <c r="AA18" s="18">
        <f t="shared" si="41"/>
        <v>-1254.424</v>
      </c>
      <c r="AB18" s="18">
        <f t="shared" si="41"/>
        <v>-576.77509599999996</v>
      </c>
      <c r="AC18" s="18">
        <f t="shared" si="41"/>
        <v>-982.83524000000011</v>
      </c>
      <c r="AD18" s="18">
        <f t="shared" si="41"/>
        <v>-1269.3661975</v>
      </c>
      <c r="AE18" s="18">
        <f t="shared" si="41"/>
        <v>-1396.2125000000001</v>
      </c>
      <c r="AF18" s="18">
        <f t="shared" si="41"/>
        <v>-1485.92</v>
      </c>
      <c r="AG18" s="96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314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57">
        <f>-44.699+0.135</f>
        <v>-44.564</v>
      </c>
      <c r="BV18" s="57">
        <v>-45.856000000000002</v>
      </c>
      <c r="BW18" s="57">
        <v>-49.136000000000003</v>
      </c>
      <c r="BX18" s="57">
        <v>-52.326999999999998</v>
      </c>
      <c r="BY18" s="57">
        <v>-54.079000000000001</v>
      </c>
      <c r="BZ18" s="57">
        <v>-53.49</v>
      </c>
      <c r="CA18" s="57">
        <v>-60.942999999999998</v>
      </c>
      <c r="CB18" s="57">
        <v>-62.783999999999999</v>
      </c>
      <c r="CC18" s="57">
        <v>-68.959999999999994</v>
      </c>
      <c r="CD18" s="57">
        <v>-66.977999999999994</v>
      </c>
      <c r="CE18" s="57">
        <v>-69.694999999999993</v>
      </c>
      <c r="CF18" s="57">
        <v>-74.638999999999996</v>
      </c>
      <c r="CG18" s="57">
        <v>-82.852000000000004</v>
      </c>
      <c r="CH18" s="57">
        <v>-84.215000000000003</v>
      </c>
      <c r="CI18" s="57">
        <v>-92.051000000000002</v>
      </c>
      <c r="CJ18" s="57">
        <v>-102.09399999999999</v>
      </c>
      <c r="CK18" s="57">
        <v>-120.51300000000001</v>
      </c>
      <c r="CL18" s="57">
        <v>-127.357</v>
      </c>
      <c r="CM18" s="57">
        <v>-132.399</v>
      </c>
      <c r="CN18" s="57">
        <v>-157.75800000000001</v>
      </c>
      <c r="CO18" s="57">
        <v>-170.31100000000001</v>
      </c>
      <c r="CP18" s="57">
        <v>-165.565</v>
      </c>
      <c r="CQ18" s="57">
        <v>-181.75700000000001</v>
      </c>
      <c r="CR18" s="57">
        <v>-187.77099999999999</v>
      </c>
      <c r="CS18" s="57">
        <v>-221.73500000000001</v>
      </c>
      <c r="CT18" s="57">
        <v>-233.30600000000001</v>
      </c>
      <c r="CU18" s="57">
        <v>-172.03299999999999</v>
      </c>
      <c r="CV18" s="57">
        <v>-133.041</v>
      </c>
      <c r="CW18" s="57">
        <v>-125.005</v>
      </c>
      <c r="CX18" s="57">
        <v>-138.35499999999999</v>
      </c>
      <c r="CY18" s="57">
        <v>-176.42400000000001</v>
      </c>
      <c r="CZ18" s="57">
        <v>-206.70699999999999</v>
      </c>
      <c r="DA18" s="57">
        <v>-251.28</v>
      </c>
      <c r="DB18" s="57">
        <v>-252.238</v>
      </c>
      <c r="DC18" s="57">
        <v>-260.834</v>
      </c>
      <c r="DD18" s="57">
        <f>-289.311+3.574</f>
        <v>-285.73699999999997</v>
      </c>
      <c r="DE18" s="57">
        <v>-317.31700000000001</v>
      </c>
      <c r="DF18" s="57">
        <v>-312.30599999999998</v>
      </c>
      <c r="DG18" s="57">
        <v>-362.89800000000002</v>
      </c>
      <c r="DH18" s="57">
        <v>-382.41800000000001</v>
      </c>
      <c r="DI18" s="57">
        <v>-350.36399999999998</v>
      </c>
      <c r="DJ18" s="57">
        <v>-361.06799999999998</v>
      </c>
      <c r="DK18" s="57">
        <v>-354.17</v>
      </c>
      <c r="DL18" s="57">
        <v>-348.85</v>
      </c>
      <c r="DM18" s="57">
        <v>-360.62799999999999</v>
      </c>
      <c r="DN18" s="57">
        <v>-367.18599999999998</v>
      </c>
      <c r="DO18" s="57">
        <v>-378.34699999999998</v>
      </c>
      <c r="DP18" s="57">
        <v>-408.99</v>
      </c>
      <c r="DQ18" s="57">
        <v>-422.17899999999997</v>
      </c>
      <c r="DR18" s="57">
        <v>-441.12599999999998</v>
      </c>
      <c r="DS18" s="57">
        <v>-352.48899999999998</v>
      </c>
      <c r="DT18" s="57">
        <v>-241.10900000000001</v>
      </c>
      <c r="DU18" s="57">
        <v>-219.7</v>
      </c>
      <c r="DV18" s="57">
        <v>-181.541</v>
      </c>
      <c r="DW18" s="57">
        <f>-155.884+(DW109*110)/1000000</f>
        <v>-154.82789</v>
      </c>
      <c r="DX18" s="57">
        <f>-122.694+(DX109*363)/1000000</f>
        <v>-119.977671</v>
      </c>
      <c r="DY18" s="57">
        <f>-143.681+(DY109*2923)/1000000</f>
        <v>-120.42853500000001</v>
      </c>
      <c r="DZ18" s="57">
        <f>-170.606+(DZ109*140)/1000000</f>
        <v>-169.23623999999998</v>
      </c>
      <c r="EA18" s="57">
        <v>-238.249</v>
      </c>
      <c r="EB18" s="57">
        <v>-277.37200000000001</v>
      </c>
      <c r="EC18" s="57">
        <v>-297.97800000000001</v>
      </c>
      <c r="ED18" s="57">
        <v>-299.06400000000002</v>
      </c>
      <c r="EE18" s="18">
        <f t="shared" ref="EE18:EP18" si="42">-EE124</f>
        <v>-308.73719749999998</v>
      </c>
      <c r="EF18" s="18">
        <f t="shared" si="42"/>
        <v>-325.58999999999997</v>
      </c>
      <c r="EG18" s="18">
        <f t="shared" si="42"/>
        <v>-335.97500000000002</v>
      </c>
      <c r="EH18" s="18">
        <f t="shared" si="42"/>
        <v>-342.185</v>
      </c>
      <c r="EI18" s="18">
        <f t="shared" si="42"/>
        <v>-341.91500000000002</v>
      </c>
      <c r="EJ18" s="18">
        <f t="shared" si="42"/>
        <v>-351.29750000000001</v>
      </c>
      <c r="EK18" s="18">
        <f t="shared" si="42"/>
        <v>-360.815</v>
      </c>
      <c r="EL18" s="18">
        <f t="shared" si="42"/>
        <v>-373.23500000000001</v>
      </c>
      <c r="EM18" s="18">
        <f t="shared" si="42"/>
        <v>-369.72500000000002</v>
      </c>
      <c r="EN18" s="18">
        <f t="shared" si="42"/>
        <v>-369.72500000000002</v>
      </c>
      <c r="EO18" s="18">
        <f t="shared" si="42"/>
        <v>-373.23500000000001</v>
      </c>
      <c r="EP18" s="18">
        <f t="shared" si="42"/>
        <v>-373.23500000000001</v>
      </c>
      <c r="EQ18" s="192"/>
      <c r="ER18" s="192"/>
      <c r="ES18" s="355">
        <f t="shared" si="18"/>
        <v>13</v>
      </c>
      <c r="ET18"/>
      <c r="EU18"/>
      <c r="EV18"/>
      <c r="EW18"/>
      <c r="EX18"/>
      <c r="EY18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s="4" customFormat="1" ht="11.45" hidden="1" customHeight="1" outlineLevel="2">
      <c r="A19" s="15"/>
      <c r="B19" s="14" t="s">
        <v>177</v>
      </c>
      <c r="C19" s="18"/>
      <c r="D19" s="18"/>
      <c r="E19" s="18"/>
      <c r="F19" s="18"/>
      <c r="G19" s="18"/>
      <c r="H19" s="18"/>
      <c r="I19" s="132"/>
      <c r="J19" s="132"/>
      <c r="K19" s="132"/>
      <c r="L19" s="132"/>
      <c r="M19" s="132"/>
      <c r="N19" s="18">
        <f>-79.301</f>
        <v>-79.301000000000002</v>
      </c>
      <c r="O19" s="18">
        <f>SUM(BV19:BY19)</f>
        <v>-60.588999999999999</v>
      </c>
      <c r="P19" s="18">
        <f>SUM(BZ19:CC19)</f>
        <v>-52.987000000000002</v>
      </c>
      <c r="Q19" s="18">
        <f>SUM(CD19:CG19)</f>
        <v>-52.786000000000001</v>
      </c>
      <c r="R19" s="18">
        <f>SUM(CH19:CK19)</f>
        <v>-92.956999999999994</v>
      </c>
      <c r="S19" s="18">
        <f>SUM(CL19:CO19)</f>
        <v>-85.555999999999997</v>
      </c>
      <c r="T19" s="18">
        <f>SUM(CP19:CS19)</f>
        <v>-104.45400000000001</v>
      </c>
      <c r="U19" s="18">
        <f>SUM(CT19:CW19)</f>
        <v>-133.44200000000001</v>
      </c>
      <c r="V19" s="18">
        <f>SUM(CX19:DA19)</f>
        <v>-131.27100000000002</v>
      </c>
      <c r="W19" s="18">
        <f>SUM(DB19:DE19)</f>
        <v>-135.36799999999999</v>
      </c>
      <c r="X19" s="18">
        <f t="shared" si="41"/>
        <v>-126.47</v>
      </c>
      <c r="Y19" s="18">
        <f t="shared" si="41"/>
        <v>-146.184</v>
      </c>
      <c r="Z19" s="18">
        <f t="shared" si="41"/>
        <v>-158.834</v>
      </c>
      <c r="AA19" s="18">
        <f t="shared" si="41"/>
        <v>-158.13800000000001</v>
      </c>
      <c r="AB19" s="18">
        <f t="shared" si="41"/>
        <v>-105.34031299999999</v>
      </c>
      <c r="AC19" s="18">
        <f t="shared" si="41"/>
        <v>-96.593000000000004</v>
      </c>
      <c r="AD19" s="18">
        <f t="shared" si="41"/>
        <v>-82.878032936442494</v>
      </c>
      <c r="AE19" s="18">
        <f t="shared" si="41"/>
        <v>-94.60190101016488</v>
      </c>
      <c r="AF19" s="18">
        <f t="shared" si="41"/>
        <v>-106.69547214905452</v>
      </c>
      <c r="AG19" s="96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57">
        <v>-17.257000000000001</v>
      </c>
      <c r="BV19" s="57">
        <v>-16.099</v>
      </c>
      <c r="BW19" s="57">
        <v>-15.42</v>
      </c>
      <c r="BX19" s="57">
        <v>-15.621</v>
      </c>
      <c r="BY19" s="57">
        <v>-13.449</v>
      </c>
      <c r="BZ19" s="57">
        <v>-12.722</v>
      </c>
      <c r="CA19" s="57">
        <v>-10.997</v>
      </c>
      <c r="CB19" s="57">
        <v>-13.615</v>
      </c>
      <c r="CC19" s="57">
        <v>-15.653</v>
      </c>
      <c r="CD19" s="57">
        <v>-12.847</v>
      </c>
      <c r="CE19" s="57">
        <v>-10.992000000000001</v>
      </c>
      <c r="CF19" s="57">
        <v>-11.504</v>
      </c>
      <c r="CG19" s="57">
        <v>-17.443000000000001</v>
      </c>
      <c r="CH19" s="57">
        <v>-20.308</v>
      </c>
      <c r="CI19" s="57">
        <v>-21.82</v>
      </c>
      <c r="CJ19" s="57">
        <v>-22.725999999999999</v>
      </c>
      <c r="CK19" s="57">
        <v>-28.103000000000002</v>
      </c>
      <c r="CL19" s="57">
        <v>-24.138000000000002</v>
      </c>
      <c r="CM19" s="57">
        <v>-20.709</v>
      </c>
      <c r="CN19" s="57">
        <v>-21.748000000000001</v>
      </c>
      <c r="CO19" s="57">
        <v>-18.960999999999999</v>
      </c>
      <c r="CP19" s="57">
        <v>-19.210999999999999</v>
      </c>
      <c r="CQ19" s="57">
        <v>-21.917999999999999</v>
      </c>
      <c r="CR19" s="57">
        <v>-31.166</v>
      </c>
      <c r="CS19" s="57">
        <v>-32.158999999999999</v>
      </c>
      <c r="CT19" s="57">
        <v>-31.762</v>
      </c>
      <c r="CU19" s="57">
        <v>-31.402999999999999</v>
      </c>
      <c r="CV19" s="57">
        <v>-38.853999999999999</v>
      </c>
      <c r="CW19" s="57">
        <v>-31.422999999999998</v>
      </c>
      <c r="CX19" s="57">
        <v>-32.576000000000001</v>
      </c>
      <c r="CY19" s="57">
        <v>-29.696000000000002</v>
      </c>
      <c r="CZ19" s="57">
        <v>-37.328000000000003</v>
      </c>
      <c r="DA19" s="57">
        <v>-31.670999999999999</v>
      </c>
      <c r="DB19" s="57">
        <v>-30.927</v>
      </c>
      <c r="DC19" s="57">
        <v>-33.936</v>
      </c>
      <c r="DD19" s="57">
        <v>-36.664000000000001</v>
      </c>
      <c r="DE19" s="57">
        <v>-33.841000000000001</v>
      </c>
      <c r="DF19" s="57">
        <v>-33.201000000000001</v>
      </c>
      <c r="DG19" s="57">
        <v>-28.472999999999999</v>
      </c>
      <c r="DH19" s="57">
        <v>-28.972000000000001</v>
      </c>
      <c r="DI19" s="57">
        <v>-35.823999999999998</v>
      </c>
      <c r="DJ19" s="57">
        <v>-37.207000000000001</v>
      </c>
      <c r="DK19" s="57">
        <v>-36.106000000000002</v>
      </c>
      <c r="DL19" s="57">
        <v>-33.960999999999999</v>
      </c>
      <c r="DM19" s="57">
        <v>-38.909999999999997</v>
      </c>
      <c r="DN19" s="57">
        <v>-34.875999999999998</v>
      </c>
      <c r="DO19" s="57">
        <v>-38.478999999999999</v>
      </c>
      <c r="DP19" s="57">
        <v>-42.445999999999998</v>
      </c>
      <c r="DQ19" s="57">
        <v>-43.033000000000001</v>
      </c>
      <c r="DR19" s="57">
        <v>-44.238999999999997</v>
      </c>
      <c r="DS19" s="57">
        <v>-39.433</v>
      </c>
      <c r="DT19" s="57">
        <v>-37.58</v>
      </c>
      <c r="DU19" s="57">
        <v>-36.886000000000003</v>
      </c>
      <c r="DV19" s="57">
        <v>-30.292999999999999</v>
      </c>
      <c r="DW19" s="57">
        <f>-27.065+(DW146*537)/1000000</f>
        <v>-26.693933000000001</v>
      </c>
      <c r="DX19" s="57">
        <f>-24.249+(DX146*1236)/1000000</f>
        <v>-23.461668</v>
      </c>
      <c r="DY19" s="57">
        <f>-25.376+(DY146*752)/1000000</f>
        <v>-24.891712000000002</v>
      </c>
      <c r="DZ19" s="57">
        <v>-22.844999999999999</v>
      </c>
      <c r="EA19" s="57">
        <v>-26.023</v>
      </c>
      <c r="EB19" s="57">
        <v>-23.655999999999999</v>
      </c>
      <c r="EC19" s="57">
        <v>-24.068999999999999</v>
      </c>
      <c r="ED19" s="57">
        <v>-21.122</v>
      </c>
      <c r="EE19" s="18">
        <f t="shared" ref="EE19:EP19" si="43">-EE158</f>
        <v>-20.288837700000002</v>
      </c>
      <c r="EF19" s="18">
        <f t="shared" si="43"/>
        <v>-19.975291888499999</v>
      </c>
      <c r="EG19" s="18">
        <f t="shared" si="43"/>
        <v>-21.491903347942497</v>
      </c>
      <c r="EH19" s="18">
        <f t="shared" si="43"/>
        <v>-21.983672864682209</v>
      </c>
      <c r="EI19" s="18">
        <f t="shared" si="43"/>
        <v>-22.890601229005618</v>
      </c>
      <c r="EJ19" s="18">
        <f t="shared" si="43"/>
        <v>-24.197689235150648</v>
      </c>
      <c r="EK19" s="18">
        <f t="shared" si="43"/>
        <v>-25.529937681326398</v>
      </c>
      <c r="EL19" s="18">
        <f t="shared" si="43"/>
        <v>-26.712347369733031</v>
      </c>
      <c r="EM19" s="18">
        <f t="shared" si="43"/>
        <v>-26.569919106581697</v>
      </c>
      <c r="EN19" s="18">
        <f t="shared" si="43"/>
        <v>-26.602653702114605</v>
      </c>
      <c r="EO19" s="18">
        <f t="shared" si="43"/>
        <v>-26.810551970625177</v>
      </c>
      <c r="EP19" s="18">
        <f t="shared" si="43"/>
        <v>-26.843614730478304</v>
      </c>
      <c r="EQ19" s="192"/>
      <c r="ER19" s="192"/>
      <c r="ES19" s="355">
        <f t="shared" si="18"/>
        <v>14</v>
      </c>
      <c r="ET19"/>
      <c r="EU19"/>
      <c r="EV19"/>
      <c r="EW19"/>
      <c r="EX19"/>
      <c r="EY19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s="4" customFormat="1" ht="11.45" hidden="1" customHeight="1" outlineLevel="2">
      <c r="A20" s="15"/>
      <c r="B20" s="14" t="s">
        <v>174</v>
      </c>
      <c r="C20" s="18"/>
      <c r="D20" s="18"/>
      <c r="E20" s="18"/>
      <c r="F20" s="18"/>
      <c r="G20" s="18"/>
      <c r="H20" s="18"/>
      <c r="I20" s="132"/>
      <c r="J20" s="132"/>
      <c r="K20" s="132"/>
      <c r="L20" s="132"/>
      <c r="M20" s="132"/>
      <c r="N20" s="18">
        <f>-115.294</f>
        <v>-115.294</v>
      </c>
      <c r="O20" s="18">
        <f>SUM(BV20:BY20)</f>
        <v>-81.460999999999999</v>
      </c>
      <c r="P20" s="18">
        <f>SUM(BZ20:CC20)</f>
        <v>-113.98799999999999</v>
      </c>
      <c r="Q20" s="18">
        <f>SUM(CD20:CG20)</f>
        <v>-135.83700000000002</v>
      </c>
      <c r="R20" s="18">
        <f>SUM(CH20:CK20)</f>
        <v>-167.94200000000001</v>
      </c>
      <c r="S20" s="18">
        <f>SUM(CL20:CO20)</f>
        <v>-188.08600000000001</v>
      </c>
      <c r="T20" s="18">
        <f>SUM(CP20:CS20)</f>
        <v>-224.68300000000002</v>
      </c>
      <c r="U20" s="18">
        <f>SUM(CT20:CW20)</f>
        <v>-213.55200000000002</v>
      </c>
      <c r="V20" s="18">
        <f>SUM(CX20:DA20)</f>
        <v>-173.41</v>
      </c>
      <c r="W20" s="18">
        <f>SUM(DB20:DE20)</f>
        <v>-175.72800000000001</v>
      </c>
      <c r="X20" s="18">
        <f t="shared" si="41"/>
        <v>-215.642</v>
      </c>
      <c r="Y20" s="18">
        <f t="shared" si="41"/>
        <v>-282.33499999999998</v>
      </c>
      <c r="Z20" s="18">
        <f t="shared" si="41"/>
        <v>-274.89400000000001</v>
      </c>
      <c r="AA20" s="18">
        <f t="shared" si="41"/>
        <v>-290.75200000000001</v>
      </c>
      <c r="AB20" s="18">
        <f t="shared" si="41"/>
        <v>-174.01473999999999</v>
      </c>
      <c r="AC20" s="18">
        <f t="shared" si="41"/>
        <v>-163.48599999999999</v>
      </c>
      <c r="AD20" s="18">
        <f t="shared" si="41"/>
        <v>-185.33715000000001</v>
      </c>
      <c r="AE20" s="18">
        <f t="shared" si="41"/>
        <v>-206.114</v>
      </c>
      <c r="AF20" s="18">
        <f t="shared" si="41"/>
        <v>-228.84800000000001</v>
      </c>
      <c r="AG20" s="96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57">
        <v>-23.561</v>
      </c>
      <c r="BV20" s="57">
        <v>-18.495000000000001</v>
      </c>
      <c r="BW20" s="57">
        <v>-22.257000000000001</v>
      </c>
      <c r="BX20" s="57">
        <v>-20.28</v>
      </c>
      <c r="BY20" s="57">
        <v>-20.428999999999998</v>
      </c>
      <c r="BZ20" s="57">
        <v>-26.672000000000001</v>
      </c>
      <c r="CA20" s="57">
        <v>-32.055999999999997</v>
      </c>
      <c r="CB20" s="57">
        <v>-28.21</v>
      </c>
      <c r="CC20" s="57">
        <v>-27.05</v>
      </c>
      <c r="CD20" s="57">
        <v>-30.855</v>
      </c>
      <c r="CE20" s="57">
        <v>-32.92</v>
      </c>
      <c r="CF20" s="57">
        <v>-35.192</v>
      </c>
      <c r="CG20" s="57">
        <v>-36.869999999999997</v>
      </c>
      <c r="CH20" s="57">
        <v>-35.692999999999998</v>
      </c>
      <c r="CI20" s="57">
        <v>-42.398000000000003</v>
      </c>
      <c r="CJ20" s="57">
        <v>-44.258000000000003</v>
      </c>
      <c r="CK20" s="57">
        <v>-45.593000000000004</v>
      </c>
      <c r="CL20" s="57">
        <v>-47.66</v>
      </c>
      <c r="CM20" s="57">
        <v>-45.704000000000001</v>
      </c>
      <c r="CN20" s="57">
        <v>-49.165999999999997</v>
      </c>
      <c r="CO20" s="57">
        <v>-45.555999999999997</v>
      </c>
      <c r="CP20" s="57">
        <v>-50.781999999999996</v>
      </c>
      <c r="CQ20" s="57">
        <f>-50.129</f>
        <v>-50.128999999999998</v>
      </c>
      <c r="CR20" s="57">
        <v>-55.093000000000004</v>
      </c>
      <c r="CS20" s="57">
        <v>-68.679000000000002</v>
      </c>
      <c r="CT20" s="57">
        <v>-65.647999999999996</v>
      </c>
      <c r="CU20" s="57">
        <v>-59.786999999999999</v>
      </c>
      <c r="CV20" s="57">
        <v>-47.912999999999997</v>
      </c>
      <c r="CW20" s="57">
        <v>-40.204000000000001</v>
      </c>
      <c r="CX20" s="57">
        <v>-41.296999999999997</v>
      </c>
      <c r="CY20" s="57">
        <f>-65.03+19.677</f>
        <v>-45.353000000000002</v>
      </c>
      <c r="CZ20" s="57">
        <v>-41.113</v>
      </c>
      <c r="DA20" s="57">
        <v>-45.646999999999998</v>
      </c>
      <c r="DB20" s="57">
        <v>-46.534999999999997</v>
      </c>
      <c r="DC20" s="57">
        <v>-44.792999999999999</v>
      </c>
      <c r="DD20" s="57">
        <v>-39.131</v>
      </c>
      <c r="DE20" s="57">
        <v>-45.268999999999998</v>
      </c>
      <c r="DF20" s="57">
        <v>-45.164000000000001</v>
      </c>
      <c r="DG20" s="57">
        <v>-56.637</v>
      </c>
      <c r="DH20" s="57">
        <v>-52.494999999999997</v>
      </c>
      <c r="DI20" s="57">
        <v>-61.345999999999997</v>
      </c>
      <c r="DJ20" s="57">
        <v>-68.638999999999996</v>
      </c>
      <c r="DK20" s="57">
        <v>-71.691999999999993</v>
      </c>
      <c r="DL20" s="57">
        <v>-68.31</v>
      </c>
      <c r="DM20" s="57">
        <v>-73.694000000000003</v>
      </c>
      <c r="DN20" s="57">
        <v>-71.930000000000007</v>
      </c>
      <c r="DO20" s="57">
        <v>-63.688000000000002</v>
      </c>
      <c r="DP20" s="57">
        <v>-63.95</v>
      </c>
      <c r="DQ20" s="57">
        <v>-75.325999999999993</v>
      </c>
      <c r="DR20" s="57">
        <v>-68.936999999999998</v>
      </c>
      <c r="DS20" s="57">
        <v>-77.451999999999998</v>
      </c>
      <c r="DT20" s="57">
        <v>-73.096000000000004</v>
      </c>
      <c r="DU20" s="57">
        <v>-71.266999999999996</v>
      </c>
      <c r="DV20" s="57">
        <f>-64.008+8.5</f>
        <v>-55.507999999999996</v>
      </c>
      <c r="DW20" s="57">
        <f>-38.113+(DW175*212)/1000000</f>
        <v>-37.835915999999997</v>
      </c>
      <c r="DX20" s="57">
        <f>-38.23+(DX175*924)/1000000</f>
        <v>-37.052823999999994</v>
      </c>
      <c r="DY20" s="57">
        <v>-43.618000000000002</v>
      </c>
      <c r="DZ20" s="57">
        <v>-53.35</v>
      </c>
      <c r="EA20" s="57">
        <v>-32.180999999999997</v>
      </c>
      <c r="EB20" s="57">
        <v>-35.006</v>
      </c>
      <c r="EC20" s="57">
        <v>-42.948999999999998</v>
      </c>
      <c r="ED20" s="57">
        <v>-46.737000000000002</v>
      </c>
      <c r="EE20" s="18">
        <f t="shared" ref="EE20:EP20" si="44">-EE186</f>
        <v>-43.940149999999996</v>
      </c>
      <c r="EF20" s="18">
        <f t="shared" si="44"/>
        <v>-47.086999999999996</v>
      </c>
      <c r="EG20" s="18">
        <f t="shared" si="44"/>
        <v>-47.573</v>
      </c>
      <c r="EH20" s="18">
        <f t="shared" si="44"/>
        <v>-50.056999999999995</v>
      </c>
      <c r="EI20" s="18">
        <f t="shared" si="44"/>
        <v>-49.030999999999999</v>
      </c>
      <c r="EJ20" s="18">
        <f t="shared" si="44"/>
        <v>-52.000999999999998</v>
      </c>
      <c r="EK20" s="18">
        <f t="shared" si="44"/>
        <v>-55.024999999999999</v>
      </c>
      <c r="EL20" s="18">
        <f t="shared" si="44"/>
        <v>-57.509</v>
      </c>
      <c r="EM20" s="18">
        <f t="shared" si="44"/>
        <v>-56.914999999999999</v>
      </c>
      <c r="EN20" s="18">
        <f t="shared" si="44"/>
        <v>-56.914999999999999</v>
      </c>
      <c r="EO20" s="18">
        <f t="shared" si="44"/>
        <v>-57.509</v>
      </c>
      <c r="EP20" s="18">
        <f t="shared" si="44"/>
        <v>-57.509</v>
      </c>
      <c r="EQ20" s="192"/>
      <c r="ER20" s="192"/>
      <c r="ES20" s="355">
        <f t="shared" si="18"/>
        <v>15</v>
      </c>
      <c r="ET20"/>
      <c r="EU20"/>
      <c r="EV20"/>
      <c r="EW20"/>
      <c r="EX20"/>
      <c r="EY20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s="4" customFormat="1" ht="11.45" hidden="1" customHeight="1" outlineLevel="2">
      <c r="A21" s="15"/>
      <c r="B21" s="14" t="s">
        <v>38</v>
      </c>
      <c r="C21" s="18"/>
      <c r="D21" s="18"/>
      <c r="E21" s="18"/>
      <c r="F21" s="18"/>
      <c r="G21" s="18"/>
      <c r="H21" s="18"/>
      <c r="I21" s="132"/>
      <c r="J21" s="132"/>
      <c r="K21" s="132"/>
      <c r="L21" s="132"/>
      <c r="M21" s="132"/>
      <c r="N21" s="18">
        <f>N22-SUM(N18:N20)</f>
        <v>-12.730000000000018</v>
      </c>
      <c r="O21" s="18">
        <f>SUM(BV21:BY21)</f>
        <v>-2.0889999999999844</v>
      </c>
      <c r="P21" s="18">
        <f>SUM(BZ21:CC21)</f>
        <v>-4.5640000000000072</v>
      </c>
      <c r="Q21" s="18">
        <f>SUM(CD21:CG21)</f>
        <v>-1.4439999999999884</v>
      </c>
      <c r="R21" s="18">
        <f>SUM(CH21:CK21)</f>
        <v>-1.7909999999999968</v>
      </c>
      <c r="S21" s="18">
        <f>SUM(CL21:CO21)</f>
        <v>-0.78700000000003456</v>
      </c>
      <c r="T21" s="18">
        <f>SUM(CP21:CS21)</f>
        <v>-0.70100000000005025</v>
      </c>
      <c r="U21" s="18">
        <f>SUM(CT21:CW21)</f>
        <v>-1.1790000000000305</v>
      </c>
      <c r="V21" s="18">
        <f>SUM(CX21:DA21)</f>
        <v>-1.8590000000000089</v>
      </c>
      <c r="W21" s="18">
        <f>SUM(DB21:DE21)</f>
        <v>-1.8059999999999832</v>
      </c>
      <c r="X21" s="18">
        <f t="shared" si="41"/>
        <v>-0.41199999999997772</v>
      </c>
      <c r="Y21" s="18">
        <f t="shared" si="41"/>
        <v>0.46700000000004138</v>
      </c>
      <c r="Z21" s="18">
        <f t="shared" si="41"/>
        <v>0.5180000000000291</v>
      </c>
      <c r="AA21" s="18">
        <f t="shared" si="41"/>
        <v>-0.84900000000016007</v>
      </c>
      <c r="AB21" s="18">
        <f t="shared" si="41"/>
        <v>-4.0530980000000056</v>
      </c>
      <c r="AC21" s="18">
        <f t="shared" si="41"/>
        <v>-5.0330000000000439</v>
      </c>
      <c r="AD21" s="18">
        <f t="shared" si="41"/>
        <v>-15.159999999999968</v>
      </c>
      <c r="AE21" s="18">
        <f t="shared" si="41"/>
        <v>-12</v>
      </c>
      <c r="AF21" s="18">
        <f t="shared" si="41"/>
        <v>-12</v>
      </c>
      <c r="AG21" s="96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>
        <f t="shared" ref="BU21:CZ21" si="45">BU22-SUM(BU18:BU20)</f>
        <v>-1.0859999999999985</v>
      </c>
      <c r="BV21" s="18">
        <f t="shared" si="45"/>
        <v>-0.60599999999999454</v>
      </c>
      <c r="BW21" s="18">
        <f t="shared" si="45"/>
        <v>-0.53999999999999204</v>
      </c>
      <c r="BX21" s="18">
        <f t="shared" si="45"/>
        <v>-0.49200000000000443</v>
      </c>
      <c r="BY21" s="18">
        <f t="shared" si="45"/>
        <v>-0.45099999999999341</v>
      </c>
      <c r="BZ21" s="18">
        <f t="shared" si="45"/>
        <v>-0.89700000000000557</v>
      </c>
      <c r="CA21" s="18">
        <f t="shared" si="45"/>
        <v>-0.95400000000000773</v>
      </c>
      <c r="CB21" s="18">
        <f t="shared" si="45"/>
        <v>-0.95299999999998875</v>
      </c>
      <c r="CC21" s="18">
        <f t="shared" si="45"/>
        <v>-1.7600000000000051</v>
      </c>
      <c r="CD21" s="18">
        <f t="shared" si="45"/>
        <v>-0.57200000000000273</v>
      </c>
      <c r="CE21" s="18">
        <f t="shared" si="45"/>
        <v>-0.71399999999999864</v>
      </c>
      <c r="CF21" s="18">
        <f t="shared" si="45"/>
        <v>-0.13499999999999091</v>
      </c>
      <c r="CG21" s="18">
        <f t="shared" si="45"/>
        <v>-2.2999999999996135E-2</v>
      </c>
      <c r="CH21" s="18">
        <f t="shared" si="45"/>
        <v>-0.37999999999999545</v>
      </c>
      <c r="CI21" s="18">
        <f t="shared" si="45"/>
        <v>-0.53100000000000591</v>
      </c>
      <c r="CJ21" s="18">
        <f t="shared" si="45"/>
        <v>-0.35099999999999909</v>
      </c>
      <c r="CK21" s="18">
        <f t="shared" si="45"/>
        <v>-0.52899999999999636</v>
      </c>
      <c r="CL21" s="18">
        <f t="shared" si="45"/>
        <v>-0.31200000000001182</v>
      </c>
      <c r="CM21" s="18">
        <f t="shared" si="45"/>
        <v>-0.64399999999997704</v>
      </c>
      <c r="CN21" s="18">
        <f t="shared" si="45"/>
        <v>-0.35300000000000864</v>
      </c>
      <c r="CO21" s="18">
        <f t="shared" si="45"/>
        <v>0.52199999999996294</v>
      </c>
      <c r="CP21" s="18">
        <f t="shared" si="45"/>
        <v>-0.23699999999999477</v>
      </c>
      <c r="CQ21" s="18">
        <f t="shared" si="45"/>
        <v>-0.15399999999999636</v>
      </c>
      <c r="CR21" s="18">
        <f t="shared" si="45"/>
        <v>-0.13800000000003365</v>
      </c>
      <c r="CS21" s="18">
        <f t="shared" si="45"/>
        <v>-0.17200000000002547</v>
      </c>
      <c r="CT21" s="18">
        <f t="shared" si="45"/>
        <v>-0.21199999999998909</v>
      </c>
      <c r="CU21" s="18">
        <f t="shared" si="45"/>
        <v>-7.1000000000026375E-2</v>
      </c>
      <c r="CV21" s="18">
        <f t="shared" si="45"/>
        <v>-0.53100000000000591</v>
      </c>
      <c r="CW21" s="18">
        <f t="shared" si="45"/>
        <v>-0.36500000000000909</v>
      </c>
      <c r="CX21" s="18">
        <f t="shared" si="45"/>
        <v>-0.46500000000003183</v>
      </c>
      <c r="CY21" s="18">
        <f t="shared" si="45"/>
        <v>-0.35900000000000887</v>
      </c>
      <c r="CZ21" s="18">
        <f t="shared" si="45"/>
        <v>-0.43500000000000227</v>
      </c>
      <c r="DA21" s="18">
        <f t="shared" ref="DA21:ED21" si="46">DA22-SUM(DA18:DA20)</f>
        <v>-0.59999999999996589</v>
      </c>
      <c r="DB21" s="18">
        <f t="shared" si="46"/>
        <v>-0.34599999999994679</v>
      </c>
      <c r="DC21" s="18">
        <f t="shared" si="46"/>
        <v>-0.47599999999999909</v>
      </c>
      <c r="DD21" s="18">
        <f t="shared" si="46"/>
        <v>-0.48000000000007503</v>
      </c>
      <c r="DE21" s="18">
        <f t="shared" si="46"/>
        <v>-0.50399999999996226</v>
      </c>
      <c r="DF21" s="18">
        <f t="shared" si="46"/>
        <v>-0.36099999999999</v>
      </c>
      <c r="DG21" s="18">
        <f t="shared" si="46"/>
        <v>-0.19999999999998863</v>
      </c>
      <c r="DH21" s="18">
        <f t="shared" si="46"/>
        <v>-5.0000000000011369E-2</v>
      </c>
      <c r="DI21" s="18">
        <f t="shared" si="46"/>
        <v>0.19900000000001228</v>
      </c>
      <c r="DJ21" s="18">
        <f t="shared" si="46"/>
        <v>4.3000000000006366E-2</v>
      </c>
      <c r="DK21" s="18">
        <f t="shared" si="46"/>
        <v>0.23099999999999454</v>
      </c>
      <c r="DL21" s="18">
        <f t="shared" si="46"/>
        <v>0.13100000000002865</v>
      </c>
      <c r="DM21" s="18">
        <f t="shared" si="46"/>
        <v>6.2000000000011823E-2</v>
      </c>
      <c r="DN21" s="18">
        <f t="shared" si="46"/>
        <v>-5.6000000000040018E-2</v>
      </c>
      <c r="DO21" s="18">
        <f t="shared" si="46"/>
        <v>0.34699999999997999</v>
      </c>
      <c r="DP21" s="18">
        <f t="shared" si="46"/>
        <v>0.1470000000000482</v>
      </c>
      <c r="DQ21" s="18">
        <f t="shared" si="46"/>
        <v>8.0000000000040927E-2</v>
      </c>
      <c r="DR21" s="18">
        <f t="shared" si="46"/>
        <v>5.899999999985539E-2</v>
      </c>
      <c r="DS21" s="18">
        <f t="shared" si="46"/>
        <v>4.5999999999992269E-2</v>
      </c>
      <c r="DT21" s="18">
        <f t="shared" si="46"/>
        <v>0.11500000000000909</v>
      </c>
      <c r="DU21" s="18">
        <f t="shared" si="46"/>
        <v>-1.0690000000000168</v>
      </c>
      <c r="DV21" s="18">
        <f t="shared" si="46"/>
        <v>-0.80200000000002092</v>
      </c>
      <c r="DW21" s="18">
        <f t="shared" si="46"/>
        <v>-0.54926100000000133</v>
      </c>
      <c r="DX21" s="18">
        <f t="shared" si="46"/>
        <v>-0.9728369999999984</v>
      </c>
      <c r="DY21" s="18">
        <f t="shared" si="46"/>
        <v>-1.728999999999985</v>
      </c>
      <c r="DZ21" s="18">
        <f t="shared" si="46"/>
        <v>-0.87800000000001432</v>
      </c>
      <c r="EA21" s="18">
        <f t="shared" si="46"/>
        <v>-0.3760000000000332</v>
      </c>
      <c r="EB21" s="18">
        <f t="shared" si="46"/>
        <v>-1.4290000000000305</v>
      </c>
      <c r="EC21" s="18">
        <f t="shared" si="46"/>
        <v>-2.3499999999999659</v>
      </c>
      <c r="ED21" s="18">
        <f t="shared" si="46"/>
        <v>-6.1599999999999682</v>
      </c>
      <c r="EE21" s="57">
        <v>-3</v>
      </c>
      <c r="EF21" s="57">
        <f t="shared" ref="EF21:EP21" si="47">EE21</f>
        <v>-3</v>
      </c>
      <c r="EG21" s="57">
        <f t="shared" si="47"/>
        <v>-3</v>
      </c>
      <c r="EH21" s="57">
        <f t="shared" si="47"/>
        <v>-3</v>
      </c>
      <c r="EI21" s="57">
        <f t="shared" si="47"/>
        <v>-3</v>
      </c>
      <c r="EJ21" s="57">
        <f t="shared" si="47"/>
        <v>-3</v>
      </c>
      <c r="EK21" s="57">
        <f t="shared" si="47"/>
        <v>-3</v>
      </c>
      <c r="EL21" s="57">
        <f t="shared" si="47"/>
        <v>-3</v>
      </c>
      <c r="EM21" s="57">
        <f t="shared" si="47"/>
        <v>-3</v>
      </c>
      <c r="EN21" s="57">
        <f t="shared" si="47"/>
        <v>-3</v>
      </c>
      <c r="EO21" s="57">
        <f t="shared" si="47"/>
        <v>-3</v>
      </c>
      <c r="EP21" s="57">
        <f t="shared" si="47"/>
        <v>-3</v>
      </c>
      <c r="EQ21" s="192"/>
      <c r="ER21" s="192"/>
      <c r="ES21" s="355">
        <f t="shared" si="18"/>
        <v>16</v>
      </c>
      <c r="ET21"/>
      <c r="EU21"/>
      <c r="EV21"/>
      <c r="EW21"/>
      <c r="EX21"/>
      <c r="EY2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s="4" customFormat="1" ht="11.45" hidden="1" customHeight="1" outlineLevel="2">
      <c r="A22" s="15"/>
      <c r="B22" s="308" t="s">
        <v>238</v>
      </c>
      <c r="C22" s="127"/>
      <c r="D22" s="127"/>
      <c r="E22" s="127">
        <f>SUM(AH22:AK22)</f>
        <v>-194.85599999999999</v>
      </c>
      <c r="F22" s="127">
        <f>SUM(AL22:AO22)</f>
        <v>-213.42699999999999</v>
      </c>
      <c r="G22" s="127">
        <f>SUM(AP22:AS22)</f>
        <v>-188.49700000000001</v>
      </c>
      <c r="H22" s="127">
        <f>SUM(AT22:AW22)</f>
        <v>-229.584</v>
      </c>
      <c r="I22" s="127">
        <f>SUM(AX22:BA22)</f>
        <v>-276.09399999999999</v>
      </c>
      <c r="J22" s="127">
        <f>SUM(BB22:BE22)</f>
        <v>-346.06599999999997</v>
      </c>
      <c r="K22" s="127">
        <f>SUM(BF22:BI22)</f>
        <v>-332.33</v>
      </c>
      <c r="L22" s="127">
        <f>SUM(BJ22:BM22)</f>
        <v>-316.93299999999999</v>
      </c>
      <c r="M22" s="127">
        <f>SUM(BN22:BQ22)</f>
        <v>-389.73400000000004</v>
      </c>
      <c r="N22" s="127">
        <f>SUM(BR22:BU22)</f>
        <v>-372.71899999999999</v>
      </c>
      <c r="O22" s="127">
        <f t="shared" ref="O22:AF22" si="48">SUM(O18:O21)</f>
        <v>-345.53700000000003</v>
      </c>
      <c r="P22" s="127">
        <f t="shared" si="48"/>
        <v>-417.71600000000001</v>
      </c>
      <c r="Q22" s="127">
        <f t="shared" si="48"/>
        <v>-484.23099999999999</v>
      </c>
      <c r="R22" s="127">
        <f t="shared" si="48"/>
        <v>-661.5630000000001</v>
      </c>
      <c r="S22" s="127">
        <f t="shared" si="48"/>
        <v>-862.25400000000013</v>
      </c>
      <c r="T22" s="127">
        <f t="shared" si="48"/>
        <v>-1086.6659999999999</v>
      </c>
      <c r="U22" s="127">
        <f t="shared" si="48"/>
        <v>-1011.558</v>
      </c>
      <c r="V22" s="127">
        <f t="shared" si="48"/>
        <v>-1079.306</v>
      </c>
      <c r="W22" s="127">
        <f t="shared" si="48"/>
        <v>-1429.028</v>
      </c>
      <c r="X22" s="127">
        <f t="shared" si="48"/>
        <v>-1750.51</v>
      </c>
      <c r="Y22" s="127">
        <f t="shared" si="48"/>
        <v>-1852.768</v>
      </c>
      <c r="Z22" s="127">
        <f t="shared" si="48"/>
        <v>-2009.9119999999998</v>
      </c>
      <c r="AA22" s="127">
        <f t="shared" si="48"/>
        <v>-1704.163</v>
      </c>
      <c r="AB22" s="127">
        <f t="shared" si="48"/>
        <v>-860.18324699999994</v>
      </c>
      <c r="AC22" s="127">
        <f t="shared" si="48"/>
        <v>-1247.9472400000002</v>
      </c>
      <c r="AD22" s="127">
        <f t="shared" si="48"/>
        <v>-1552.7413804364423</v>
      </c>
      <c r="AE22" s="127">
        <f t="shared" si="48"/>
        <v>-1708.9284010101651</v>
      </c>
      <c r="AF22" s="127">
        <f t="shared" si="48"/>
        <v>-1833.4634721490545</v>
      </c>
      <c r="AG22" s="307"/>
      <c r="AH22" s="306">
        <v>-48.652000000000001</v>
      </c>
      <c r="AI22" s="306">
        <v>-50.2</v>
      </c>
      <c r="AJ22" s="306">
        <v>-46.44</v>
      </c>
      <c r="AK22" s="306">
        <f>-194.856-SUM(AH22:AJ22)</f>
        <v>-49.563999999999993</v>
      </c>
      <c r="AL22" s="306">
        <v>-50.511000000000003</v>
      </c>
      <c r="AM22" s="306">
        <v>-56.439</v>
      </c>
      <c r="AN22" s="306">
        <v>-51.951999999999998</v>
      </c>
      <c r="AO22" s="306">
        <f>-213.427-SUM(AL22:AN22)</f>
        <v>-54.525000000000006</v>
      </c>
      <c r="AP22" s="306">
        <v>-51.247999999999998</v>
      </c>
      <c r="AQ22" s="306">
        <v>-48.091999999999999</v>
      </c>
      <c r="AR22" s="306">
        <v>-49.725000000000001</v>
      </c>
      <c r="AS22" s="306">
        <f>-188.497-SUM(AP22:AR22)</f>
        <v>-39.432000000000016</v>
      </c>
      <c r="AT22" s="306">
        <v>-53.262999999999998</v>
      </c>
      <c r="AU22" s="306">
        <v>-54.881</v>
      </c>
      <c r="AV22" s="306">
        <v>-56.834000000000003</v>
      </c>
      <c r="AW22" s="306">
        <f>-229.584-SUM(AT22:AV22)</f>
        <v>-64.605999999999995</v>
      </c>
      <c r="AX22" s="306">
        <v>-63.9</v>
      </c>
      <c r="AY22" s="306">
        <v>-70.406999999999996</v>
      </c>
      <c r="AZ22" s="306">
        <v>-67.265000000000001</v>
      </c>
      <c r="BA22" s="306">
        <f>-276.094-SUM(AX22:AZ22)</f>
        <v>-74.521999999999991</v>
      </c>
      <c r="BB22" s="306">
        <v>-76.489999999999995</v>
      </c>
      <c r="BC22" s="306">
        <v>-81.382000000000005</v>
      </c>
      <c r="BD22" s="306">
        <v>-91.975999999999999</v>
      </c>
      <c r="BE22" s="306">
        <f>-346.066-SUM(BB22:BD22)</f>
        <v>-96.217999999999961</v>
      </c>
      <c r="BF22" s="306">
        <v>-86.614000000000004</v>
      </c>
      <c r="BG22" s="306">
        <v>-96.290999999999997</v>
      </c>
      <c r="BH22" s="306">
        <v>-73.888000000000005</v>
      </c>
      <c r="BI22" s="306">
        <f>-332.33-SUM(BF22:BH22)</f>
        <v>-75.536999999999978</v>
      </c>
      <c r="BJ22" s="306">
        <v>-76.697000000000003</v>
      </c>
      <c r="BK22" s="306">
        <v>-75.715000000000003</v>
      </c>
      <c r="BL22" s="306">
        <v>-77.123999999999995</v>
      </c>
      <c r="BM22" s="306">
        <v>-87.397000000000006</v>
      </c>
      <c r="BN22" s="306">
        <v>-94.046000000000006</v>
      </c>
      <c r="BO22" s="306">
        <v>-107.07599999999999</v>
      </c>
      <c r="BP22" s="306">
        <v>-111.12</v>
      </c>
      <c r="BQ22" s="306">
        <v>-77.492000000000004</v>
      </c>
      <c r="BR22" s="306">
        <v>-96.171999999999997</v>
      </c>
      <c r="BS22" s="306">
        <v>-97.477000000000004</v>
      </c>
      <c r="BT22" s="306">
        <v>-92.602000000000004</v>
      </c>
      <c r="BU22" s="306">
        <v>-86.468000000000004</v>
      </c>
      <c r="BV22" s="306">
        <v>-81.055999999999997</v>
      </c>
      <c r="BW22" s="306">
        <v>-87.352999999999994</v>
      </c>
      <c r="BX22" s="306">
        <v>-88.72</v>
      </c>
      <c r="BY22" s="306">
        <v>-88.408000000000001</v>
      </c>
      <c r="BZ22" s="306">
        <f>-93.781</f>
        <v>-93.781000000000006</v>
      </c>
      <c r="CA22" s="306">
        <v>-104.95</v>
      </c>
      <c r="CB22" s="306">
        <v>-105.562</v>
      </c>
      <c r="CC22" s="306">
        <f>-113.423</f>
        <v>-113.423</v>
      </c>
      <c r="CD22" s="306">
        <v>-111.252</v>
      </c>
      <c r="CE22" s="306">
        <v>-114.321</v>
      </c>
      <c r="CF22" s="306">
        <v>-121.47</v>
      </c>
      <c r="CG22" s="306">
        <v>-137.18799999999999</v>
      </c>
      <c r="CH22" s="306">
        <v>-140.596</v>
      </c>
      <c r="CI22" s="306">
        <v>-156.80000000000001</v>
      </c>
      <c r="CJ22" s="306">
        <v>-169.429</v>
      </c>
      <c r="CK22" s="306">
        <v>-194.738</v>
      </c>
      <c r="CL22" s="306">
        <v>-199.46700000000001</v>
      </c>
      <c r="CM22" s="306">
        <v>-199.45599999999999</v>
      </c>
      <c r="CN22" s="306">
        <v>-229.02500000000001</v>
      </c>
      <c r="CO22" s="306">
        <v>-234.30600000000001</v>
      </c>
      <c r="CP22" s="306">
        <v>-235.79499999999999</v>
      </c>
      <c r="CQ22" s="306">
        <v>-253.958</v>
      </c>
      <c r="CR22" s="306">
        <v>-274.16800000000001</v>
      </c>
      <c r="CS22" s="306">
        <v>-322.745</v>
      </c>
      <c r="CT22" s="306">
        <v>-330.928</v>
      </c>
      <c r="CU22" s="306">
        <v>-263.29399999999998</v>
      </c>
      <c r="CV22" s="306">
        <v>-220.339</v>
      </c>
      <c r="CW22" s="306">
        <v>-196.99700000000001</v>
      </c>
      <c r="CX22" s="306">
        <v>-212.69300000000001</v>
      </c>
      <c r="CY22" s="306">
        <f>-271.509+19.677</f>
        <v>-251.83200000000002</v>
      </c>
      <c r="CZ22" s="306">
        <v>-285.58300000000003</v>
      </c>
      <c r="DA22" s="306">
        <v>-329.19799999999998</v>
      </c>
      <c r="DB22" s="306">
        <v>-330.04599999999999</v>
      </c>
      <c r="DC22" s="306">
        <v>-340.03899999999999</v>
      </c>
      <c r="DD22" s="306">
        <f>-365.586+3.574</f>
        <v>-362.012</v>
      </c>
      <c r="DE22" s="306">
        <f>-396.931</f>
        <v>-396.93099999999998</v>
      </c>
      <c r="DF22" s="306">
        <f>-391.032</f>
        <v>-391.03199999999998</v>
      </c>
      <c r="DG22" s="306">
        <v>-448.20800000000003</v>
      </c>
      <c r="DH22" s="306">
        <v>-463.935</v>
      </c>
      <c r="DI22" s="306">
        <v>-447.33499999999998</v>
      </c>
      <c r="DJ22" s="306">
        <v>-466.87099999999998</v>
      </c>
      <c r="DK22" s="306">
        <v>-461.73700000000002</v>
      </c>
      <c r="DL22" s="306">
        <v>-450.99</v>
      </c>
      <c r="DM22" s="306">
        <v>-473.17</v>
      </c>
      <c r="DN22" s="306">
        <v>-474.048</v>
      </c>
      <c r="DO22" s="306">
        <v>-480.16699999999997</v>
      </c>
      <c r="DP22" s="306">
        <v>-515.23900000000003</v>
      </c>
      <c r="DQ22" s="306">
        <v>-540.45799999999997</v>
      </c>
      <c r="DR22" s="306">
        <v>-554.24300000000005</v>
      </c>
      <c r="DS22" s="306">
        <v>-469.32799999999997</v>
      </c>
      <c r="DT22" s="306">
        <v>-351.67</v>
      </c>
      <c r="DU22" s="306">
        <v>-328.92200000000003</v>
      </c>
      <c r="DV22" s="306">
        <f>-276.644+8.5</f>
        <v>-268.14400000000001</v>
      </c>
      <c r="DW22" s="306">
        <f>-221.611+1.704</f>
        <v>-219.90699999999998</v>
      </c>
      <c r="DX22" s="306">
        <f>-186.146+4.681</f>
        <v>-181.46499999999997</v>
      </c>
      <c r="DY22" s="306">
        <f>-214.404+(DY109*2923)/1000000+(DY146*752)/1000000</f>
        <v>-190.667247</v>
      </c>
      <c r="DZ22" s="306">
        <f>-247.679+(DZ109*140)/1000000</f>
        <v>-246.30923999999999</v>
      </c>
      <c r="EA22" s="306">
        <v>-296.82900000000001</v>
      </c>
      <c r="EB22" s="306">
        <v>-337.46300000000002</v>
      </c>
      <c r="EC22" s="306">
        <v>-367.346</v>
      </c>
      <c r="ED22" s="306">
        <v>-373.08300000000003</v>
      </c>
      <c r="EE22" s="127">
        <f t="shared" ref="EE22:EP22" si="49">SUM(EE18:EE21)</f>
        <v>-375.96618519999998</v>
      </c>
      <c r="EF22" s="127">
        <f t="shared" si="49"/>
        <v>-395.65229188849997</v>
      </c>
      <c r="EG22" s="127">
        <f t="shared" si="49"/>
        <v>-408.03990334794253</v>
      </c>
      <c r="EH22" s="127">
        <f t="shared" si="49"/>
        <v>-417.22567286468222</v>
      </c>
      <c r="EI22" s="127">
        <f t="shared" si="49"/>
        <v>-416.83660122900562</v>
      </c>
      <c r="EJ22" s="127">
        <f t="shared" si="49"/>
        <v>-430.49618923515061</v>
      </c>
      <c r="EK22" s="127">
        <f t="shared" si="49"/>
        <v>-444.36993768132635</v>
      </c>
      <c r="EL22" s="127">
        <f t="shared" si="49"/>
        <v>-460.45634736973307</v>
      </c>
      <c r="EM22" s="127">
        <f t="shared" si="49"/>
        <v>-456.20991910658176</v>
      </c>
      <c r="EN22" s="127">
        <f t="shared" si="49"/>
        <v>-456.24265370211464</v>
      </c>
      <c r="EO22" s="127">
        <f t="shared" si="49"/>
        <v>-460.5545519706252</v>
      </c>
      <c r="EP22" s="127">
        <f t="shared" si="49"/>
        <v>-460.58761473047832</v>
      </c>
      <c r="EQ22" s="192"/>
      <c r="ER22" s="192"/>
      <c r="ES22" s="355">
        <f t="shared" si="18"/>
        <v>17</v>
      </c>
      <c r="ET22"/>
      <c r="EU22"/>
      <c r="EV22"/>
      <c r="EW22"/>
      <c r="EX22"/>
      <c r="EY22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s="4" customFormat="1" ht="3" customHeight="1" outlineLevel="1" collapsed="1">
      <c r="A23" s="15"/>
      <c r="B23" s="3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96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92"/>
      <c r="ER23" s="192"/>
      <c r="ES23" s="355">
        <f t="shared" si="18"/>
        <v>18</v>
      </c>
      <c r="ET23"/>
      <c r="EU23"/>
      <c r="EV23"/>
      <c r="EW23"/>
      <c r="EX23"/>
      <c r="EY23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s="4" customFormat="1" ht="11.45" customHeight="1" outlineLevel="1">
      <c r="A24" s="15"/>
      <c r="B24" s="47" t="s">
        <v>237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96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92"/>
      <c r="ER24" s="192"/>
      <c r="ES24" s="355">
        <f t="shared" si="18"/>
        <v>19</v>
      </c>
      <c r="ET24"/>
      <c r="EU24"/>
      <c r="EV24"/>
      <c r="EW24"/>
      <c r="EX24"/>
      <c r="EY24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s="4" customFormat="1" ht="11.45" customHeight="1" outlineLevel="1">
      <c r="A25" s="15"/>
      <c r="B25" s="14" t="s">
        <v>192</v>
      </c>
      <c r="C25" s="18"/>
      <c r="D25" s="18"/>
      <c r="E25" s="18"/>
      <c r="F25" s="18"/>
      <c r="G25" s="18"/>
      <c r="H25" s="18"/>
      <c r="I25" s="132"/>
      <c r="J25" s="132"/>
      <c r="K25" s="132"/>
      <c r="L25" s="132"/>
      <c r="M25" s="132"/>
      <c r="N25" s="18">
        <f>N11+N18</f>
        <v>199.17400000000004</v>
      </c>
      <c r="O25" s="18">
        <f t="shared" ref="O25:X28" si="50">SUMIF($AH$5:$ER$5,O$5,$AH25:$ER25)</f>
        <v>72.594999999999999</v>
      </c>
      <c r="P25" s="18">
        <f t="shared" si="50"/>
        <v>99.838000000000022</v>
      </c>
      <c r="Q25" s="18">
        <f t="shared" si="50"/>
        <v>233.47300000000001</v>
      </c>
      <c r="R25" s="18">
        <f t="shared" si="50"/>
        <v>430.18900000000008</v>
      </c>
      <c r="S25" s="18">
        <f t="shared" si="50"/>
        <v>587.13099999999997</v>
      </c>
      <c r="T25" s="18">
        <f t="shared" si="50"/>
        <v>785.20999999999992</v>
      </c>
      <c r="U25" s="18">
        <f t="shared" si="50"/>
        <v>777.779</v>
      </c>
      <c r="V25" s="18">
        <f t="shared" si="50"/>
        <v>639.72900000000004</v>
      </c>
      <c r="W25" s="18">
        <f t="shared" si="50"/>
        <v>984.38199999999995</v>
      </c>
      <c r="X25" s="18">
        <f t="shared" si="50"/>
        <v>1270.4889999999998</v>
      </c>
      <c r="Y25" s="18">
        <f t="shared" ref="Y25:AF28" si="51">SUMIF($AH$5:$ER$5,Y$5,$AH25:$ER25)</f>
        <v>1344.2934</v>
      </c>
      <c r="Z25" s="18">
        <f t="shared" si="51"/>
        <v>1513.3501920000003</v>
      </c>
      <c r="AA25" s="18">
        <f t="shared" si="51"/>
        <v>1065.8984189999999</v>
      </c>
      <c r="AB25" s="18">
        <f t="shared" si="51"/>
        <v>446.72726200000005</v>
      </c>
      <c r="AC25" s="18">
        <f t="shared" si="51"/>
        <v>432.234264</v>
      </c>
      <c r="AD25" s="18">
        <f t="shared" si="51"/>
        <v>673.24303774999998</v>
      </c>
      <c r="AE25" s="18">
        <f t="shared" si="51"/>
        <v>872.93503499999997</v>
      </c>
      <c r="AF25" s="18">
        <f t="shared" si="51"/>
        <v>928.72500000000014</v>
      </c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>
        <f t="shared" ref="BS25:CX25" si="52">BS11+BS18</f>
        <v>85.924000000000007</v>
      </c>
      <c r="BT25" s="18">
        <f t="shared" si="52"/>
        <v>90.19</v>
      </c>
      <c r="BU25" s="18">
        <f t="shared" si="52"/>
        <v>15.122999999999998</v>
      </c>
      <c r="BV25" s="18">
        <f t="shared" si="52"/>
        <v>13.181999999999995</v>
      </c>
      <c r="BW25" s="18">
        <f t="shared" si="52"/>
        <v>16.276000000000003</v>
      </c>
      <c r="BX25" s="18">
        <f t="shared" si="52"/>
        <v>21.709000000000003</v>
      </c>
      <c r="BY25" s="18">
        <f t="shared" si="52"/>
        <v>21.428000000000004</v>
      </c>
      <c r="BZ25" s="18">
        <f t="shared" si="52"/>
        <v>21.443000000000005</v>
      </c>
      <c r="CA25" s="18">
        <f t="shared" si="52"/>
        <v>21.534000000000006</v>
      </c>
      <c r="CB25" s="18">
        <f t="shared" si="52"/>
        <v>25.765999999999998</v>
      </c>
      <c r="CC25" s="18">
        <f t="shared" si="52"/>
        <v>31.095000000000013</v>
      </c>
      <c r="CD25" s="18">
        <f t="shared" si="52"/>
        <v>42.210000000000008</v>
      </c>
      <c r="CE25" s="18">
        <f t="shared" si="52"/>
        <v>52.699000000000012</v>
      </c>
      <c r="CF25" s="18">
        <f t="shared" si="52"/>
        <v>64.081000000000003</v>
      </c>
      <c r="CG25" s="18">
        <f t="shared" si="52"/>
        <v>74.483000000000004</v>
      </c>
      <c r="CH25" s="18">
        <f t="shared" si="52"/>
        <v>88.538999999999987</v>
      </c>
      <c r="CI25" s="18">
        <f t="shared" si="52"/>
        <v>101.617</v>
      </c>
      <c r="CJ25" s="18">
        <f t="shared" si="52"/>
        <v>112.77000000000001</v>
      </c>
      <c r="CK25" s="18">
        <f t="shared" si="52"/>
        <v>127.26300000000001</v>
      </c>
      <c r="CL25" s="18">
        <f t="shared" si="52"/>
        <v>142.54299999999998</v>
      </c>
      <c r="CM25" s="18">
        <f t="shared" si="52"/>
        <v>136.74599999999998</v>
      </c>
      <c r="CN25" s="18">
        <f t="shared" si="52"/>
        <v>145.756</v>
      </c>
      <c r="CO25" s="18">
        <f t="shared" si="52"/>
        <v>162.08599999999998</v>
      </c>
      <c r="CP25" s="18">
        <f t="shared" si="52"/>
        <v>182.07900000000001</v>
      </c>
      <c r="CQ25" s="18">
        <f t="shared" si="52"/>
        <v>183.50599999999997</v>
      </c>
      <c r="CR25" s="18">
        <f t="shared" si="52"/>
        <v>203.98400000000001</v>
      </c>
      <c r="CS25" s="18">
        <f t="shared" si="52"/>
        <v>215.64099999999996</v>
      </c>
      <c r="CT25" s="18">
        <f t="shared" si="52"/>
        <v>241.898</v>
      </c>
      <c r="CU25" s="18">
        <f t="shared" si="52"/>
        <v>242.48100000000002</v>
      </c>
      <c r="CV25" s="18">
        <f t="shared" si="52"/>
        <v>149.31700000000001</v>
      </c>
      <c r="CW25" s="18">
        <f t="shared" si="52"/>
        <v>144.08300000000003</v>
      </c>
      <c r="CX25" s="18">
        <f t="shared" si="52"/>
        <v>146.71400000000003</v>
      </c>
      <c r="CY25" s="18">
        <f t="shared" ref="CY25:EC25" si="53">CY11+CY18</f>
        <v>148.01500000000001</v>
      </c>
      <c r="CZ25" s="18">
        <f t="shared" si="53"/>
        <v>160.28199999999998</v>
      </c>
      <c r="DA25" s="18">
        <f t="shared" si="53"/>
        <v>184.71799999999999</v>
      </c>
      <c r="DB25" s="18">
        <f t="shared" si="53"/>
        <v>224.57999999999998</v>
      </c>
      <c r="DC25" s="18">
        <f t="shared" si="53"/>
        <v>234.625</v>
      </c>
      <c r="DD25" s="18">
        <f t="shared" si="53"/>
        <v>253.63499999999999</v>
      </c>
      <c r="DE25" s="18">
        <f t="shared" si="53"/>
        <v>271.54200000000003</v>
      </c>
      <c r="DF25" s="18">
        <f t="shared" si="53"/>
        <v>305.47300000000001</v>
      </c>
      <c r="DG25" s="18">
        <f t="shared" si="53"/>
        <v>295.90599999999995</v>
      </c>
      <c r="DH25" s="18">
        <f t="shared" si="53"/>
        <v>324.36799999999994</v>
      </c>
      <c r="DI25" s="18">
        <f t="shared" si="53"/>
        <v>344.74200000000002</v>
      </c>
      <c r="DJ25" s="18">
        <f t="shared" si="53"/>
        <v>334.96199999999999</v>
      </c>
      <c r="DK25" s="18">
        <f t="shared" si="53"/>
        <v>331.54</v>
      </c>
      <c r="DL25" s="18">
        <f t="shared" si="53"/>
        <v>346.96600000000001</v>
      </c>
      <c r="DM25" s="18">
        <f t="shared" si="53"/>
        <v>330.8254</v>
      </c>
      <c r="DN25" s="18">
        <f t="shared" si="53"/>
        <v>354.58619200000004</v>
      </c>
      <c r="DO25" s="18">
        <f t="shared" si="53"/>
        <v>363.44400000000007</v>
      </c>
      <c r="DP25" s="18">
        <f t="shared" si="53"/>
        <v>393.28899999999999</v>
      </c>
      <c r="DQ25" s="18">
        <f t="shared" si="53"/>
        <v>402.03100000000006</v>
      </c>
      <c r="DR25" s="18">
        <f t="shared" si="53"/>
        <v>425.92100000000005</v>
      </c>
      <c r="DS25" s="18">
        <f t="shared" si="53"/>
        <v>294.97677400000003</v>
      </c>
      <c r="DT25" s="18">
        <f t="shared" si="53"/>
        <v>177.78982499999998</v>
      </c>
      <c r="DU25" s="18">
        <f t="shared" si="53"/>
        <v>167.21081999999996</v>
      </c>
      <c r="DV25" s="18">
        <f t="shared" si="53"/>
        <v>159.39293500000002</v>
      </c>
      <c r="DW25" s="18">
        <f t="shared" si="53"/>
        <v>114.89162300000001</v>
      </c>
      <c r="DX25" s="18">
        <f t="shared" si="53"/>
        <v>84.308759000000023</v>
      </c>
      <c r="DY25" s="18">
        <f t="shared" si="53"/>
        <v>88.133944999999983</v>
      </c>
      <c r="DZ25" s="18">
        <f t="shared" si="53"/>
        <v>85.623512000000034</v>
      </c>
      <c r="EA25" s="18">
        <f t="shared" si="53"/>
        <v>86.753801999999979</v>
      </c>
      <c r="EB25" s="18">
        <f t="shared" ref="EB25" si="54">EB11+EB18</f>
        <v>123.00513000000001</v>
      </c>
      <c r="EC25" s="18">
        <f t="shared" si="53"/>
        <v>136.85181999999998</v>
      </c>
      <c r="ED25" s="18">
        <f t="shared" ref="ED25" si="55">ED11+ED18</f>
        <v>158.29765399999997</v>
      </c>
      <c r="EE25" s="18">
        <f t="shared" ref="EE25:EP25" si="56">EE11+EE18</f>
        <v>155.23923374999998</v>
      </c>
      <c r="EF25" s="18">
        <f t="shared" si="56"/>
        <v>168.90965</v>
      </c>
      <c r="EG25" s="18">
        <f t="shared" si="56"/>
        <v>190.79650000000004</v>
      </c>
      <c r="EH25" s="18">
        <f t="shared" si="56"/>
        <v>204.57855999999998</v>
      </c>
      <c r="EI25" s="18">
        <f t="shared" si="56"/>
        <v>217.67399999999992</v>
      </c>
      <c r="EJ25" s="18">
        <f t="shared" si="56"/>
        <v>222.71567500000003</v>
      </c>
      <c r="EK25" s="18">
        <f t="shared" si="56"/>
        <v>227.96679999999998</v>
      </c>
      <c r="EL25" s="18">
        <f t="shared" si="56"/>
        <v>237.17600000000004</v>
      </c>
      <c r="EM25" s="18">
        <f t="shared" si="56"/>
        <v>232.14099999999996</v>
      </c>
      <c r="EN25" s="18">
        <f t="shared" si="56"/>
        <v>229.68400000000008</v>
      </c>
      <c r="EO25" s="18">
        <f t="shared" si="56"/>
        <v>229.72400000000005</v>
      </c>
      <c r="EP25" s="18">
        <f t="shared" si="56"/>
        <v>227.2399999999999</v>
      </c>
      <c r="EQ25" s="192"/>
      <c r="ER25" s="192"/>
      <c r="ES25" s="355">
        <f t="shared" si="18"/>
        <v>20</v>
      </c>
      <c r="ET25"/>
      <c r="EU25"/>
      <c r="EV25"/>
      <c r="EW25"/>
      <c r="EX25"/>
      <c r="EY25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s="4" customFormat="1" ht="11.45" customHeight="1" outlineLevel="1">
      <c r="A26" s="15"/>
      <c r="B26" s="14" t="s">
        <v>177</v>
      </c>
      <c r="C26" s="18"/>
      <c r="D26" s="18"/>
      <c r="E26" s="18"/>
      <c r="F26" s="18"/>
      <c r="G26" s="18"/>
      <c r="H26" s="18"/>
      <c r="I26" s="132"/>
      <c r="J26" s="132"/>
      <c r="K26" s="132"/>
      <c r="L26" s="132"/>
      <c r="M26" s="132"/>
      <c r="N26" s="18">
        <f>N12+N19</f>
        <v>-79.301000000000002</v>
      </c>
      <c r="O26" s="18">
        <f t="shared" si="50"/>
        <v>52.044000000000004</v>
      </c>
      <c r="P26" s="18">
        <f t="shared" si="50"/>
        <v>31.251000000000005</v>
      </c>
      <c r="Q26" s="18">
        <f t="shared" si="50"/>
        <v>32.135000000000005</v>
      </c>
      <c r="R26" s="18">
        <f t="shared" si="50"/>
        <v>45.321999999999996</v>
      </c>
      <c r="S26" s="18">
        <f t="shared" si="50"/>
        <v>37.591999999999999</v>
      </c>
      <c r="T26" s="18">
        <f t="shared" si="50"/>
        <v>49.998000000000012</v>
      </c>
      <c r="U26" s="18">
        <f t="shared" si="50"/>
        <v>71.260000000000005</v>
      </c>
      <c r="V26" s="18">
        <f t="shared" si="50"/>
        <v>71.462999999999994</v>
      </c>
      <c r="W26" s="18">
        <f t="shared" si="50"/>
        <v>66.049000000000007</v>
      </c>
      <c r="X26" s="18">
        <f t="shared" si="50"/>
        <v>62.616</v>
      </c>
      <c r="Y26" s="18">
        <f t="shared" si="51"/>
        <v>75.679000000000002</v>
      </c>
      <c r="Z26" s="18">
        <f t="shared" si="51"/>
        <v>91.977000000000004</v>
      </c>
      <c r="AA26" s="18">
        <f t="shared" si="51"/>
        <v>82.905000000000001</v>
      </c>
      <c r="AB26" s="18">
        <f t="shared" si="51"/>
        <v>33.260687000000004</v>
      </c>
      <c r="AC26" s="18">
        <f t="shared" si="51"/>
        <v>39.67</v>
      </c>
      <c r="AD26" s="18">
        <f t="shared" si="51"/>
        <v>40.6430104395575</v>
      </c>
      <c r="AE26" s="18">
        <f t="shared" si="51"/>
        <v>47.931062220193226</v>
      </c>
      <c r="AF26" s="18">
        <f t="shared" si="51"/>
        <v>55.207458607240014</v>
      </c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>
        <f t="shared" ref="BS26:CX26" si="57">BS12+BS19</f>
        <v>0</v>
      </c>
      <c r="BT26" s="18">
        <f t="shared" si="57"/>
        <v>0</v>
      </c>
      <c r="BU26" s="18">
        <f t="shared" si="57"/>
        <v>13.509999999999998</v>
      </c>
      <c r="BV26" s="18">
        <f t="shared" si="57"/>
        <v>11.611999999999998</v>
      </c>
      <c r="BW26" s="18">
        <f t="shared" si="57"/>
        <v>12.659000000000001</v>
      </c>
      <c r="BX26" s="18">
        <f t="shared" si="57"/>
        <v>14.975</v>
      </c>
      <c r="BY26" s="18">
        <f t="shared" si="57"/>
        <v>12.798</v>
      </c>
      <c r="BZ26" s="18">
        <f t="shared" si="57"/>
        <v>7.9800000000000022</v>
      </c>
      <c r="CA26" s="18">
        <f t="shared" si="57"/>
        <v>7.6780000000000008</v>
      </c>
      <c r="CB26" s="18">
        <f t="shared" si="57"/>
        <v>7.6450000000000014</v>
      </c>
      <c r="CC26" s="18">
        <f t="shared" si="57"/>
        <v>7.9479999999999986</v>
      </c>
      <c r="CD26" s="18">
        <f t="shared" si="57"/>
        <v>7.5090000000000021</v>
      </c>
      <c r="CE26" s="18">
        <f t="shared" si="57"/>
        <v>7.657</v>
      </c>
      <c r="CF26" s="18">
        <f t="shared" si="57"/>
        <v>8.4010000000000016</v>
      </c>
      <c r="CG26" s="18">
        <f t="shared" si="57"/>
        <v>8.5679999999999978</v>
      </c>
      <c r="CH26" s="18">
        <f t="shared" si="57"/>
        <v>9.2119999999999997</v>
      </c>
      <c r="CI26" s="18">
        <f t="shared" si="57"/>
        <v>11.883000000000003</v>
      </c>
      <c r="CJ26" s="18">
        <f t="shared" si="57"/>
        <v>11.841999999999999</v>
      </c>
      <c r="CK26" s="18">
        <f t="shared" si="57"/>
        <v>12.384999999999998</v>
      </c>
      <c r="CL26" s="18">
        <f t="shared" si="57"/>
        <v>11.615999999999996</v>
      </c>
      <c r="CM26" s="18">
        <f t="shared" si="57"/>
        <v>7.9939999999999998</v>
      </c>
      <c r="CN26" s="18">
        <f t="shared" si="57"/>
        <v>7.8780000000000001</v>
      </c>
      <c r="CO26" s="18">
        <f t="shared" si="57"/>
        <v>10.104000000000003</v>
      </c>
      <c r="CP26" s="18">
        <f t="shared" si="57"/>
        <v>8.07</v>
      </c>
      <c r="CQ26" s="18">
        <f t="shared" si="57"/>
        <v>7.8710000000000022</v>
      </c>
      <c r="CR26" s="18">
        <f t="shared" si="57"/>
        <v>16.132000000000001</v>
      </c>
      <c r="CS26" s="18">
        <f t="shared" si="57"/>
        <v>17.925000000000004</v>
      </c>
      <c r="CT26" s="18">
        <f t="shared" si="57"/>
        <v>18.725999999999999</v>
      </c>
      <c r="CU26" s="18">
        <f t="shared" si="57"/>
        <v>19.928000000000004</v>
      </c>
      <c r="CV26" s="18">
        <f t="shared" si="57"/>
        <v>16.750999999999998</v>
      </c>
      <c r="CW26" s="18">
        <f t="shared" si="57"/>
        <v>15.855</v>
      </c>
      <c r="CX26" s="18">
        <f t="shared" si="57"/>
        <v>19.713999999999999</v>
      </c>
      <c r="CY26" s="18">
        <f t="shared" ref="CY26:EC26" si="58">CY12+CY19</f>
        <v>18.068999999999999</v>
      </c>
      <c r="CZ26" s="18">
        <f t="shared" si="58"/>
        <v>15.802999999999997</v>
      </c>
      <c r="DA26" s="18">
        <f t="shared" si="58"/>
        <v>17.877000000000002</v>
      </c>
      <c r="DB26" s="18">
        <f t="shared" si="58"/>
        <v>13.939999999999998</v>
      </c>
      <c r="DC26" s="18">
        <f t="shared" si="58"/>
        <v>16.649999999999999</v>
      </c>
      <c r="DD26" s="18">
        <f t="shared" si="58"/>
        <v>17.905000000000001</v>
      </c>
      <c r="DE26" s="18">
        <f t="shared" si="58"/>
        <v>17.554000000000002</v>
      </c>
      <c r="DF26" s="18">
        <f t="shared" si="58"/>
        <v>17.591000000000001</v>
      </c>
      <c r="DG26" s="18">
        <f t="shared" si="58"/>
        <v>14.948</v>
      </c>
      <c r="DH26" s="18">
        <f t="shared" si="58"/>
        <v>12.644999999999996</v>
      </c>
      <c r="DI26" s="18">
        <f t="shared" si="58"/>
        <v>17.432000000000002</v>
      </c>
      <c r="DJ26" s="18">
        <f t="shared" si="58"/>
        <v>20.511000000000003</v>
      </c>
      <c r="DK26" s="18">
        <f t="shared" si="58"/>
        <v>19.498999999999995</v>
      </c>
      <c r="DL26" s="18">
        <f t="shared" si="58"/>
        <v>19.898000000000003</v>
      </c>
      <c r="DM26" s="18">
        <f t="shared" si="58"/>
        <v>15.771000000000001</v>
      </c>
      <c r="DN26" s="18">
        <f t="shared" si="58"/>
        <v>24.178000000000004</v>
      </c>
      <c r="DO26" s="18">
        <f t="shared" si="58"/>
        <v>24.797000000000004</v>
      </c>
      <c r="DP26" s="18">
        <f t="shared" si="58"/>
        <v>22.108000000000004</v>
      </c>
      <c r="DQ26" s="18">
        <f t="shared" si="58"/>
        <v>20.893999999999998</v>
      </c>
      <c r="DR26" s="18">
        <f t="shared" si="58"/>
        <v>25.234000000000002</v>
      </c>
      <c r="DS26" s="18">
        <f t="shared" si="58"/>
        <v>23.192999999999998</v>
      </c>
      <c r="DT26" s="18">
        <f t="shared" si="58"/>
        <v>18.093000000000004</v>
      </c>
      <c r="DU26" s="18">
        <f t="shared" si="58"/>
        <v>16.384999999999998</v>
      </c>
      <c r="DV26" s="18">
        <f t="shared" si="58"/>
        <v>11.587000000000003</v>
      </c>
      <c r="DW26" s="18">
        <f t="shared" si="58"/>
        <v>7.6310670000000016</v>
      </c>
      <c r="DX26" s="18">
        <f t="shared" si="58"/>
        <v>7.0303320000000014</v>
      </c>
      <c r="DY26" s="18">
        <f t="shared" si="58"/>
        <v>7.0122879999999981</v>
      </c>
      <c r="DZ26" s="18">
        <f t="shared" si="58"/>
        <v>10.966999999999999</v>
      </c>
      <c r="EA26" s="18">
        <f t="shared" si="58"/>
        <v>10.212</v>
      </c>
      <c r="EB26" s="18">
        <f t="shared" ref="EB26" si="59">EB12+EB19</f>
        <v>10.055</v>
      </c>
      <c r="EC26" s="18">
        <f t="shared" si="58"/>
        <v>8.4360000000000035</v>
      </c>
      <c r="ED26" s="18">
        <f t="shared" ref="ED26" si="60">ED12+ED19</f>
        <v>12.244</v>
      </c>
      <c r="EE26" s="18">
        <f t="shared" ref="EE26:EP26" si="61">EE12+EE19</f>
        <v>9.1952022999999983</v>
      </c>
      <c r="EF26" s="18">
        <f t="shared" si="61"/>
        <v>8.7723033115</v>
      </c>
      <c r="EG26" s="18">
        <f t="shared" si="61"/>
        <v>10.431504828057506</v>
      </c>
      <c r="EH26" s="18">
        <f t="shared" si="61"/>
        <v>10.98080735219779</v>
      </c>
      <c r="EI26" s="18">
        <f t="shared" si="61"/>
        <v>11.526211388958778</v>
      </c>
      <c r="EJ26" s="18">
        <f t="shared" si="61"/>
        <v>12.311717445903568</v>
      </c>
      <c r="EK26" s="18">
        <f t="shared" si="61"/>
        <v>13.11232603313309</v>
      </c>
      <c r="EL26" s="18">
        <f t="shared" si="61"/>
        <v>13.823037663298756</v>
      </c>
      <c r="EM26" s="18">
        <f t="shared" si="61"/>
        <v>13.738852851615245</v>
      </c>
      <c r="EN26" s="18">
        <f t="shared" si="61"/>
        <v>13.759772115873321</v>
      </c>
      <c r="EO26" s="18">
        <f t="shared" si="61"/>
        <v>13.885795976452691</v>
      </c>
      <c r="EP26" s="18">
        <f t="shared" si="61"/>
        <v>13.906924956334951</v>
      </c>
      <c r="EQ26" s="192"/>
      <c r="ER26" s="192"/>
      <c r="ES26" s="355">
        <f t="shared" si="18"/>
        <v>21</v>
      </c>
      <c r="ET26"/>
      <c r="EU26"/>
      <c r="EV26"/>
      <c r="EW26"/>
      <c r="EX26"/>
      <c r="EY26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s="4" customFormat="1" ht="11.45" customHeight="1" outlineLevel="1">
      <c r="A27" s="15"/>
      <c r="B27" s="14" t="s">
        <v>174</v>
      </c>
      <c r="C27" s="18"/>
      <c r="D27" s="18"/>
      <c r="E27" s="18"/>
      <c r="F27" s="18"/>
      <c r="G27" s="18"/>
      <c r="H27" s="18"/>
      <c r="I27" s="132"/>
      <c r="J27" s="132"/>
      <c r="K27" s="132"/>
      <c r="L27" s="132"/>
      <c r="M27" s="132"/>
      <c r="N27" s="18">
        <f>N13+N20</f>
        <v>36.097999999999999</v>
      </c>
      <c r="O27" s="18">
        <f t="shared" si="50"/>
        <v>28.351000000000003</v>
      </c>
      <c r="P27" s="18">
        <f t="shared" si="50"/>
        <v>34.800000000000004</v>
      </c>
      <c r="Q27" s="18">
        <f t="shared" si="50"/>
        <v>41.643000000000001</v>
      </c>
      <c r="R27" s="18">
        <f t="shared" si="50"/>
        <v>79.150999999999996</v>
      </c>
      <c r="S27" s="18">
        <f t="shared" si="50"/>
        <v>132.197</v>
      </c>
      <c r="T27" s="18">
        <f t="shared" si="50"/>
        <v>103.56099999999999</v>
      </c>
      <c r="U27" s="18">
        <f t="shared" si="50"/>
        <v>23.845000000000006</v>
      </c>
      <c r="V27" s="18">
        <f t="shared" si="50"/>
        <v>80.51600000000002</v>
      </c>
      <c r="W27" s="18">
        <f t="shared" si="50"/>
        <v>51.120999999999995</v>
      </c>
      <c r="X27" s="18">
        <f t="shared" si="50"/>
        <v>54.384999999999991</v>
      </c>
      <c r="Y27" s="18">
        <f t="shared" si="51"/>
        <v>84.506</v>
      </c>
      <c r="Z27" s="18">
        <f t="shared" si="51"/>
        <v>80.637999999999991</v>
      </c>
      <c r="AA27" s="18">
        <f t="shared" si="51"/>
        <v>77.248512999999988</v>
      </c>
      <c r="AB27" s="18">
        <f t="shared" si="51"/>
        <v>55.879260000000009</v>
      </c>
      <c r="AC27" s="18">
        <f t="shared" si="51"/>
        <v>35.310472000000011</v>
      </c>
      <c r="AD27" s="18">
        <f t="shared" si="51"/>
        <v>59.950599999999994</v>
      </c>
      <c r="AE27" s="18">
        <f t="shared" si="51"/>
        <v>88.524000000000029</v>
      </c>
      <c r="AF27" s="18">
        <f t="shared" si="51"/>
        <v>104.676</v>
      </c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>
        <f t="shared" ref="BS27:CX27" si="62">BS13+BS20</f>
        <v>43.545999999999999</v>
      </c>
      <c r="BT27" s="18">
        <f t="shared" si="62"/>
        <v>34.26</v>
      </c>
      <c r="BU27" s="18">
        <f t="shared" si="62"/>
        <v>7.6159999999999997</v>
      </c>
      <c r="BV27" s="18">
        <f t="shared" si="62"/>
        <v>5.0289999999999999</v>
      </c>
      <c r="BW27" s="18">
        <f t="shared" si="62"/>
        <v>7.1939999999999991</v>
      </c>
      <c r="BX27" s="18">
        <f t="shared" si="62"/>
        <v>9.7010000000000005</v>
      </c>
      <c r="BY27" s="18">
        <f t="shared" si="62"/>
        <v>6.4270000000000032</v>
      </c>
      <c r="BZ27" s="18">
        <f t="shared" si="62"/>
        <v>9.2889999999999979</v>
      </c>
      <c r="CA27" s="18">
        <f t="shared" si="62"/>
        <v>7.2550000000000026</v>
      </c>
      <c r="CB27" s="18">
        <f t="shared" si="62"/>
        <v>7.277000000000001</v>
      </c>
      <c r="CC27" s="18">
        <f t="shared" si="62"/>
        <v>10.979000000000003</v>
      </c>
      <c r="CD27" s="18">
        <f t="shared" si="62"/>
        <v>11.615999999999996</v>
      </c>
      <c r="CE27" s="18">
        <f t="shared" si="62"/>
        <v>8.8789999999999978</v>
      </c>
      <c r="CF27" s="18">
        <f t="shared" si="62"/>
        <v>10.838000000000001</v>
      </c>
      <c r="CG27" s="18">
        <f t="shared" si="62"/>
        <v>10.310000000000002</v>
      </c>
      <c r="CH27" s="18">
        <f t="shared" si="62"/>
        <v>14.564</v>
      </c>
      <c r="CI27" s="18">
        <f t="shared" si="62"/>
        <v>18.718999999999994</v>
      </c>
      <c r="CJ27" s="18">
        <f t="shared" si="62"/>
        <v>23.573</v>
      </c>
      <c r="CK27" s="18">
        <f t="shared" si="62"/>
        <v>22.295000000000002</v>
      </c>
      <c r="CL27" s="18">
        <f t="shared" si="62"/>
        <v>30.186000000000007</v>
      </c>
      <c r="CM27" s="18">
        <f t="shared" si="62"/>
        <v>26.246000000000002</v>
      </c>
      <c r="CN27" s="18">
        <f t="shared" si="62"/>
        <v>36.191000000000003</v>
      </c>
      <c r="CO27" s="18">
        <f t="shared" si="62"/>
        <v>39.573999999999998</v>
      </c>
      <c r="CP27" s="18">
        <f t="shared" si="62"/>
        <v>27.820000000000007</v>
      </c>
      <c r="CQ27" s="18">
        <f t="shared" si="62"/>
        <v>25.628000000000007</v>
      </c>
      <c r="CR27" s="18">
        <f t="shared" si="62"/>
        <v>25.49199999999999</v>
      </c>
      <c r="CS27" s="18">
        <f t="shared" si="62"/>
        <v>24.620999999999995</v>
      </c>
      <c r="CT27" s="18">
        <f t="shared" si="62"/>
        <v>29.53</v>
      </c>
      <c r="CU27" s="18">
        <f t="shared" si="62"/>
        <v>-7.9579999999999984</v>
      </c>
      <c r="CV27" s="18">
        <f t="shared" si="62"/>
        <v>-0.62299999999999756</v>
      </c>
      <c r="CW27" s="18">
        <f t="shared" si="62"/>
        <v>2.8960000000000008</v>
      </c>
      <c r="CX27" s="18">
        <f t="shared" si="62"/>
        <v>18.101000000000006</v>
      </c>
      <c r="CY27" s="18">
        <f t="shared" ref="CY27:EC27" si="63">CY13+CY20</f>
        <v>19.327999999999996</v>
      </c>
      <c r="CZ27" s="18">
        <f t="shared" si="63"/>
        <v>18.932000000000002</v>
      </c>
      <c r="DA27" s="18">
        <f t="shared" si="63"/>
        <v>24.155000000000008</v>
      </c>
      <c r="DB27" s="18">
        <f t="shared" si="63"/>
        <v>22.418999999999997</v>
      </c>
      <c r="DC27" s="18">
        <f t="shared" si="63"/>
        <v>9.8909999999999982</v>
      </c>
      <c r="DD27" s="18">
        <f t="shared" si="63"/>
        <v>6.9200000000000017</v>
      </c>
      <c r="DE27" s="18">
        <f t="shared" si="63"/>
        <v>11.890999999999998</v>
      </c>
      <c r="DF27" s="18">
        <f t="shared" si="63"/>
        <v>15.570999999999998</v>
      </c>
      <c r="DG27" s="18">
        <f t="shared" si="63"/>
        <v>7.4509999999999934</v>
      </c>
      <c r="DH27" s="18">
        <f t="shared" si="63"/>
        <v>14.987000000000002</v>
      </c>
      <c r="DI27" s="18">
        <f t="shared" si="63"/>
        <v>16.375999999999998</v>
      </c>
      <c r="DJ27" s="18">
        <f t="shared" si="63"/>
        <v>18.628</v>
      </c>
      <c r="DK27" s="18">
        <f t="shared" si="63"/>
        <v>22.400000000000006</v>
      </c>
      <c r="DL27" s="18">
        <f t="shared" si="63"/>
        <v>18.667999999999992</v>
      </c>
      <c r="DM27" s="18">
        <f t="shared" si="63"/>
        <v>24.810000000000002</v>
      </c>
      <c r="DN27" s="18">
        <f t="shared" si="63"/>
        <v>23.410999999999987</v>
      </c>
      <c r="DO27" s="18">
        <f t="shared" si="63"/>
        <v>21.844999999999999</v>
      </c>
      <c r="DP27" s="18">
        <f t="shared" si="63"/>
        <v>17.316999999999993</v>
      </c>
      <c r="DQ27" s="18">
        <f t="shared" si="63"/>
        <v>18.065000000000012</v>
      </c>
      <c r="DR27" s="18">
        <f t="shared" si="63"/>
        <v>23.948000000000008</v>
      </c>
      <c r="DS27" s="18">
        <f t="shared" si="63"/>
        <v>20.082933999999995</v>
      </c>
      <c r="DT27" s="18">
        <f t="shared" si="63"/>
        <v>24.312353999999985</v>
      </c>
      <c r="DU27" s="18">
        <f t="shared" si="63"/>
        <v>8.9052250000000015</v>
      </c>
      <c r="DV27" s="18">
        <f t="shared" si="63"/>
        <v>16.686000000000007</v>
      </c>
      <c r="DW27" s="18">
        <f t="shared" si="63"/>
        <v>13.516083999999999</v>
      </c>
      <c r="DX27" s="18">
        <f t="shared" si="63"/>
        <v>10.930176000000003</v>
      </c>
      <c r="DY27" s="18">
        <f t="shared" si="63"/>
        <v>14.747</v>
      </c>
      <c r="DZ27" s="18">
        <f t="shared" si="63"/>
        <v>9.9534980000000033</v>
      </c>
      <c r="EA27" s="18">
        <f t="shared" si="63"/>
        <v>2.5760000000000005</v>
      </c>
      <c r="EB27" s="18">
        <f t="shared" ref="EB27" si="64">EB13+EB20</f>
        <v>10.620974000000004</v>
      </c>
      <c r="EC27" s="18">
        <f t="shared" si="63"/>
        <v>12.160000000000004</v>
      </c>
      <c r="ED27" s="18">
        <f t="shared" ref="ED27" si="65">ED13+ED20</f>
        <v>16.476999999999997</v>
      </c>
      <c r="EE27" s="18">
        <f t="shared" ref="EE27:EP27" si="66">EE13+EE20</f>
        <v>12.171599999999998</v>
      </c>
      <c r="EF27" s="18">
        <f t="shared" si="66"/>
        <v>14.742000000000004</v>
      </c>
      <c r="EG27" s="18">
        <f t="shared" si="66"/>
        <v>16.559999999999995</v>
      </c>
      <c r="EH27" s="18">
        <f t="shared" si="66"/>
        <v>19.228000000000016</v>
      </c>
      <c r="EI27" s="18">
        <f t="shared" si="66"/>
        <v>20.520000000000003</v>
      </c>
      <c r="EJ27" s="18">
        <f t="shared" si="66"/>
        <v>23.660000000000004</v>
      </c>
      <c r="EK27" s="18">
        <f t="shared" si="66"/>
        <v>25.116000000000007</v>
      </c>
      <c r="EL27" s="18">
        <f t="shared" si="66"/>
        <v>26.311999999999998</v>
      </c>
      <c r="EM27" s="18">
        <f t="shared" si="66"/>
        <v>26.026000000000003</v>
      </c>
      <c r="EN27" s="18">
        <f t="shared" si="66"/>
        <v>26.026000000000003</v>
      </c>
      <c r="EO27" s="18">
        <f t="shared" si="66"/>
        <v>26.311999999999998</v>
      </c>
      <c r="EP27" s="18">
        <f t="shared" si="66"/>
        <v>26.311999999999998</v>
      </c>
      <c r="EQ27" s="192"/>
      <c r="ER27" s="192"/>
      <c r="ES27" s="355">
        <f t="shared" si="18"/>
        <v>22</v>
      </c>
      <c r="ET27"/>
      <c r="EU27"/>
      <c r="EV27"/>
      <c r="EW27"/>
      <c r="EX27"/>
      <c r="EY27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s="4" customFormat="1" ht="11.45" customHeight="1" outlineLevel="1">
      <c r="A28" s="15"/>
      <c r="B28" s="14" t="s">
        <v>38</v>
      </c>
      <c r="C28" s="18"/>
      <c r="D28" s="18"/>
      <c r="E28" s="18"/>
      <c r="F28" s="18"/>
      <c r="G28" s="18"/>
      <c r="H28" s="18"/>
      <c r="I28" s="132"/>
      <c r="J28" s="132"/>
      <c r="K28" s="132"/>
      <c r="L28" s="132"/>
      <c r="M28" s="132"/>
      <c r="N28" s="18">
        <f>N14+N21</f>
        <v>-5.2959999999999923</v>
      </c>
      <c r="O28" s="18">
        <f t="shared" si="50"/>
        <v>8.804000000000002</v>
      </c>
      <c r="P28" s="18">
        <f t="shared" si="50"/>
        <v>5.4509999999999925</v>
      </c>
      <c r="Q28" s="18">
        <f t="shared" si="50"/>
        <v>9.2440000000000122</v>
      </c>
      <c r="R28" s="18">
        <f t="shared" si="50"/>
        <v>8.5880000000000027</v>
      </c>
      <c r="S28" s="18">
        <f t="shared" si="50"/>
        <v>10.483999999999966</v>
      </c>
      <c r="T28" s="18">
        <f t="shared" si="50"/>
        <v>11.107999999999949</v>
      </c>
      <c r="U28" s="18">
        <f t="shared" si="50"/>
        <v>9.5959999999999681</v>
      </c>
      <c r="V28" s="18">
        <f t="shared" si="50"/>
        <v>10.894999999999991</v>
      </c>
      <c r="W28" s="18">
        <f t="shared" si="50"/>
        <v>13.314000000000016</v>
      </c>
      <c r="X28" s="18">
        <f t="shared" si="50"/>
        <v>13.802000000000023</v>
      </c>
      <c r="Y28" s="18">
        <f t="shared" si="51"/>
        <v>13.928000000000042</v>
      </c>
      <c r="Z28" s="18">
        <f t="shared" si="51"/>
        <v>13.928000000000029</v>
      </c>
      <c r="AA28" s="18">
        <f t="shared" si="51"/>
        <v>13.337999999999839</v>
      </c>
      <c r="AB28" s="18">
        <f t="shared" si="51"/>
        <v>9.2219019999999947</v>
      </c>
      <c r="AC28" s="18">
        <f t="shared" si="51"/>
        <v>10.949999999999955</v>
      </c>
      <c r="AD28" s="18">
        <f t="shared" si="51"/>
        <v>8.7070000000000327</v>
      </c>
      <c r="AE28" s="18">
        <f t="shared" si="51"/>
        <v>12</v>
      </c>
      <c r="AF28" s="18">
        <f t="shared" si="51"/>
        <v>12</v>
      </c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>
        <f t="shared" ref="BS28:CX28" si="67">BS14+BS21</f>
        <v>1.3460000000000036</v>
      </c>
      <c r="BT28" s="18">
        <f t="shared" si="67"/>
        <v>2.0450000000000159</v>
      </c>
      <c r="BU28" s="18">
        <f t="shared" si="67"/>
        <v>0.79000000000000625</v>
      </c>
      <c r="BV28" s="18">
        <f t="shared" si="67"/>
        <v>1.6250000000000142</v>
      </c>
      <c r="BW28" s="18">
        <f t="shared" si="67"/>
        <v>1.9770000000000039</v>
      </c>
      <c r="BX28" s="18">
        <f t="shared" si="67"/>
        <v>1.4479999999999933</v>
      </c>
      <c r="BY28" s="18">
        <f t="shared" si="67"/>
        <v>3.7539999999999907</v>
      </c>
      <c r="BZ28" s="18">
        <f t="shared" si="67"/>
        <v>1.7799999999999945</v>
      </c>
      <c r="CA28" s="18">
        <f t="shared" si="67"/>
        <v>1.6069999999999922</v>
      </c>
      <c r="CB28" s="18">
        <f t="shared" si="67"/>
        <v>1.4410000000000114</v>
      </c>
      <c r="CC28" s="18">
        <f t="shared" si="67"/>
        <v>0.62299999999999489</v>
      </c>
      <c r="CD28" s="18">
        <f t="shared" si="67"/>
        <v>2.0919999999999974</v>
      </c>
      <c r="CE28" s="18">
        <f t="shared" si="67"/>
        <v>1.8940000000000015</v>
      </c>
      <c r="CF28" s="18">
        <f t="shared" si="67"/>
        <v>2.5970000000000093</v>
      </c>
      <c r="CG28" s="18">
        <f t="shared" si="67"/>
        <v>2.661000000000004</v>
      </c>
      <c r="CH28" s="18">
        <f t="shared" si="67"/>
        <v>2.4770000000000048</v>
      </c>
      <c r="CI28" s="18">
        <f t="shared" si="67"/>
        <v>1.8109999999999942</v>
      </c>
      <c r="CJ28" s="18">
        <f t="shared" si="67"/>
        <v>2.1820000000000008</v>
      </c>
      <c r="CK28" s="18">
        <f t="shared" si="67"/>
        <v>2.1180000000000034</v>
      </c>
      <c r="CL28" s="18">
        <f t="shared" si="67"/>
        <v>2.5869999999999882</v>
      </c>
      <c r="CM28" s="18">
        <f t="shared" si="67"/>
        <v>2.094000000000023</v>
      </c>
      <c r="CN28" s="18">
        <f t="shared" si="67"/>
        <v>2.4239999999999915</v>
      </c>
      <c r="CO28" s="18">
        <f t="shared" si="67"/>
        <v>3.3789999999999631</v>
      </c>
      <c r="CP28" s="18">
        <f t="shared" si="67"/>
        <v>2.8990000000000054</v>
      </c>
      <c r="CQ28" s="18">
        <f t="shared" si="67"/>
        <v>2.6810000000000036</v>
      </c>
      <c r="CR28" s="18">
        <f t="shared" si="67"/>
        <v>2.7409999999999664</v>
      </c>
      <c r="CS28" s="18">
        <f t="shared" si="67"/>
        <v>2.7869999999999746</v>
      </c>
      <c r="CT28" s="18">
        <f t="shared" si="67"/>
        <v>2.6720000000000108</v>
      </c>
      <c r="CU28" s="18">
        <f t="shared" si="67"/>
        <v>2.5549999999999735</v>
      </c>
      <c r="CV28" s="18">
        <f t="shared" si="67"/>
        <v>1.9829999999999939</v>
      </c>
      <c r="CW28" s="18">
        <f t="shared" si="67"/>
        <v>2.3859999999999908</v>
      </c>
      <c r="CX28" s="18">
        <f t="shared" si="67"/>
        <v>2.620999999999968</v>
      </c>
      <c r="CY28" s="18">
        <f t="shared" ref="CY28:EC28" si="68">CY14+CY21</f>
        <v>2.480999999999991</v>
      </c>
      <c r="CZ28" s="18">
        <f t="shared" si="68"/>
        <v>2.7839999999999976</v>
      </c>
      <c r="DA28" s="18">
        <f t="shared" si="68"/>
        <v>3.0090000000000341</v>
      </c>
      <c r="DB28" s="18">
        <f t="shared" si="68"/>
        <v>3.6570000000000533</v>
      </c>
      <c r="DC28" s="18">
        <f t="shared" si="68"/>
        <v>3.201000000000001</v>
      </c>
      <c r="DD28" s="18">
        <f t="shared" si="68"/>
        <v>3.6229999999999247</v>
      </c>
      <c r="DE28" s="18">
        <f t="shared" si="68"/>
        <v>2.8330000000000379</v>
      </c>
      <c r="DF28" s="18">
        <f t="shared" si="68"/>
        <v>2.92100000000001</v>
      </c>
      <c r="DG28" s="18">
        <f t="shared" si="68"/>
        <v>3.4690000000000114</v>
      </c>
      <c r="DH28" s="18">
        <f t="shared" si="68"/>
        <v>3.8499999999999885</v>
      </c>
      <c r="DI28" s="18">
        <f t="shared" si="68"/>
        <v>3.5620000000000123</v>
      </c>
      <c r="DJ28" s="18">
        <f t="shared" si="68"/>
        <v>3.6000000000000063</v>
      </c>
      <c r="DK28" s="18">
        <f t="shared" si="68"/>
        <v>3.1329999999999947</v>
      </c>
      <c r="DL28" s="18">
        <f t="shared" si="68"/>
        <v>3.6750000000000287</v>
      </c>
      <c r="DM28" s="18">
        <f t="shared" si="68"/>
        <v>3.520000000000012</v>
      </c>
      <c r="DN28" s="18">
        <f t="shared" si="68"/>
        <v>3.0269999999999602</v>
      </c>
      <c r="DO28" s="18">
        <f t="shared" si="68"/>
        <v>3.1769999999999801</v>
      </c>
      <c r="DP28" s="18">
        <f t="shared" si="68"/>
        <v>4.1340000000000483</v>
      </c>
      <c r="DQ28" s="18">
        <f t="shared" si="68"/>
        <v>3.5900000000000407</v>
      </c>
      <c r="DR28" s="18">
        <f t="shared" si="68"/>
        <v>4.2389999999998551</v>
      </c>
      <c r="DS28" s="18">
        <f t="shared" si="68"/>
        <v>3.7869999999999924</v>
      </c>
      <c r="DT28" s="18">
        <f t="shared" si="68"/>
        <v>3.3230000000000093</v>
      </c>
      <c r="DU28" s="18">
        <f t="shared" si="68"/>
        <v>1.988999999999983</v>
      </c>
      <c r="DV28" s="18">
        <f t="shared" si="68"/>
        <v>3.1659999999999791</v>
      </c>
      <c r="DW28" s="18">
        <f t="shared" si="68"/>
        <v>2.6817389999999985</v>
      </c>
      <c r="DX28" s="18">
        <f t="shared" si="68"/>
        <v>2.0101630000000017</v>
      </c>
      <c r="DY28" s="18">
        <f t="shared" si="68"/>
        <v>1.364000000000015</v>
      </c>
      <c r="DZ28" s="18">
        <f t="shared" si="68"/>
        <v>2.2329999999999859</v>
      </c>
      <c r="EA28" s="18">
        <f t="shared" si="68"/>
        <v>2.9479999999999666</v>
      </c>
      <c r="EB28" s="18">
        <f t="shared" ref="EB28" si="69">EB14+EB21</f>
        <v>2.8329999999999691</v>
      </c>
      <c r="EC28" s="18">
        <f t="shared" si="68"/>
        <v>2.9360000000000337</v>
      </c>
      <c r="ED28" s="18">
        <f t="shared" ref="ED28" si="70">ED14+ED21</f>
        <v>-0.29299999999996817</v>
      </c>
      <c r="EE28" s="18">
        <f t="shared" ref="EE28:EP28" si="71">EE14+EE21</f>
        <v>3</v>
      </c>
      <c r="EF28" s="18">
        <f t="shared" si="71"/>
        <v>3</v>
      </c>
      <c r="EG28" s="18">
        <f t="shared" si="71"/>
        <v>3</v>
      </c>
      <c r="EH28" s="18">
        <f t="shared" si="71"/>
        <v>3</v>
      </c>
      <c r="EI28" s="18">
        <f t="shared" si="71"/>
        <v>3</v>
      </c>
      <c r="EJ28" s="18">
        <f t="shared" si="71"/>
        <v>3</v>
      </c>
      <c r="EK28" s="18">
        <f t="shared" si="71"/>
        <v>3</v>
      </c>
      <c r="EL28" s="18">
        <f t="shared" si="71"/>
        <v>3</v>
      </c>
      <c r="EM28" s="18">
        <f t="shared" si="71"/>
        <v>3</v>
      </c>
      <c r="EN28" s="18">
        <f t="shared" si="71"/>
        <v>3</v>
      </c>
      <c r="EO28" s="18">
        <f t="shared" si="71"/>
        <v>3</v>
      </c>
      <c r="EP28" s="18">
        <f t="shared" si="71"/>
        <v>3</v>
      </c>
      <c r="EQ28" s="192"/>
      <c r="ER28" s="192"/>
      <c r="ES28" s="355">
        <f t="shared" si="18"/>
        <v>23</v>
      </c>
      <c r="ET28"/>
      <c r="EU28"/>
      <c r="EV28"/>
      <c r="EW28"/>
      <c r="EX28"/>
      <c r="EY28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s="4" customFormat="1" ht="11.45" customHeight="1" outlineLevel="1">
      <c r="A29" s="15"/>
      <c r="B29" s="308" t="s">
        <v>236</v>
      </c>
      <c r="C29" s="127"/>
      <c r="D29" s="127"/>
      <c r="E29" s="127">
        <f t="shared" ref="E29:M29" si="72">E15+E22</f>
        <v>111.19100000000003</v>
      </c>
      <c r="F29" s="127">
        <f t="shared" si="72"/>
        <v>109.27099999999999</v>
      </c>
      <c r="G29" s="127">
        <f t="shared" si="72"/>
        <v>107.37799999999999</v>
      </c>
      <c r="H29" s="127">
        <f t="shared" si="72"/>
        <v>157.88900000000001</v>
      </c>
      <c r="I29" s="127">
        <f t="shared" si="72"/>
        <v>230.32800000000003</v>
      </c>
      <c r="J29" s="127">
        <f t="shared" si="72"/>
        <v>245.97100000000006</v>
      </c>
      <c r="K29" s="127">
        <f t="shared" si="72"/>
        <v>224.23200000000003</v>
      </c>
      <c r="L29" s="127">
        <f t="shared" si="72"/>
        <v>282.18899999999996</v>
      </c>
      <c r="M29" s="127">
        <f t="shared" si="72"/>
        <v>377.78399999999999</v>
      </c>
      <c r="N29" s="127">
        <f>N15+N22</f>
        <v>150.67500000000001</v>
      </c>
      <c r="O29" s="127">
        <f t="shared" ref="O29:AF29" si="73">O15+O22</f>
        <v>161.79399999999998</v>
      </c>
      <c r="P29" s="127">
        <f t="shared" si="73"/>
        <v>171.34000000000003</v>
      </c>
      <c r="Q29" s="127">
        <f t="shared" si="73"/>
        <v>316.49500000000012</v>
      </c>
      <c r="R29" s="127">
        <f t="shared" si="73"/>
        <v>563.25</v>
      </c>
      <c r="S29" s="127">
        <f t="shared" si="73"/>
        <v>767.40399999999954</v>
      </c>
      <c r="T29" s="127">
        <f t="shared" si="73"/>
        <v>949.87699999999995</v>
      </c>
      <c r="U29" s="127">
        <f t="shared" si="73"/>
        <v>882.48</v>
      </c>
      <c r="V29" s="127">
        <f t="shared" si="73"/>
        <v>802.60300000000007</v>
      </c>
      <c r="W29" s="127">
        <f t="shared" si="73"/>
        <v>1114.8659999999998</v>
      </c>
      <c r="X29" s="127">
        <f t="shared" si="73"/>
        <v>1401.2920000000001</v>
      </c>
      <c r="Y29" s="127">
        <f t="shared" si="73"/>
        <v>1518.4063999999994</v>
      </c>
      <c r="Z29" s="127">
        <f t="shared" si="73"/>
        <v>1699.8931920000005</v>
      </c>
      <c r="AA29" s="127">
        <f t="shared" si="73"/>
        <v>1239.389932</v>
      </c>
      <c r="AB29" s="127">
        <f t="shared" si="73"/>
        <v>545.08911100000023</v>
      </c>
      <c r="AC29" s="127">
        <f t="shared" si="73"/>
        <v>518.16473599999972</v>
      </c>
      <c r="AD29" s="127">
        <f t="shared" si="73"/>
        <v>782.54364818955764</v>
      </c>
      <c r="AE29" s="127">
        <f t="shared" si="73"/>
        <v>1021.3900972201932</v>
      </c>
      <c r="AF29" s="127">
        <f t="shared" si="73"/>
        <v>1100.6084586072404</v>
      </c>
      <c r="AG29" s="307"/>
      <c r="AH29" s="306">
        <f t="shared" ref="AH29:BR29" si="74">AH15+AH22</f>
        <v>31.349999999999994</v>
      </c>
      <c r="AI29" s="306">
        <f t="shared" si="74"/>
        <v>31.045000000000002</v>
      </c>
      <c r="AJ29" s="306">
        <f t="shared" si="74"/>
        <v>25.655000000000001</v>
      </c>
      <c r="AK29" s="306">
        <f t="shared" si="74"/>
        <v>23.14100000000002</v>
      </c>
      <c r="AL29" s="306">
        <f t="shared" si="74"/>
        <v>30.133000000000003</v>
      </c>
      <c r="AM29" s="306">
        <f t="shared" si="74"/>
        <v>29.919999999999995</v>
      </c>
      <c r="AN29" s="306">
        <f t="shared" si="74"/>
        <v>25.100000000000009</v>
      </c>
      <c r="AO29" s="306">
        <f t="shared" si="74"/>
        <v>24.117999999999967</v>
      </c>
      <c r="AP29" s="306">
        <f t="shared" si="74"/>
        <v>27.307000000000009</v>
      </c>
      <c r="AQ29" s="306">
        <f t="shared" si="74"/>
        <v>28.016999999999996</v>
      </c>
      <c r="AR29" s="306">
        <f t="shared" si="74"/>
        <v>26.687999999999995</v>
      </c>
      <c r="AS29" s="306">
        <f t="shared" si="74"/>
        <v>25.365999999999985</v>
      </c>
      <c r="AT29" s="306">
        <f t="shared" si="74"/>
        <v>33.997000000000007</v>
      </c>
      <c r="AU29" s="306">
        <f t="shared" si="74"/>
        <v>39.03</v>
      </c>
      <c r="AV29" s="306">
        <f t="shared" si="74"/>
        <v>42.867999999999995</v>
      </c>
      <c r="AW29" s="306">
        <f t="shared" si="74"/>
        <v>41.994000000000028</v>
      </c>
      <c r="AX29" s="306">
        <f t="shared" si="74"/>
        <v>52.826000000000001</v>
      </c>
      <c r="AY29" s="306">
        <f t="shared" si="74"/>
        <v>60.366</v>
      </c>
      <c r="AZ29" s="306">
        <f t="shared" si="74"/>
        <v>56.097999999999999</v>
      </c>
      <c r="BA29" s="306">
        <f t="shared" si="74"/>
        <v>61.038000000000068</v>
      </c>
      <c r="BB29" s="306">
        <f t="shared" si="74"/>
        <v>67.622</v>
      </c>
      <c r="BC29" s="306">
        <f t="shared" si="74"/>
        <v>59.44</v>
      </c>
      <c r="BD29" s="306">
        <f t="shared" si="74"/>
        <v>61.925999999999988</v>
      </c>
      <c r="BE29" s="306">
        <f t="shared" si="74"/>
        <v>56.983000000000118</v>
      </c>
      <c r="BF29" s="306">
        <f t="shared" si="74"/>
        <v>55.903999999999996</v>
      </c>
      <c r="BG29" s="306">
        <f t="shared" si="74"/>
        <v>57.751000000000005</v>
      </c>
      <c r="BH29" s="306">
        <f t="shared" si="74"/>
        <v>55.395999999999987</v>
      </c>
      <c r="BI29" s="306">
        <f t="shared" si="74"/>
        <v>55.18100000000004</v>
      </c>
      <c r="BJ29" s="306">
        <f t="shared" si="74"/>
        <v>58.496999999999986</v>
      </c>
      <c r="BK29" s="306">
        <f t="shared" si="74"/>
        <v>64.52600000000001</v>
      </c>
      <c r="BL29" s="306">
        <f t="shared" si="74"/>
        <v>72.635999999999996</v>
      </c>
      <c r="BM29" s="306">
        <f t="shared" si="74"/>
        <v>86.529999999999987</v>
      </c>
      <c r="BN29" s="306">
        <f t="shared" si="74"/>
        <v>95.701999999999984</v>
      </c>
      <c r="BO29" s="306">
        <f t="shared" si="74"/>
        <v>111.74100000000001</v>
      </c>
      <c r="BP29" s="306">
        <f t="shared" si="74"/>
        <v>101.453</v>
      </c>
      <c r="BQ29" s="306">
        <f t="shared" si="74"/>
        <v>68.887999999999991</v>
      </c>
      <c r="BR29" s="306">
        <f t="shared" si="74"/>
        <v>46.403999999999996</v>
      </c>
      <c r="BS29" s="306">
        <f t="shared" ref="BS29:CX29" si="75">BS15+BS22</f>
        <v>33.338999999999999</v>
      </c>
      <c r="BT29" s="306">
        <f t="shared" si="75"/>
        <v>33.893000000000001</v>
      </c>
      <c r="BU29" s="306">
        <f t="shared" si="75"/>
        <v>37.039000000000001</v>
      </c>
      <c r="BV29" s="306">
        <f t="shared" si="75"/>
        <v>31.448000000000008</v>
      </c>
      <c r="BW29" s="306">
        <f t="shared" si="75"/>
        <v>38.106000000000009</v>
      </c>
      <c r="BX29" s="306">
        <f t="shared" si="75"/>
        <v>47.832999999999998</v>
      </c>
      <c r="BY29" s="306">
        <f t="shared" si="75"/>
        <v>44.406999999999996</v>
      </c>
      <c r="BZ29" s="127">
        <f t="shared" si="75"/>
        <v>40.49199999999999</v>
      </c>
      <c r="CA29" s="127">
        <f t="shared" si="75"/>
        <v>38.073999999999998</v>
      </c>
      <c r="CB29" s="127">
        <f t="shared" si="75"/>
        <v>42.129000000000005</v>
      </c>
      <c r="CC29" s="127">
        <f t="shared" si="75"/>
        <v>50.64500000000001</v>
      </c>
      <c r="CD29" s="127">
        <f t="shared" si="75"/>
        <v>63.427000000000007</v>
      </c>
      <c r="CE29" s="127">
        <f t="shared" si="75"/>
        <v>71.129000000000019</v>
      </c>
      <c r="CF29" s="127">
        <f t="shared" si="75"/>
        <v>85.917000000000002</v>
      </c>
      <c r="CG29" s="127">
        <f t="shared" si="75"/>
        <v>96.02200000000002</v>
      </c>
      <c r="CH29" s="127">
        <f t="shared" si="75"/>
        <v>114.792</v>
      </c>
      <c r="CI29" s="127">
        <f t="shared" si="75"/>
        <v>134.02999999999997</v>
      </c>
      <c r="CJ29" s="127">
        <f t="shared" si="75"/>
        <v>150.36700000000005</v>
      </c>
      <c r="CK29" s="127">
        <f t="shared" si="75"/>
        <v>164.06100000000004</v>
      </c>
      <c r="CL29" s="127">
        <f t="shared" si="75"/>
        <v>186.93199999999999</v>
      </c>
      <c r="CM29" s="127">
        <f t="shared" si="75"/>
        <v>173.07999999999996</v>
      </c>
      <c r="CN29" s="127">
        <f t="shared" si="75"/>
        <v>192.24899999999994</v>
      </c>
      <c r="CO29" s="127">
        <f t="shared" si="75"/>
        <v>215.143</v>
      </c>
      <c r="CP29" s="127">
        <f t="shared" si="75"/>
        <v>220.86800000000008</v>
      </c>
      <c r="CQ29" s="127">
        <f t="shared" si="75"/>
        <v>219.68599999999995</v>
      </c>
      <c r="CR29" s="127">
        <f t="shared" si="75"/>
        <v>248.34900000000005</v>
      </c>
      <c r="CS29" s="127">
        <f t="shared" si="75"/>
        <v>260.97399999999993</v>
      </c>
      <c r="CT29" s="127">
        <f t="shared" si="75"/>
        <v>292.82600000000002</v>
      </c>
      <c r="CU29" s="127">
        <f t="shared" si="75"/>
        <v>257.00599999999997</v>
      </c>
      <c r="CV29" s="127">
        <f t="shared" si="75"/>
        <v>167.42800000000005</v>
      </c>
      <c r="CW29" s="127">
        <f t="shared" si="75"/>
        <v>165.22000000000003</v>
      </c>
      <c r="CX29" s="127">
        <f t="shared" si="75"/>
        <v>187.15000000000006</v>
      </c>
      <c r="CY29" s="127">
        <f t="shared" ref="CY29:EC29" si="76">CY15+CY22</f>
        <v>187.89299999999994</v>
      </c>
      <c r="CZ29" s="127">
        <f t="shared" si="76"/>
        <v>197.80099999999999</v>
      </c>
      <c r="DA29" s="127">
        <f t="shared" si="76"/>
        <v>229.75900000000001</v>
      </c>
      <c r="DB29" s="127">
        <f t="shared" si="76"/>
        <v>264.59599999999995</v>
      </c>
      <c r="DC29" s="127">
        <f t="shared" si="76"/>
        <v>264.36699999999996</v>
      </c>
      <c r="DD29" s="127">
        <f t="shared" si="76"/>
        <v>282.08299999999991</v>
      </c>
      <c r="DE29" s="127">
        <f t="shared" si="76"/>
        <v>303.82</v>
      </c>
      <c r="DF29" s="127">
        <f t="shared" si="76"/>
        <v>341.5560000000001</v>
      </c>
      <c r="DG29" s="127">
        <f t="shared" si="76"/>
        <v>321.77399999999994</v>
      </c>
      <c r="DH29" s="127">
        <f t="shared" si="76"/>
        <v>355.84999999999985</v>
      </c>
      <c r="DI29" s="127">
        <f t="shared" si="76"/>
        <v>382.11200000000002</v>
      </c>
      <c r="DJ29" s="127">
        <f t="shared" si="76"/>
        <v>377.70099999999991</v>
      </c>
      <c r="DK29" s="127">
        <f t="shared" si="76"/>
        <v>376.57200000000006</v>
      </c>
      <c r="DL29" s="127">
        <f t="shared" si="76"/>
        <v>389.20699999999999</v>
      </c>
      <c r="DM29" s="127">
        <f t="shared" si="76"/>
        <v>374.9264</v>
      </c>
      <c r="DN29" s="127">
        <f t="shared" si="76"/>
        <v>405.20219199999997</v>
      </c>
      <c r="DO29" s="127">
        <f t="shared" si="76"/>
        <v>413.26300000000009</v>
      </c>
      <c r="DP29" s="127">
        <f t="shared" si="76"/>
        <v>436.84799999999984</v>
      </c>
      <c r="DQ29" s="127">
        <f t="shared" si="76"/>
        <v>444.58000000000004</v>
      </c>
      <c r="DR29" s="127">
        <f t="shared" si="76"/>
        <v>479.34199999999998</v>
      </c>
      <c r="DS29" s="127">
        <f t="shared" si="76"/>
        <v>342.03970800000002</v>
      </c>
      <c r="DT29" s="127">
        <f t="shared" si="76"/>
        <v>223.51817899999998</v>
      </c>
      <c r="DU29" s="127">
        <f t="shared" si="76"/>
        <v>194.4900449999999</v>
      </c>
      <c r="DV29" s="127">
        <f t="shared" si="76"/>
        <v>190.83193500000004</v>
      </c>
      <c r="DW29" s="127">
        <f t="shared" si="76"/>
        <v>138.72051299999998</v>
      </c>
      <c r="DX29" s="127">
        <f t="shared" si="76"/>
        <v>104.27943000000005</v>
      </c>
      <c r="DY29" s="127">
        <f t="shared" si="76"/>
        <v>111.25723300000001</v>
      </c>
      <c r="DZ29" s="127">
        <f t="shared" si="76"/>
        <v>108.77701000000002</v>
      </c>
      <c r="EA29" s="127">
        <f t="shared" si="76"/>
        <v>102.489802</v>
      </c>
      <c r="EB29" s="127">
        <f t="shared" ref="EB29" si="77">EB15+EB22</f>
        <v>146.51410400000003</v>
      </c>
      <c r="EC29" s="127">
        <f t="shared" si="76"/>
        <v>160.3838199999999</v>
      </c>
      <c r="ED29" s="127">
        <f t="shared" ref="ED29" si="78">ED15+ED22</f>
        <v>186.72565399999991</v>
      </c>
      <c r="EE29" s="127">
        <f t="shared" ref="EE29:EP29" si="79">EE15+EE22</f>
        <v>179.60603605</v>
      </c>
      <c r="EF29" s="127">
        <f t="shared" si="79"/>
        <v>195.42395331149993</v>
      </c>
      <c r="EG29" s="127">
        <f t="shared" si="79"/>
        <v>220.78800482805752</v>
      </c>
      <c r="EH29" s="127">
        <f t="shared" si="79"/>
        <v>237.78736735219775</v>
      </c>
      <c r="EI29" s="127">
        <f t="shared" si="79"/>
        <v>252.72021138895877</v>
      </c>
      <c r="EJ29" s="127">
        <f t="shared" si="79"/>
        <v>261.68739244590358</v>
      </c>
      <c r="EK29" s="127">
        <f t="shared" si="79"/>
        <v>269.19512603313302</v>
      </c>
      <c r="EL29" s="127">
        <f t="shared" si="79"/>
        <v>280.31103766329886</v>
      </c>
      <c r="EM29" s="127">
        <f t="shared" si="79"/>
        <v>274.90585285161524</v>
      </c>
      <c r="EN29" s="127">
        <f t="shared" si="79"/>
        <v>272.46977211587347</v>
      </c>
      <c r="EO29" s="127">
        <f t="shared" si="79"/>
        <v>272.9217959764527</v>
      </c>
      <c r="EP29" s="127">
        <f t="shared" si="79"/>
        <v>270.45892495633484</v>
      </c>
      <c r="EQ29" s="192"/>
      <c r="ER29" s="192"/>
      <c r="ES29" s="355">
        <f t="shared" si="18"/>
        <v>24</v>
      </c>
      <c r="ET29"/>
      <c r="EU29"/>
      <c r="EV29"/>
      <c r="EW29"/>
      <c r="EX29"/>
      <c r="EY29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s="4" customFormat="1" ht="11.45" customHeight="1" outlineLevel="1">
      <c r="A30" s="15"/>
      <c r="B30" s="14" t="s">
        <v>235</v>
      </c>
      <c r="C30" s="18"/>
      <c r="D30" s="18"/>
      <c r="E30" s="18">
        <f>SUM(AH30:AK30)</f>
        <v>-6.82</v>
      </c>
      <c r="F30" s="18">
        <f>SUM(AL30:AO30)</f>
        <v>-8.9079999999999995</v>
      </c>
      <c r="G30" s="18">
        <f>SUM(AP30:AS30)</f>
        <v>-8.8010000000000002</v>
      </c>
      <c r="H30" s="18">
        <f>SUM(AT30:AW30)</f>
        <v>-9.0830000000000002</v>
      </c>
      <c r="I30" s="18">
        <f>SUM(AX30:BA30)</f>
        <v>-9.3460000000000001</v>
      </c>
      <c r="J30" s="18">
        <f>SUM(BB30:BE30)</f>
        <v>-11.762</v>
      </c>
      <c r="K30" s="18">
        <f>SUM(BF30:BI30)</f>
        <v>-14.198</v>
      </c>
      <c r="L30" s="18">
        <f>SUM(BJ30:BM30)</f>
        <v>-11.577999999999999</v>
      </c>
      <c r="M30" s="18">
        <f>SUM(BN30:BQ30)</f>
        <v>-14.981000000000002</v>
      </c>
      <c r="N30" s="18">
        <f>SUM(BR30:BU30)</f>
        <v>-25.513999999999999</v>
      </c>
      <c r="O30" s="18">
        <f t="shared" ref="O30:X31" si="80">SUMIF($AH$5:$ER$5,O$5,$AH30:$ER30)</f>
        <v>-41.003</v>
      </c>
      <c r="P30" s="18">
        <f t="shared" si="80"/>
        <v>-37.660999999999994</v>
      </c>
      <c r="Q30" s="18">
        <f t="shared" si="80"/>
        <v>-41.015000000000001</v>
      </c>
      <c r="R30" s="18">
        <f t="shared" si="80"/>
        <v>-51.873000000000005</v>
      </c>
      <c r="S30" s="18">
        <f t="shared" si="80"/>
        <v>-47.401000000000003</v>
      </c>
      <c r="T30" s="18">
        <f t="shared" si="80"/>
        <v>-57.058999999999997</v>
      </c>
      <c r="U30" s="18">
        <f t="shared" si="80"/>
        <v>-59.413000000000004</v>
      </c>
      <c r="V30" s="18">
        <f t="shared" si="80"/>
        <v>-81.985000000000014</v>
      </c>
      <c r="W30" s="18">
        <f t="shared" si="80"/>
        <v>-84.811999999999998</v>
      </c>
      <c r="X30" s="18">
        <f t="shared" si="80"/>
        <v>-107.30700000000002</v>
      </c>
      <c r="Y30" s="18">
        <f t="shared" ref="Y30:AF31" si="81">SUMIF($AH$5:$ER$5,Y$5,$AH30:$ER30)</f>
        <v>-126.25</v>
      </c>
      <c r="Z30" s="18">
        <f t="shared" si="81"/>
        <v>-135.13900000000001</v>
      </c>
      <c r="AA30" s="18">
        <f t="shared" si="81"/>
        <v>-134.90600000000001</v>
      </c>
      <c r="AB30" s="18">
        <f t="shared" si="81"/>
        <v>-139.21199999999999</v>
      </c>
      <c r="AC30" s="18">
        <f t="shared" si="81"/>
        <v>-147.52769599999999</v>
      </c>
      <c r="AD30" s="18">
        <f t="shared" si="81"/>
        <v>-181.548</v>
      </c>
      <c r="AE30" s="18">
        <f t="shared" si="81"/>
        <v>-184.54522545000003</v>
      </c>
      <c r="AF30" s="18">
        <f t="shared" si="81"/>
        <v>-192.03850162962408</v>
      </c>
      <c r="AG30" s="96"/>
      <c r="AH30" s="57">
        <v>-1.7669999999999999</v>
      </c>
      <c r="AI30" s="57">
        <v>-1.7490000000000001</v>
      </c>
      <c r="AJ30" s="57">
        <v>-1.704</v>
      </c>
      <c r="AK30" s="57">
        <f>-6.82-SUM(AH30:AJ30)</f>
        <v>-1.6000000000000005</v>
      </c>
      <c r="AL30" s="57">
        <v>-2.6819999999999999</v>
      </c>
      <c r="AM30" s="57">
        <v>-2.2410000000000001</v>
      </c>
      <c r="AN30" s="57">
        <v>-1.8420000000000001</v>
      </c>
      <c r="AO30" s="57">
        <f>-8.908-SUM(AL30:AN30)</f>
        <v>-2.1429999999999989</v>
      </c>
      <c r="AP30" s="57">
        <v>-2.0939999999999999</v>
      </c>
      <c r="AQ30" s="57">
        <v>-2.6909999999999998</v>
      </c>
      <c r="AR30" s="57">
        <v>-2.0369999999999999</v>
      </c>
      <c r="AS30" s="57">
        <f>-8.801-SUM(AP30:AR30)</f>
        <v>-1.9790000000000001</v>
      </c>
      <c r="AT30" s="57">
        <v>-2.3479999999999999</v>
      </c>
      <c r="AU30" s="57">
        <v>-2.7040000000000002</v>
      </c>
      <c r="AV30" s="57">
        <v>-1.9179999999999999</v>
      </c>
      <c r="AW30" s="57">
        <f>-9.083-SUM(AT30:AV30)</f>
        <v>-2.1130000000000004</v>
      </c>
      <c r="AX30" s="57">
        <v>-2.2589999999999999</v>
      </c>
      <c r="AY30" s="57">
        <v>-2.9449999999999998</v>
      </c>
      <c r="AZ30" s="57">
        <v>-1.946</v>
      </c>
      <c r="BA30" s="57">
        <f>-9.346-SUM(AX30:AZ30)</f>
        <v>-2.1960000000000006</v>
      </c>
      <c r="BB30" s="57">
        <v>-2.556</v>
      </c>
      <c r="BC30" s="57">
        <v>-3.839</v>
      </c>
      <c r="BD30" s="57">
        <v>-2.4060000000000001</v>
      </c>
      <c r="BE30" s="57">
        <f>-11.762-SUM(BB30:BD30)</f>
        <v>-2.9610000000000003</v>
      </c>
      <c r="BF30" s="57">
        <v>-3.59</v>
      </c>
      <c r="BG30" s="57">
        <v>-4.5270000000000001</v>
      </c>
      <c r="BH30" s="57">
        <v>-3.2959999999999998</v>
      </c>
      <c r="BI30" s="57">
        <f>-14.198-SUM(BF30:BH30)</f>
        <v>-2.7850000000000001</v>
      </c>
      <c r="BJ30" s="57">
        <v>-2.8210000000000002</v>
      </c>
      <c r="BK30" s="57">
        <v>-3.3340000000000001</v>
      </c>
      <c r="BL30" s="57">
        <v>-2.4660000000000002</v>
      </c>
      <c r="BM30" s="57">
        <v>-2.9569999999999999</v>
      </c>
      <c r="BN30" s="57">
        <v>-3.5670000000000002</v>
      </c>
      <c r="BO30" s="57">
        <v>-4.6459999999999999</v>
      </c>
      <c r="BP30" s="57">
        <v>-3.4489999999999998</v>
      </c>
      <c r="BQ30" s="57">
        <v>-3.319</v>
      </c>
      <c r="BR30" s="57">
        <v>-4.4829999999999997</v>
      </c>
      <c r="BS30" s="57">
        <v>-6.117</v>
      </c>
      <c r="BT30" s="57">
        <v>-4.5910000000000002</v>
      </c>
      <c r="BU30" s="57">
        <v>-10.323</v>
      </c>
      <c r="BV30" s="57">
        <v>-10.98</v>
      </c>
      <c r="BW30" s="57">
        <v>-11.536</v>
      </c>
      <c r="BX30" s="57">
        <v>-9.3680000000000003</v>
      </c>
      <c r="BY30" s="57">
        <v>-9.1189999999999998</v>
      </c>
      <c r="BZ30" s="57">
        <v>-9.1020000000000003</v>
      </c>
      <c r="CA30" s="57">
        <v>-9.7889999999999997</v>
      </c>
      <c r="CB30" s="57">
        <v>-9.516</v>
      </c>
      <c r="CC30" s="57">
        <v>-9.2539999999999996</v>
      </c>
      <c r="CD30" s="57">
        <v>-9.2460000000000004</v>
      </c>
      <c r="CE30" s="57">
        <v>-9.593</v>
      </c>
      <c r="CF30" s="57">
        <v>-11.68</v>
      </c>
      <c r="CG30" s="57">
        <v>-10.496</v>
      </c>
      <c r="CH30" s="57">
        <v>-11.938000000000001</v>
      </c>
      <c r="CI30" s="57">
        <v>-13.957000000000001</v>
      </c>
      <c r="CJ30" s="57">
        <v>-13.048999999999999</v>
      </c>
      <c r="CK30" s="57">
        <v>-12.929</v>
      </c>
      <c r="CL30" s="57">
        <v>-10.613</v>
      </c>
      <c r="CM30" s="57">
        <v>-13.35</v>
      </c>
      <c r="CN30" s="57">
        <v>-11.538</v>
      </c>
      <c r="CO30" s="57">
        <v>-11.9</v>
      </c>
      <c r="CP30" s="57">
        <v>-13.903</v>
      </c>
      <c r="CQ30" s="57">
        <v>-14.09</v>
      </c>
      <c r="CR30" s="57">
        <v>-14.723000000000001</v>
      </c>
      <c r="CS30" s="57">
        <v>-14.343</v>
      </c>
      <c r="CT30" s="57">
        <v>-15.148</v>
      </c>
      <c r="CU30" s="57">
        <v>-16.434000000000001</v>
      </c>
      <c r="CV30" s="57">
        <v>-14.225</v>
      </c>
      <c r="CW30" s="57">
        <v>-13.606</v>
      </c>
      <c r="CX30" s="57">
        <v>-20.844000000000001</v>
      </c>
      <c r="CY30" s="57">
        <v>-20.844000000000001</v>
      </c>
      <c r="CZ30" s="57">
        <v>-20.114000000000001</v>
      </c>
      <c r="DA30" s="57">
        <v>-20.183</v>
      </c>
      <c r="DB30" s="57">
        <v>-19.888999999999999</v>
      </c>
      <c r="DC30" s="57">
        <f>-24.406+6.64</f>
        <v>-17.765999999999998</v>
      </c>
      <c r="DD30" s="57">
        <v>-24.071000000000002</v>
      </c>
      <c r="DE30" s="57">
        <v>-23.085999999999999</v>
      </c>
      <c r="DF30" s="57">
        <v>-26.163</v>
      </c>
      <c r="DG30" s="57">
        <v>-27.805</v>
      </c>
      <c r="DH30" s="57">
        <v>-25.576000000000001</v>
      </c>
      <c r="DI30" s="57">
        <v>-27.763000000000002</v>
      </c>
      <c r="DJ30" s="57">
        <v>-32.420999999999999</v>
      </c>
      <c r="DK30" s="57">
        <v>-32.835999999999999</v>
      </c>
      <c r="DL30" s="57">
        <v>-31.09</v>
      </c>
      <c r="DM30" s="57">
        <v>-29.902999999999999</v>
      </c>
      <c r="DN30" s="57">
        <v>-32.243000000000002</v>
      </c>
      <c r="DO30" s="57">
        <v>-34.430999999999997</v>
      </c>
      <c r="DP30" s="57">
        <v>-34.222000000000001</v>
      </c>
      <c r="DQ30" s="57">
        <v>-34.243000000000002</v>
      </c>
      <c r="DR30" s="57">
        <v>-32.906999999999996</v>
      </c>
      <c r="DS30" s="57">
        <f>-34.902</f>
        <v>-34.902000000000001</v>
      </c>
      <c r="DT30" s="57">
        <v>-29.404</v>
      </c>
      <c r="DU30" s="57">
        <v>-37.692999999999998</v>
      </c>
      <c r="DV30" s="57">
        <v>-32.073999999999998</v>
      </c>
      <c r="DW30" s="57">
        <v>-33.811</v>
      </c>
      <c r="DX30" s="57">
        <f>-46.496+6.971</f>
        <v>-39.525000000000006</v>
      </c>
      <c r="DY30" s="57">
        <v>-33.802</v>
      </c>
      <c r="DZ30" s="57">
        <v>-34.262</v>
      </c>
      <c r="EA30" s="57">
        <v>-33.518999999999998</v>
      </c>
      <c r="EB30" s="57">
        <f>-42.89+(0.02*EB58)/(1-0.375)</f>
        <v>-39.415695999999997</v>
      </c>
      <c r="EC30" s="57">
        <v>-40.331000000000003</v>
      </c>
      <c r="ED30" s="57">
        <f>-46.548</f>
        <v>-46.548000000000002</v>
      </c>
      <c r="EE30" s="57">
        <v>-45</v>
      </c>
      <c r="EF30" s="57">
        <v>-45</v>
      </c>
      <c r="EG30" s="57">
        <v>-45</v>
      </c>
      <c r="EH30" s="57">
        <f t="shared" ref="EH30:EP30" si="82">+EG30*1.01</f>
        <v>-45.45</v>
      </c>
      <c r="EI30" s="57">
        <f t="shared" si="82"/>
        <v>-45.904500000000006</v>
      </c>
      <c r="EJ30" s="57">
        <f t="shared" si="82"/>
        <v>-46.363545000000009</v>
      </c>
      <c r="EK30" s="57">
        <f t="shared" si="82"/>
        <v>-46.827180450000007</v>
      </c>
      <c r="EL30" s="57">
        <f t="shared" si="82"/>
        <v>-47.295452254500006</v>
      </c>
      <c r="EM30" s="57">
        <f t="shared" si="82"/>
        <v>-47.768406777045008</v>
      </c>
      <c r="EN30" s="57">
        <f t="shared" si="82"/>
        <v>-48.246090844815456</v>
      </c>
      <c r="EO30" s="57">
        <f t="shared" si="82"/>
        <v>-48.728551753263609</v>
      </c>
      <c r="EP30" s="57">
        <f t="shared" si="82"/>
        <v>-49.215837270796243</v>
      </c>
      <c r="EQ30" s="192"/>
      <c r="ER30" s="192"/>
      <c r="ES30" s="355">
        <f t="shared" si="18"/>
        <v>25</v>
      </c>
      <c r="ET30"/>
      <c r="EU30"/>
      <c r="EV30"/>
      <c r="EW30"/>
      <c r="EX30"/>
      <c r="EY30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s="4" customFormat="1" ht="11.45" customHeight="1" outlineLevel="1">
      <c r="A31" s="15"/>
      <c r="B31" s="14" t="s">
        <v>234</v>
      </c>
      <c r="C31" s="18"/>
      <c r="D31" s="18"/>
      <c r="E31" s="18">
        <f>SUM(AH31:AK31)</f>
        <v>0</v>
      </c>
      <c r="F31" s="18">
        <f>SUM(AL31:AO31)</f>
        <v>0</v>
      </c>
      <c r="G31" s="18">
        <f>SUM(AP31:AS31)</f>
        <v>0</v>
      </c>
      <c r="H31" s="18">
        <f>SUM(AT31:AW31)</f>
        <v>0</v>
      </c>
      <c r="I31" s="18">
        <f>SUM(AX31:BA31)</f>
        <v>0</v>
      </c>
      <c r="J31" s="18">
        <f>SUM(BB31:BE31)</f>
        <v>0</v>
      </c>
      <c r="K31" s="18">
        <f>SUM(BF31:BI31)</f>
        <v>0</v>
      </c>
      <c r="L31" s="18">
        <f>SUM(BJ31:BM31)</f>
        <v>0</v>
      </c>
      <c r="M31" s="18">
        <f>SUM(BN31:BQ31)</f>
        <v>0</v>
      </c>
      <c r="N31" s="18">
        <f>SUM(BR31:BU31)</f>
        <v>0</v>
      </c>
      <c r="O31" s="18">
        <f t="shared" si="80"/>
        <v>0</v>
      </c>
      <c r="P31" s="18">
        <f t="shared" si="80"/>
        <v>0</v>
      </c>
      <c r="Q31" s="18">
        <f t="shared" si="80"/>
        <v>0</v>
      </c>
      <c r="R31" s="18">
        <f t="shared" si="80"/>
        <v>0</v>
      </c>
      <c r="S31" s="18">
        <f t="shared" si="80"/>
        <v>0</v>
      </c>
      <c r="T31" s="18">
        <f t="shared" si="80"/>
        <v>-1.833</v>
      </c>
      <c r="U31" s="18">
        <f t="shared" si="80"/>
        <v>-9.6710000000000012</v>
      </c>
      <c r="V31" s="18">
        <f t="shared" si="80"/>
        <v>-12.262</v>
      </c>
      <c r="W31" s="18">
        <f t="shared" si="80"/>
        <v>-15.763999999999999</v>
      </c>
      <c r="X31" s="18">
        <f t="shared" si="80"/>
        <v>-16.060000000000002</v>
      </c>
      <c r="Y31" s="18">
        <f t="shared" si="81"/>
        <v>-15.235000000000001</v>
      </c>
      <c r="Z31" s="18">
        <f t="shared" si="81"/>
        <v>-15.904999999999998</v>
      </c>
      <c r="AA31" s="18">
        <f t="shared" si="81"/>
        <v>-16.103999999999999</v>
      </c>
      <c r="AB31" s="18">
        <f t="shared" si="81"/>
        <v>-10.269</v>
      </c>
      <c r="AC31" s="18">
        <f t="shared" si="81"/>
        <v>-12.046999999999999</v>
      </c>
      <c r="AD31" s="18">
        <f t="shared" si="81"/>
        <v>-13.131336833999999</v>
      </c>
      <c r="AE31" s="18">
        <f t="shared" si="81"/>
        <v>-13.664521766121107</v>
      </c>
      <c r="AF31" s="18">
        <f t="shared" si="81"/>
        <v>-14.219356144557906</v>
      </c>
      <c r="AG31" s="96"/>
      <c r="AH31" s="57"/>
      <c r="AI31" s="57"/>
      <c r="AJ31" s="57"/>
      <c r="AK31" s="57">
        <f>0-SUM(AH31:AJ31)</f>
        <v>0</v>
      </c>
      <c r="AL31" s="57"/>
      <c r="AM31" s="57"/>
      <c r="AN31" s="57"/>
      <c r="AO31" s="57">
        <f>0-SUM(AL31:AN31)</f>
        <v>0</v>
      </c>
      <c r="AP31" s="57">
        <v>0</v>
      </c>
      <c r="AQ31" s="57">
        <v>0</v>
      </c>
      <c r="AR31" s="57">
        <v>0</v>
      </c>
      <c r="AS31" s="57">
        <f>0-SUM(AP31:AR31)</f>
        <v>0</v>
      </c>
      <c r="AT31" s="57">
        <v>0</v>
      </c>
      <c r="AU31" s="57">
        <v>0</v>
      </c>
      <c r="AV31" s="57">
        <v>0</v>
      </c>
      <c r="AW31" s="57">
        <v>0</v>
      </c>
      <c r="AX31" s="57">
        <v>0</v>
      </c>
      <c r="AY31" s="57">
        <v>0</v>
      </c>
      <c r="AZ31" s="57">
        <v>0</v>
      </c>
      <c r="BA31" s="57">
        <v>0</v>
      </c>
      <c r="BB31" s="57">
        <v>0</v>
      </c>
      <c r="BC31" s="57">
        <v>0</v>
      </c>
      <c r="BD31" s="57">
        <v>0</v>
      </c>
      <c r="BE31" s="57">
        <v>0</v>
      </c>
      <c r="BF31" s="57">
        <v>0</v>
      </c>
      <c r="BG31" s="57">
        <v>0</v>
      </c>
      <c r="BH31" s="57">
        <v>0</v>
      </c>
      <c r="BI31" s="57">
        <v>0</v>
      </c>
      <c r="BJ31" s="57">
        <v>0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7">
        <v>0</v>
      </c>
      <c r="BQ31" s="57">
        <v>0</v>
      </c>
      <c r="BR31" s="57">
        <v>0</v>
      </c>
      <c r="BS31" s="57">
        <v>0</v>
      </c>
      <c r="BT31" s="57">
        <v>0</v>
      </c>
      <c r="BU31" s="57">
        <v>0</v>
      </c>
      <c r="BV31" s="57">
        <v>0</v>
      </c>
      <c r="BW31" s="57">
        <v>0</v>
      </c>
      <c r="BX31" s="57">
        <v>0</v>
      </c>
      <c r="BY31" s="57">
        <v>0</v>
      </c>
      <c r="BZ31" s="57">
        <v>0</v>
      </c>
      <c r="CA31" s="57">
        <v>0</v>
      </c>
      <c r="CB31" s="57">
        <v>0</v>
      </c>
      <c r="CC31" s="57">
        <v>0</v>
      </c>
      <c r="CD31" s="57">
        <v>0</v>
      </c>
      <c r="CE31" s="57">
        <v>0</v>
      </c>
      <c r="CF31" s="57">
        <v>0</v>
      </c>
      <c r="CG31" s="57">
        <v>0</v>
      </c>
      <c r="CH31" s="57">
        <v>0</v>
      </c>
      <c r="CI31" s="57">
        <v>0</v>
      </c>
      <c r="CJ31" s="57">
        <v>0</v>
      </c>
      <c r="CK31" s="57">
        <v>0</v>
      </c>
      <c r="CL31" s="57">
        <v>0</v>
      </c>
      <c r="CM31" s="57">
        <v>0</v>
      </c>
      <c r="CN31" s="57">
        <v>0</v>
      </c>
      <c r="CO31" s="57">
        <v>0</v>
      </c>
      <c r="CP31" s="57">
        <v>0</v>
      </c>
      <c r="CQ31" s="57">
        <v>0</v>
      </c>
      <c r="CR31" s="57">
        <f>-0.522</f>
        <v>-0.52200000000000002</v>
      </c>
      <c r="CS31" s="57">
        <v>-1.3109999999999999</v>
      </c>
      <c r="CT31" s="57">
        <v>-1.677</v>
      </c>
      <c r="CU31" s="57">
        <v>-2.1760000000000002</v>
      </c>
      <c r="CV31" s="57">
        <v>-2.7770000000000001</v>
      </c>
      <c r="CW31" s="57">
        <v>-3.0409999999999999</v>
      </c>
      <c r="CX31" s="57">
        <v>-1.8149999999999999</v>
      </c>
      <c r="CY31" s="57">
        <v>-3.3420000000000001</v>
      </c>
      <c r="CZ31" s="57">
        <v>-3.254</v>
      </c>
      <c r="DA31" s="57">
        <v>-3.851</v>
      </c>
      <c r="DB31" s="57">
        <v>-3.47</v>
      </c>
      <c r="DC31" s="57">
        <v>-3.64</v>
      </c>
      <c r="DD31" s="57">
        <v>-4.399</v>
      </c>
      <c r="DE31" s="57">
        <v>-4.2549999999999999</v>
      </c>
      <c r="DF31" s="57">
        <v>-3.2490000000000001</v>
      </c>
      <c r="DG31" s="57">
        <v>-3.83</v>
      </c>
      <c r="DH31" s="57">
        <v>-4.2990000000000004</v>
      </c>
      <c r="DI31" s="57">
        <v>-4.6820000000000004</v>
      </c>
      <c r="DJ31" s="57">
        <v>-3.3530000000000002</v>
      </c>
      <c r="DK31" s="57">
        <v>-3.6960000000000002</v>
      </c>
      <c r="DL31" s="57">
        <v>-4.3730000000000002</v>
      </c>
      <c r="DM31" s="57">
        <v>-3.8130000000000002</v>
      </c>
      <c r="DN31" s="57">
        <v>-4.2569999999999997</v>
      </c>
      <c r="DO31" s="57">
        <v>-3.625</v>
      </c>
      <c r="DP31" s="57">
        <v>-3.8639999999999999</v>
      </c>
      <c r="DQ31" s="57">
        <v>-4.1589999999999998</v>
      </c>
      <c r="DR31" s="57">
        <v>-4.1580000000000004</v>
      </c>
      <c r="DS31" s="57">
        <v>-4.8570000000000002</v>
      </c>
      <c r="DT31" s="57">
        <v>-3.3290000000000002</v>
      </c>
      <c r="DU31" s="57">
        <v>-3.76</v>
      </c>
      <c r="DV31" s="57">
        <v>-2.919</v>
      </c>
      <c r="DW31" s="57">
        <v>-2.3149999999999999</v>
      </c>
      <c r="DX31" s="57">
        <v>-2.7069999999999999</v>
      </c>
      <c r="DY31" s="57">
        <v>-2.3279999999999998</v>
      </c>
      <c r="DZ31" s="57">
        <v>-2.8079999999999998</v>
      </c>
      <c r="EA31" s="57">
        <f>-2.719</f>
        <v>-2.7189999999999999</v>
      </c>
      <c r="EB31" s="57">
        <f>-3.058</f>
        <v>-3.0579999999999998</v>
      </c>
      <c r="EC31" s="57">
        <v>-3.4620000000000002</v>
      </c>
      <c r="ED31" s="57">
        <v>-3.234</v>
      </c>
      <c r="EE31" s="57">
        <f t="shared" ref="EE31:EP31" si="83">+ED31*1.01</f>
        <v>-3.26634</v>
      </c>
      <c r="EF31" s="57">
        <f t="shared" si="83"/>
        <v>-3.2990034000000001</v>
      </c>
      <c r="EG31" s="57">
        <f t="shared" si="83"/>
        <v>-3.3319934340000001</v>
      </c>
      <c r="EH31" s="57">
        <f t="shared" si="83"/>
        <v>-3.3653133683400003</v>
      </c>
      <c r="EI31" s="57">
        <f t="shared" si="83"/>
        <v>-3.3989665020234003</v>
      </c>
      <c r="EJ31" s="57">
        <f t="shared" si="83"/>
        <v>-3.4329561670436344</v>
      </c>
      <c r="EK31" s="57">
        <f t="shared" si="83"/>
        <v>-3.4672857287140708</v>
      </c>
      <c r="EL31" s="57">
        <f t="shared" si="83"/>
        <v>-3.5019585860012117</v>
      </c>
      <c r="EM31" s="57">
        <f t="shared" si="83"/>
        <v>-3.5369781718612239</v>
      </c>
      <c r="EN31" s="57">
        <f t="shared" si="83"/>
        <v>-3.5723479535798361</v>
      </c>
      <c r="EO31" s="57">
        <f t="shared" si="83"/>
        <v>-3.6080714331156347</v>
      </c>
      <c r="EP31" s="57">
        <f t="shared" si="83"/>
        <v>-3.6441521474467913</v>
      </c>
      <c r="EQ31" s="192"/>
      <c r="ER31" s="192"/>
      <c r="ES31" s="355">
        <f t="shared" si="18"/>
        <v>26</v>
      </c>
      <c r="ET31"/>
      <c r="EU31"/>
      <c r="EV31"/>
      <c r="EW31"/>
      <c r="EX31"/>
      <c r="EY3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s="4" customFormat="1" ht="11.45" customHeight="1" outlineLevel="1">
      <c r="A32" s="15"/>
      <c r="B32" s="308" t="s">
        <v>152</v>
      </c>
      <c r="C32" s="127"/>
      <c r="D32" s="127"/>
      <c r="E32" s="127">
        <f t="shared" ref="E32:AF32" si="84">SUM(E29:E31)</f>
        <v>104.37100000000004</v>
      </c>
      <c r="F32" s="127">
        <f t="shared" si="84"/>
        <v>100.36299999999999</v>
      </c>
      <c r="G32" s="127">
        <f t="shared" si="84"/>
        <v>98.576999999999984</v>
      </c>
      <c r="H32" s="127">
        <f t="shared" si="84"/>
        <v>148.80600000000001</v>
      </c>
      <c r="I32" s="127">
        <f t="shared" si="84"/>
        <v>220.98200000000003</v>
      </c>
      <c r="J32" s="127">
        <f t="shared" si="84"/>
        <v>234.20900000000006</v>
      </c>
      <c r="K32" s="127">
        <f t="shared" si="84"/>
        <v>210.03400000000002</v>
      </c>
      <c r="L32" s="127">
        <f t="shared" si="84"/>
        <v>270.61099999999999</v>
      </c>
      <c r="M32" s="127">
        <f t="shared" si="84"/>
        <v>362.803</v>
      </c>
      <c r="N32" s="127">
        <f t="shared" si="84"/>
        <v>125.16100000000002</v>
      </c>
      <c r="O32" s="127">
        <f t="shared" si="84"/>
        <v>120.79099999999998</v>
      </c>
      <c r="P32" s="127">
        <f t="shared" si="84"/>
        <v>133.67900000000003</v>
      </c>
      <c r="Q32" s="127">
        <f t="shared" si="84"/>
        <v>275.48000000000013</v>
      </c>
      <c r="R32" s="127">
        <f t="shared" si="84"/>
        <v>511.37700000000001</v>
      </c>
      <c r="S32" s="127">
        <f t="shared" si="84"/>
        <v>720.00299999999959</v>
      </c>
      <c r="T32" s="127">
        <f t="shared" si="84"/>
        <v>890.98500000000001</v>
      </c>
      <c r="U32" s="127">
        <f t="shared" si="84"/>
        <v>813.39599999999996</v>
      </c>
      <c r="V32" s="127">
        <f t="shared" si="84"/>
        <v>708.35599999999999</v>
      </c>
      <c r="W32" s="127">
        <f t="shared" si="84"/>
        <v>1014.2899999999998</v>
      </c>
      <c r="X32" s="127">
        <f t="shared" si="84"/>
        <v>1277.9250000000002</v>
      </c>
      <c r="Y32" s="127">
        <f t="shared" si="84"/>
        <v>1376.9213999999995</v>
      </c>
      <c r="Z32" s="127">
        <f t="shared" si="84"/>
        <v>1548.8491920000004</v>
      </c>
      <c r="AA32" s="127">
        <f t="shared" si="84"/>
        <v>1088.3799320000001</v>
      </c>
      <c r="AB32" s="127">
        <f t="shared" si="84"/>
        <v>395.60811100000024</v>
      </c>
      <c r="AC32" s="127">
        <f t="shared" si="84"/>
        <v>358.5900399999997</v>
      </c>
      <c r="AD32" s="127">
        <f t="shared" si="84"/>
        <v>587.86431135555767</v>
      </c>
      <c r="AE32" s="127">
        <f t="shared" si="84"/>
        <v>823.18035000407201</v>
      </c>
      <c r="AF32" s="127">
        <f t="shared" si="84"/>
        <v>894.35060083305848</v>
      </c>
      <c r="AG32" s="307"/>
      <c r="AH32" s="306">
        <f t="shared" ref="AH32:BM32" si="85">SUM(AH29:AH31)</f>
        <v>29.582999999999995</v>
      </c>
      <c r="AI32" s="306">
        <f t="shared" si="85"/>
        <v>29.296000000000003</v>
      </c>
      <c r="AJ32" s="306">
        <f t="shared" si="85"/>
        <v>23.951000000000001</v>
      </c>
      <c r="AK32" s="306">
        <f t="shared" si="85"/>
        <v>21.541000000000018</v>
      </c>
      <c r="AL32" s="306">
        <f t="shared" si="85"/>
        <v>27.451000000000004</v>
      </c>
      <c r="AM32" s="306">
        <f t="shared" si="85"/>
        <v>27.678999999999995</v>
      </c>
      <c r="AN32" s="306">
        <f t="shared" si="85"/>
        <v>23.25800000000001</v>
      </c>
      <c r="AO32" s="306">
        <f t="shared" si="85"/>
        <v>21.974999999999966</v>
      </c>
      <c r="AP32" s="306">
        <f t="shared" si="85"/>
        <v>25.213000000000008</v>
      </c>
      <c r="AQ32" s="306">
        <f t="shared" si="85"/>
        <v>25.325999999999997</v>
      </c>
      <c r="AR32" s="306">
        <f t="shared" si="85"/>
        <v>24.650999999999996</v>
      </c>
      <c r="AS32" s="306">
        <f t="shared" si="85"/>
        <v>23.386999999999986</v>
      </c>
      <c r="AT32" s="306">
        <f t="shared" si="85"/>
        <v>31.649000000000008</v>
      </c>
      <c r="AU32" s="306">
        <f t="shared" si="85"/>
        <v>36.326000000000001</v>
      </c>
      <c r="AV32" s="306">
        <f t="shared" si="85"/>
        <v>40.949999999999996</v>
      </c>
      <c r="AW32" s="306">
        <f t="shared" si="85"/>
        <v>39.881000000000029</v>
      </c>
      <c r="AX32" s="306">
        <f t="shared" si="85"/>
        <v>50.567</v>
      </c>
      <c r="AY32" s="306">
        <f t="shared" si="85"/>
        <v>57.420999999999999</v>
      </c>
      <c r="AZ32" s="306">
        <f t="shared" si="85"/>
        <v>54.152000000000001</v>
      </c>
      <c r="BA32" s="306">
        <f t="shared" si="85"/>
        <v>58.84200000000007</v>
      </c>
      <c r="BB32" s="306">
        <f t="shared" si="85"/>
        <v>65.066000000000003</v>
      </c>
      <c r="BC32" s="306">
        <f t="shared" si="85"/>
        <v>55.600999999999999</v>
      </c>
      <c r="BD32" s="306">
        <f t="shared" si="85"/>
        <v>59.519999999999989</v>
      </c>
      <c r="BE32" s="306">
        <f t="shared" si="85"/>
        <v>54.022000000000119</v>
      </c>
      <c r="BF32" s="306">
        <f t="shared" si="85"/>
        <v>52.313999999999993</v>
      </c>
      <c r="BG32" s="306">
        <f t="shared" si="85"/>
        <v>53.224000000000004</v>
      </c>
      <c r="BH32" s="306">
        <f t="shared" si="85"/>
        <v>52.099999999999987</v>
      </c>
      <c r="BI32" s="306">
        <f t="shared" si="85"/>
        <v>52.396000000000043</v>
      </c>
      <c r="BJ32" s="306">
        <f t="shared" si="85"/>
        <v>55.675999999999988</v>
      </c>
      <c r="BK32" s="306">
        <f t="shared" si="85"/>
        <v>61.192000000000007</v>
      </c>
      <c r="BL32" s="306">
        <f t="shared" si="85"/>
        <v>70.17</v>
      </c>
      <c r="BM32" s="306">
        <f t="shared" si="85"/>
        <v>83.572999999999993</v>
      </c>
      <c r="BN32" s="306">
        <f t="shared" ref="BN32:CS32" si="86">SUM(BN29:BN31)</f>
        <v>92.134999999999991</v>
      </c>
      <c r="BO32" s="306">
        <f t="shared" si="86"/>
        <v>107.09500000000001</v>
      </c>
      <c r="BP32" s="306">
        <f t="shared" si="86"/>
        <v>98.004000000000005</v>
      </c>
      <c r="BQ32" s="306">
        <f t="shared" si="86"/>
        <v>65.568999999999988</v>
      </c>
      <c r="BR32" s="306">
        <f t="shared" si="86"/>
        <v>41.920999999999999</v>
      </c>
      <c r="BS32" s="306">
        <f t="shared" si="86"/>
        <v>27.221999999999998</v>
      </c>
      <c r="BT32" s="306">
        <f t="shared" si="86"/>
        <v>29.302</v>
      </c>
      <c r="BU32" s="306">
        <f t="shared" si="86"/>
        <v>26.716000000000001</v>
      </c>
      <c r="BV32" s="306">
        <f t="shared" si="86"/>
        <v>20.468000000000007</v>
      </c>
      <c r="BW32" s="306">
        <f t="shared" si="86"/>
        <v>26.570000000000007</v>
      </c>
      <c r="BX32" s="306">
        <f t="shared" si="86"/>
        <v>38.464999999999996</v>
      </c>
      <c r="BY32" s="306">
        <f t="shared" si="86"/>
        <v>35.287999999999997</v>
      </c>
      <c r="BZ32" s="127">
        <f t="shared" si="86"/>
        <v>31.38999999999999</v>
      </c>
      <c r="CA32" s="127">
        <f t="shared" si="86"/>
        <v>28.284999999999997</v>
      </c>
      <c r="CB32" s="127">
        <f t="shared" si="86"/>
        <v>32.613000000000007</v>
      </c>
      <c r="CC32" s="127">
        <f t="shared" si="86"/>
        <v>41.391000000000012</v>
      </c>
      <c r="CD32" s="127">
        <f t="shared" si="86"/>
        <v>54.181000000000004</v>
      </c>
      <c r="CE32" s="127">
        <f t="shared" si="86"/>
        <v>61.536000000000016</v>
      </c>
      <c r="CF32" s="127">
        <f t="shared" si="86"/>
        <v>74.236999999999995</v>
      </c>
      <c r="CG32" s="127">
        <f t="shared" si="86"/>
        <v>85.526000000000025</v>
      </c>
      <c r="CH32" s="127">
        <f t="shared" si="86"/>
        <v>102.854</v>
      </c>
      <c r="CI32" s="127">
        <f t="shared" si="86"/>
        <v>120.07299999999998</v>
      </c>
      <c r="CJ32" s="127">
        <f t="shared" si="86"/>
        <v>137.31800000000004</v>
      </c>
      <c r="CK32" s="127">
        <f t="shared" si="86"/>
        <v>151.13200000000003</v>
      </c>
      <c r="CL32" s="127">
        <f t="shared" si="86"/>
        <v>176.31899999999999</v>
      </c>
      <c r="CM32" s="127">
        <f t="shared" si="86"/>
        <v>159.72999999999996</v>
      </c>
      <c r="CN32" s="127">
        <f t="shared" si="86"/>
        <v>180.71099999999993</v>
      </c>
      <c r="CO32" s="127">
        <f t="shared" si="86"/>
        <v>203.24299999999999</v>
      </c>
      <c r="CP32" s="127">
        <f t="shared" si="86"/>
        <v>206.96500000000009</v>
      </c>
      <c r="CQ32" s="127">
        <f t="shared" si="86"/>
        <v>205.59599999999995</v>
      </c>
      <c r="CR32" s="127">
        <f t="shared" si="86"/>
        <v>233.10400000000004</v>
      </c>
      <c r="CS32" s="127">
        <f t="shared" si="86"/>
        <v>245.31999999999994</v>
      </c>
      <c r="CT32" s="127">
        <f t="shared" ref="CT32:DY32" si="87">SUM(CT29:CT31)</f>
        <v>276.00099999999998</v>
      </c>
      <c r="CU32" s="127">
        <f t="shared" si="87"/>
        <v>238.39599999999999</v>
      </c>
      <c r="CV32" s="127">
        <f t="shared" si="87"/>
        <v>150.42600000000007</v>
      </c>
      <c r="CW32" s="127">
        <f t="shared" si="87"/>
        <v>148.57300000000004</v>
      </c>
      <c r="CX32" s="127">
        <f t="shared" si="87"/>
        <v>164.49100000000007</v>
      </c>
      <c r="CY32" s="127">
        <f t="shared" si="87"/>
        <v>163.70699999999994</v>
      </c>
      <c r="CZ32" s="127">
        <f t="shared" si="87"/>
        <v>174.43299999999999</v>
      </c>
      <c r="DA32" s="127">
        <f t="shared" si="87"/>
        <v>205.72500000000002</v>
      </c>
      <c r="DB32" s="127">
        <f t="shared" si="87"/>
        <v>241.23699999999994</v>
      </c>
      <c r="DC32" s="127">
        <f t="shared" si="87"/>
        <v>242.96099999999998</v>
      </c>
      <c r="DD32" s="127">
        <f t="shared" si="87"/>
        <v>253.61299999999989</v>
      </c>
      <c r="DE32" s="127">
        <f t="shared" si="87"/>
        <v>276.47899999999998</v>
      </c>
      <c r="DF32" s="127">
        <f t="shared" si="87"/>
        <v>312.14400000000006</v>
      </c>
      <c r="DG32" s="127">
        <f t="shared" si="87"/>
        <v>290.13899999999995</v>
      </c>
      <c r="DH32" s="127">
        <f t="shared" si="87"/>
        <v>325.97499999999985</v>
      </c>
      <c r="DI32" s="127">
        <f t="shared" si="87"/>
        <v>349.66700000000003</v>
      </c>
      <c r="DJ32" s="127">
        <f t="shared" si="87"/>
        <v>341.92699999999991</v>
      </c>
      <c r="DK32" s="127">
        <f t="shared" si="87"/>
        <v>340.04</v>
      </c>
      <c r="DL32" s="127">
        <f t="shared" si="87"/>
        <v>353.74400000000003</v>
      </c>
      <c r="DM32" s="127">
        <f t="shared" si="87"/>
        <v>341.21039999999999</v>
      </c>
      <c r="DN32" s="127">
        <f t="shared" si="87"/>
        <v>368.70219199999997</v>
      </c>
      <c r="DO32" s="127">
        <f t="shared" si="87"/>
        <v>375.20700000000011</v>
      </c>
      <c r="DP32" s="127">
        <f t="shared" si="87"/>
        <v>398.76199999999989</v>
      </c>
      <c r="DQ32" s="127">
        <f t="shared" si="87"/>
        <v>406.17800000000005</v>
      </c>
      <c r="DR32" s="127">
        <f t="shared" si="87"/>
        <v>442.27699999999999</v>
      </c>
      <c r="DS32" s="127">
        <f t="shared" si="87"/>
        <v>302.280708</v>
      </c>
      <c r="DT32" s="127">
        <f t="shared" si="87"/>
        <v>190.78517899999997</v>
      </c>
      <c r="DU32" s="127">
        <f t="shared" si="87"/>
        <v>153.03704499999992</v>
      </c>
      <c r="DV32" s="127">
        <f t="shared" si="87"/>
        <v>155.83893500000002</v>
      </c>
      <c r="DW32" s="127">
        <f t="shared" si="87"/>
        <v>102.59451299999998</v>
      </c>
      <c r="DX32" s="127">
        <f t="shared" si="87"/>
        <v>62.047430000000041</v>
      </c>
      <c r="DY32" s="127">
        <f t="shared" si="87"/>
        <v>75.127233000000018</v>
      </c>
      <c r="DZ32" s="127">
        <f t="shared" ref="DZ32:EP32" si="88">SUM(DZ29:DZ31)</f>
        <v>71.707010000000025</v>
      </c>
      <c r="EA32" s="127">
        <f t="shared" si="88"/>
        <v>66.251801999999998</v>
      </c>
      <c r="EB32" s="127">
        <f t="shared" si="88"/>
        <v>104.04040800000004</v>
      </c>
      <c r="EC32" s="127">
        <f t="shared" si="88"/>
        <v>116.59081999999989</v>
      </c>
      <c r="ED32" s="127">
        <f t="shared" si="88"/>
        <v>136.9436539999999</v>
      </c>
      <c r="EE32" s="127">
        <f t="shared" si="88"/>
        <v>131.33969604999999</v>
      </c>
      <c r="EF32" s="127">
        <f t="shared" si="88"/>
        <v>147.12494991149993</v>
      </c>
      <c r="EG32" s="127">
        <f t="shared" si="88"/>
        <v>172.45601139405753</v>
      </c>
      <c r="EH32" s="127">
        <f t="shared" si="88"/>
        <v>188.97205398385776</v>
      </c>
      <c r="EI32" s="127">
        <f t="shared" si="88"/>
        <v>203.41674488693536</v>
      </c>
      <c r="EJ32" s="127">
        <f t="shared" si="88"/>
        <v>211.89089127885993</v>
      </c>
      <c r="EK32" s="127">
        <f t="shared" si="88"/>
        <v>218.90065985441893</v>
      </c>
      <c r="EL32" s="127">
        <f t="shared" si="88"/>
        <v>229.51362682279765</v>
      </c>
      <c r="EM32" s="127">
        <f t="shared" si="88"/>
        <v>223.600467902709</v>
      </c>
      <c r="EN32" s="127">
        <f t="shared" si="88"/>
        <v>220.65133331747819</v>
      </c>
      <c r="EO32" s="127">
        <f t="shared" si="88"/>
        <v>220.58517279007344</v>
      </c>
      <c r="EP32" s="127">
        <f t="shared" si="88"/>
        <v>217.59893553809181</v>
      </c>
      <c r="EQ32" s="192"/>
      <c r="ER32" s="192"/>
      <c r="ES32" s="355">
        <f t="shared" si="18"/>
        <v>27</v>
      </c>
      <c r="ET32"/>
      <c r="EU32"/>
      <c r="EV32"/>
      <c r="EW32"/>
      <c r="EX32"/>
      <c r="EY32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s="4" customFormat="1" ht="11.45" customHeight="1" outlineLevel="1">
      <c r="A33" s="15"/>
      <c r="B33" s="14" t="s">
        <v>233</v>
      </c>
      <c r="C33" s="18"/>
      <c r="D33" s="18"/>
      <c r="E33" s="18">
        <f>SUM(AH33:AK33)</f>
        <v>-48.609000000000002</v>
      </c>
      <c r="F33" s="18">
        <f>SUM(AL33:AO33)</f>
        <v>-50.067999999999998</v>
      </c>
      <c r="G33" s="18">
        <f>SUM(AP33:AS33)</f>
        <v>-54.442999999999998</v>
      </c>
      <c r="H33" s="18">
        <f>SUM(AT33:AW33)</f>
        <v>-59.442</v>
      </c>
      <c r="I33" s="18">
        <f>SUM(AX33:BA33)</f>
        <v>-71.691000000000003</v>
      </c>
      <c r="J33" s="18">
        <f>SUM(BB33:BE33)</f>
        <v>-88.35</v>
      </c>
      <c r="K33" s="18">
        <f>SUM(BF33:BI33)</f>
        <v>-109.167</v>
      </c>
      <c r="L33" s="18">
        <f>SUM(BJ33:BM33)</f>
        <v>-110.851</v>
      </c>
      <c r="M33" s="18">
        <f>SUM(BN33:BQ33)</f>
        <v>-75.313000000000002</v>
      </c>
      <c r="N33" s="18">
        <f>SUM(BR33:BU33)</f>
        <v>-61.445999999999998</v>
      </c>
      <c r="O33" s="18">
        <f t="shared" ref="O33:AF33" si="89">SUMIF($AH$5:$ER$5,O$5,$AH33:$ER33)</f>
        <v>-82.513000000000005</v>
      </c>
      <c r="P33" s="18">
        <f t="shared" si="89"/>
        <v>-94.424999999999997</v>
      </c>
      <c r="Q33" s="18">
        <f t="shared" si="89"/>
        <v>-96.274000000000001</v>
      </c>
      <c r="R33" s="18">
        <f t="shared" si="89"/>
        <v>-101.583</v>
      </c>
      <c r="S33" s="18">
        <f t="shared" si="89"/>
        <v>-146.042</v>
      </c>
      <c r="T33" s="18">
        <f t="shared" si="89"/>
        <v>-210.76600000000002</v>
      </c>
      <c r="U33" s="18">
        <f t="shared" si="89"/>
        <v>-236.43700000000001</v>
      </c>
      <c r="V33" s="18">
        <f t="shared" si="89"/>
        <v>-267.04599999999999</v>
      </c>
      <c r="W33" s="18">
        <f t="shared" si="89"/>
        <v>-315.46799999999996</v>
      </c>
      <c r="X33" s="18">
        <f t="shared" si="89"/>
        <v>-392.40699999999998</v>
      </c>
      <c r="Y33" s="18">
        <f t="shared" si="89"/>
        <v>-455.62299999999999</v>
      </c>
      <c r="Z33" s="18">
        <f t="shared" si="89"/>
        <v>-506.54899999999998</v>
      </c>
      <c r="AA33" s="18">
        <f t="shared" si="89"/>
        <v>-569.99199999999996</v>
      </c>
      <c r="AB33" s="18">
        <f t="shared" si="89"/>
        <v>-560.48699999999997</v>
      </c>
      <c r="AC33" s="18">
        <f t="shared" si="89"/>
        <v>-543.45724000000007</v>
      </c>
      <c r="AD33" s="18">
        <f t="shared" si="89"/>
        <v>-544.385625785</v>
      </c>
      <c r="AE33" s="18">
        <f t="shared" si="89"/>
        <v>-546.46817807204309</v>
      </c>
      <c r="AF33" s="18">
        <f t="shared" si="89"/>
        <v>-537.57712683875479</v>
      </c>
      <c r="AG33" s="96"/>
      <c r="AH33" s="57">
        <v>-12.853</v>
      </c>
      <c r="AI33" s="57">
        <v>-12.802</v>
      </c>
      <c r="AJ33" s="57">
        <v>-11.893000000000001</v>
      </c>
      <c r="AK33" s="57">
        <f>-48.609-SUM(AH33:AJ33)</f>
        <v>-11.061</v>
      </c>
      <c r="AL33" s="57">
        <v>-11.818</v>
      </c>
      <c r="AM33" s="57">
        <v>-13.444000000000001</v>
      </c>
      <c r="AN33" s="57">
        <v>-12.337</v>
      </c>
      <c r="AO33" s="57">
        <f>-50.068-SUM(AL33:AN33)</f>
        <v>-12.468999999999994</v>
      </c>
      <c r="AP33" s="57">
        <v>-13.63</v>
      </c>
      <c r="AQ33" s="57">
        <v>-13.183999999999999</v>
      </c>
      <c r="AR33" s="57">
        <v>-13.792</v>
      </c>
      <c r="AS33" s="57">
        <f>-76.443-SUM(AP33:AR33)+22</f>
        <v>-13.836999999999996</v>
      </c>
      <c r="AT33" s="57">
        <v>-13.573</v>
      </c>
      <c r="AU33" s="57">
        <v>-14.432</v>
      </c>
      <c r="AV33" s="57">
        <v>-14.122999999999999</v>
      </c>
      <c r="AW33" s="57">
        <f>-59.442-SUM(AT33:AV33)</f>
        <v>-17.314</v>
      </c>
      <c r="AX33" s="57">
        <v>-15.472</v>
      </c>
      <c r="AY33" s="57">
        <v>-17.379000000000001</v>
      </c>
      <c r="AZ33" s="57">
        <v>-18.739999999999998</v>
      </c>
      <c r="BA33" s="57">
        <f>-71.691-SUM(AX33:AZ33)</f>
        <v>-20.100000000000009</v>
      </c>
      <c r="BB33" s="57">
        <v>-18.651</v>
      </c>
      <c r="BC33" s="57">
        <v>-19.186</v>
      </c>
      <c r="BD33" s="57">
        <v>-21.195</v>
      </c>
      <c r="BE33" s="57">
        <f>-88.35-SUM(BB33:BD33)</f>
        <v>-29.317999999999991</v>
      </c>
      <c r="BF33" s="57">
        <v>-23.998999999999999</v>
      </c>
      <c r="BG33" s="57">
        <v>-33.371000000000002</v>
      </c>
      <c r="BH33" s="57">
        <v>-25.341000000000001</v>
      </c>
      <c r="BI33" s="57">
        <f>-109.167-SUM(BF33:BH33)</f>
        <v>-26.455999999999989</v>
      </c>
      <c r="BJ33" s="57">
        <v>-26.138000000000002</v>
      </c>
      <c r="BK33" s="57">
        <v>-27.702000000000002</v>
      </c>
      <c r="BL33" s="57">
        <v>-26.712</v>
      </c>
      <c r="BM33" s="57">
        <v>-30.298999999999999</v>
      </c>
      <c r="BN33" s="57">
        <v>-17.978000000000002</v>
      </c>
      <c r="BO33" s="57">
        <v>-22.783999999999999</v>
      </c>
      <c r="BP33" s="57">
        <v>-21.341000000000001</v>
      </c>
      <c r="BQ33" s="57">
        <v>-13.21</v>
      </c>
      <c r="BR33" s="57">
        <v>-13.833</v>
      </c>
      <c r="BS33" s="57">
        <v>-15.045999999999999</v>
      </c>
      <c r="BT33" s="57">
        <v>-15.247</v>
      </c>
      <c r="BU33" s="57">
        <v>-17.32</v>
      </c>
      <c r="BV33" s="57">
        <v>-18.236000000000001</v>
      </c>
      <c r="BW33" s="57">
        <v>-19.943000000000001</v>
      </c>
      <c r="BX33" s="57">
        <v>-21.516999999999999</v>
      </c>
      <c r="BY33" s="57">
        <v>-22.817</v>
      </c>
      <c r="BZ33" s="57">
        <v>-22.268000000000001</v>
      </c>
      <c r="CA33" s="57">
        <v>-23.402000000000001</v>
      </c>
      <c r="CB33" s="57">
        <v>-23.934000000000001</v>
      </c>
      <c r="CC33" s="57">
        <v>-24.821000000000002</v>
      </c>
      <c r="CD33" s="57">
        <v>-23.262</v>
      </c>
      <c r="CE33" s="57">
        <v>-23.95</v>
      </c>
      <c r="CF33" s="57">
        <v>-23.419</v>
      </c>
      <c r="CG33" s="57">
        <v>-25.643000000000001</v>
      </c>
      <c r="CH33" s="57">
        <v>-22.922999999999998</v>
      </c>
      <c r="CI33" s="57">
        <v>-23.385000000000002</v>
      </c>
      <c r="CJ33" s="57">
        <v>-25.076000000000001</v>
      </c>
      <c r="CK33" s="57">
        <v>-30.199000000000002</v>
      </c>
      <c r="CL33" s="57">
        <v>-30.151</v>
      </c>
      <c r="CM33" s="57">
        <v>-32.951999999999998</v>
      </c>
      <c r="CN33" s="57">
        <v>-38.125</v>
      </c>
      <c r="CO33" s="57">
        <v>-44.814</v>
      </c>
      <c r="CP33" s="57">
        <v>-43.984000000000002</v>
      </c>
      <c r="CQ33" s="57">
        <v>-51.872</v>
      </c>
      <c r="CR33" s="57">
        <v>-51.21</v>
      </c>
      <c r="CS33" s="57">
        <v>-63.7</v>
      </c>
      <c r="CT33" s="57">
        <v>-54.771999999999998</v>
      </c>
      <c r="CU33" s="57">
        <v>-57.113</v>
      </c>
      <c r="CV33" s="57">
        <v>-61.042999999999999</v>
      </c>
      <c r="CW33" s="57">
        <v>-63.509</v>
      </c>
      <c r="CX33" s="57">
        <v>-62.802999999999997</v>
      </c>
      <c r="CY33" s="57">
        <v>-65.795000000000002</v>
      </c>
      <c r="CZ33" s="57">
        <v>-65.207999999999998</v>
      </c>
      <c r="DA33" s="57">
        <v>-73.239999999999995</v>
      </c>
      <c r="DB33" s="57">
        <v>-73.180000000000007</v>
      </c>
      <c r="DC33" s="57">
        <v>-76.161000000000001</v>
      </c>
      <c r="DD33" s="57">
        <v>-79.108999999999995</v>
      </c>
      <c r="DE33" s="57">
        <v>-87.018000000000001</v>
      </c>
      <c r="DF33" s="57">
        <v>-86.287999999999997</v>
      </c>
      <c r="DG33" s="57">
        <v>-90.933999999999997</v>
      </c>
      <c r="DH33" s="57">
        <v>-95.182000000000002</v>
      </c>
      <c r="DI33" s="57">
        <f>-115.145-(4.858)</f>
        <v>-120.003</v>
      </c>
      <c r="DJ33" s="57">
        <v>-106.599</v>
      </c>
      <c r="DK33" s="57">
        <v>-112.43300000000001</v>
      </c>
      <c r="DL33" s="57">
        <v>-117.79</v>
      </c>
      <c r="DM33" s="57">
        <v>-118.801</v>
      </c>
      <c r="DN33" s="57">
        <v>-120.23699999999999</v>
      </c>
      <c r="DO33" s="57">
        <f>-123.963</f>
        <v>-123.96299999999999</v>
      </c>
      <c r="DP33" s="57">
        <v>-128.97800000000001</v>
      </c>
      <c r="DQ33" s="57">
        <f>-150.371+17</f>
        <v>-133.37100000000001</v>
      </c>
      <c r="DR33" s="57">
        <v>-137.613</v>
      </c>
      <c r="DS33" s="57">
        <f>-149.708+7</f>
        <v>-142.708</v>
      </c>
      <c r="DT33" s="57">
        <v>-144.29499999999999</v>
      </c>
      <c r="DU33" s="57">
        <f>-175.376+30</f>
        <v>-145.376</v>
      </c>
      <c r="DV33" s="57">
        <v>-142.12899999999999</v>
      </c>
      <c r="DW33" s="57">
        <v>-141.517</v>
      </c>
      <c r="DX33" s="57">
        <v>-138.69</v>
      </c>
      <c r="DY33" s="57">
        <f>-176.251+38.1</f>
        <v>-138.15100000000001</v>
      </c>
      <c r="DZ33" s="57">
        <f>-133.847</f>
        <v>-133.84700000000001</v>
      </c>
      <c r="EA33" s="57">
        <f>-152.777+18</f>
        <v>-134.77699999999999</v>
      </c>
      <c r="EB33" s="57">
        <f>-145.043+(0.05*EB58)/(1-0.375)</f>
        <v>-136.35724000000002</v>
      </c>
      <c r="EC33" s="57">
        <f>-153.876+15.4</f>
        <v>-138.476</v>
      </c>
      <c r="ED33" s="57">
        <f>-143.267+7.2</f>
        <v>-136.06700000000001</v>
      </c>
      <c r="EE33" s="18">
        <f t="shared" ref="EE33:EP33" si="90">-EE94/4*ED260</f>
        <v>-136.136</v>
      </c>
      <c r="EF33" s="18">
        <f t="shared" si="90"/>
        <v>-135.69225999999998</v>
      </c>
      <c r="EG33" s="18">
        <f t="shared" si="90"/>
        <v>-136.49036578499999</v>
      </c>
      <c r="EH33" s="18">
        <f t="shared" si="90"/>
        <v>-137.25827847801997</v>
      </c>
      <c r="EI33" s="18">
        <f t="shared" si="90"/>
        <v>-136.86625245456969</v>
      </c>
      <c r="EJ33" s="18">
        <f t="shared" si="90"/>
        <v>-136.45677003354868</v>
      </c>
      <c r="EK33" s="18">
        <f t="shared" si="90"/>
        <v>-135.88687710590477</v>
      </c>
      <c r="EL33" s="18">
        <f t="shared" si="90"/>
        <v>-135.30278268814575</v>
      </c>
      <c r="EM33" s="18">
        <f t="shared" si="90"/>
        <v>-134.70532959355322</v>
      </c>
      <c r="EN33" s="18">
        <f t="shared" si="90"/>
        <v>-134.0953499739071</v>
      </c>
      <c r="EO33" s="18">
        <f t="shared" si="90"/>
        <v>-133.47366458314869</v>
      </c>
      <c r="EP33" s="18">
        <f t="shared" si="90"/>
        <v>-132.84108207912604</v>
      </c>
      <c r="EQ33" s="192"/>
      <c r="ER33" s="192"/>
      <c r="ES33" s="355">
        <f t="shared" si="18"/>
        <v>28</v>
      </c>
      <c r="ET33"/>
      <c r="EU33"/>
      <c r="EV33"/>
      <c r="EW33"/>
      <c r="EX33"/>
      <c r="EY33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s="4" customFormat="1" ht="11.45" customHeight="1" outlineLevel="1">
      <c r="A34" s="15"/>
      <c r="B34" s="308" t="s">
        <v>20</v>
      </c>
      <c r="C34" s="127"/>
      <c r="D34" s="127"/>
      <c r="E34" s="127">
        <f t="shared" ref="E34:AF34" si="91">SUM(E32:E33)</f>
        <v>55.762000000000036</v>
      </c>
      <c r="F34" s="127">
        <f t="shared" si="91"/>
        <v>50.294999999999987</v>
      </c>
      <c r="G34" s="127">
        <f t="shared" si="91"/>
        <v>44.133999999999986</v>
      </c>
      <c r="H34" s="127">
        <f t="shared" si="91"/>
        <v>89.364000000000004</v>
      </c>
      <c r="I34" s="127">
        <f t="shared" si="91"/>
        <v>149.29100000000003</v>
      </c>
      <c r="J34" s="127">
        <f t="shared" si="91"/>
        <v>145.85900000000007</v>
      </c>
      <c r="K34" s="127">
        <f t="shared" si="91"/>
        <v>100.86700000000002</v>
      </c>
      <c r="L34" s="127">
        <f t="shared" si="91"/>
        <v>159.76</v>
      </c>
      <c r="M34" s="127">
        <f t="shared" si="91"/>
        <v>287.49</v>
      </c>
      <c r="N34" s="127">
        <f t="shared" si="91"/>
        <v>63.715000000000018</v>
      </c>
      <c r="O34" s="127">
        <f t="shared" si="91"/>
        <v>38.277999999999977</v>
      </c>
      <c r="P34" s="127">
        <f t="shared" si="91"/>
        <v>39.254000000000033</v>
      </c>
      <c r="Q34" s="127">
        <f t="shared" si="91"/>
        <v>179.20600000000013</v>
      </c>
      <c r="R34" s="127">
        <f t="shared" si="91"/>
        <v>409.79399999999998</v>
      </c>
      <c r="S34" s="127">
        <f t="shared" si="91"/>
        <v>573.96099999999956</v>
      </c>
      <c r="T34" s="127">
        <f t="shared" si="91"/>
        <v>680.21900000000005</v>
      </c>
      <c r="U34" s="127">
        <f t="shared" si="91"/>
        <v>576.95899999999995</v>
      </c>
      <c r="V34" s="127">
        <f t="shared" si="91"/>
        <v>441.31</v>
      </c>
      <c r="W34" s="127">
        <f t="shared" si="91"/>
        <v>698.82199999999989</v>
      </c>
      <c r="X34" s="127">
        <f t="shared" si="91"/>
        <v>885.51800000000026</v>
      </c>
      <c r="Y34" s="127">
        <f t="shared" si="91"/>
        <v>921.29839999999945</v>
      </c>
      <c r="Z34" s="127">
        <f t="shared" si="91"/>
        <v>1042.3001920000004</v>
      </c>
      <c r="AA34" s="127">
        <f t="shared" si="91"/>
        <v>518.38793200000009</v>
      </c>
      <c r="AB34" s="127">
        <f t="shared" si="91"/>
        <v>-164.87888899999973</v>
      </c>
      <c r="AC34" s="127">
        <f t="shared" si="91"/>
        <v>-184.86720000000037</v>
      </c>
      <c r="AD34" s="127">
        <f t="shared" si="91"/>
        <v>43.478685570557673</v>
      </c>
      <c r="AE34" s="127">
        <f t="shared" si="91"/>
        <v>276.71217193202892</v>
      </c>
      <c r="AF34" s="127">
        <f t="shared" si="91"/>
        <v>356.77347399430369</v>
      </c>
      <c r="AG34" s="307"/>
      <c r="AH34" s="306">
        <f t="shared" ref="AH34:BM34" si="92">SUM(AH32:AH33)</f>
        <v>16.729999999999997</v>
      </c>
      <c r="AI34" s="306">
        <f t="shared" si="92"/>
        <v>16.494000000000003</v>
      </c>
      <c r="AJ34" s="306">
        <f t="shared" si="92"/>
        <v>12.058</v>
      </c>
      <c r="AK34" s="306">
        <f t="shared" si="92"/>
        <v>10.480000000000018</v>
      </c>
      <c r="AL34" s="306">
        <f t="shared" si="92"/>
        <v>15.633000000000004</v>
      </c>
      <c r="AM34" s="306">
        <f t="shared" si="92"/>
        <v>14.234999999999994</v>
      </c>
      <c r="AN34" s="306">
        <f t="shared" si="92"/>
        <v>10.92100000000001</v>
      </c>
      <c r="AO34" s="306">
        <f t="shared" si="92"/>
        <v>9.5059999999999718</v>
      </c>
      <c r="AP34" s="306">
        <f t="shared" si="92"/>
        <v>11.583000000000007</v>
      </c>
      <c r="AQ34" s="306">
        <f t="shared" si="92"/>
        <v>12.141999999999998</v>
      </c>
      <c r="AR34" s="306">
        <f t="shared" si="92"/>
        <v>10.858999999999996</v>
      </c>
      <c r="AS34" s="306">
        <f t="shared" si="92"/>
        <v>9.5499999999999901</v>
      </c>
      <c r="AT34" s="306">
        <f t="shared" si="92"/>
        <v>18.076000000000008</v>
      </c>
      <c r="AU34" s="306">
        <f t="shared" si="92"/>
        <v>21.893999999999998</v>
      </c>
      <c r="AV34" s="306">
        <f t="shared" si="92"/>
        <v>26.826999999999998</v>
      </c>
      <c r="AW34" s="306">
        <f t="shared" si="92"/>
        <v>22.567000000000029</v>
      </c>
      <c r="AX34" s="306">
        <f t="shared" si="92"/>
        <v>35.094999999999999</v>
      </c>
      <c r="AY34" s="306">
        <f t="shared" si="92"/>
        <v>40.042000000000002</v>
      </c>
      <c r="AZ34" s="306">
        <f t="shared" si="92"/>
        <v>35.412000000000006</v>
      </c>
      <c r="BA34" s="306">
        <f t="shared" si="92"/>
        <v>38.742000000000061</v>
      </c>
      <c r="BB34" s="306">
        <f t="shared" si="92"/>
        <v>46.415000000000006</v>
      </c>
      <c r="BC34" s="306">
        <f t="shared" si="92"/>
        <v>36.414999999999999</v>
      </c>
      <c r="BD34" s="306">
        <f t="shared" si="92"/>
        <v>38.324999999999989</v>
      </c>
      <c r="BE34" s="306">
        <f t="shared" si="92"/>
        <v>24.704000000000129</v>
      </c>
      <c r="BF34" s="306">
        <f t="shared" si="92"/>
        <v>28.314999999999994</v>
      </c>
      <c r="BG34" s="306">
        <f t="shared" si="92"/>
        <v>19.853000000000002</v>
      </c>
      <c r="BH34" s="306">
        <f t="shared" si="92"/>
        <v>26.758999999999986</v>
      </c>
      <c r="BI34" s="306">
        <f t="shared" si="92"/>
        <v>25.940000000000055</v>
      </c>
      <c r="BJ34" s="306">
        <f t="shared" si="92"/>
        <v>29.537999999999986</v>
      </c>
      <c r="BK34" s="306">
        <f t="shared" si="92"/>
        <v>33.490000000000009</v>
      </c>
      <c r="BL34" s="306">
        <f t="shared" si="92"/>
        <v>43.457999999999998</v>
      </c>
      <c r="BM34" s="306">
        <f t="shared" si="92"/>
        <v>53.273999999999994</v>
      </c>
      <c r="BN34" s="306">
        <f t="shared" ref="BN34:CS34" si="93">SUM(BN32:BN33)</f>
        <v>74.156999999999982</v>
      </c>
      <c r="BO34" s="306">
        <f t="shared" si="93"/>
        <v>84.311000000000007</v>
      </c>
      <c r="BP34" s="306">
        <f t="shared" si="93"/>
        <v>76.663000000000011</v>
      </c>
      <c r="BQ34" s="306">
        <f t="shared" si="93"/>
        <v>52.358999999999988</v>
      </c>
      <c r="BR34" s="306">
        <f t="shared" si="93"/>
        <v>28.088000000000001</v>
      </c>
      <c r="BS34" s="306">
        <f t="shared" si="93"/>
        <v>12.175999999999998</v>
      </c>
      <c r="BT34" s="306">
        <f t="shared" si="93"/>
        <v>14.055</v>
      </c>
      <c r="BU34" s="306">
        <f t="shared" si="93"/>
        <v>9.3960000000000008</v>
      </c>
      <c r="BV34" s="306">
        <f t="shared" si="93"/>
        <v>2.2320000000000064</v>
      </c>
      <c r="BW34" s="306">
        <f t="shared" si="93"/>
        <v>6.627000000000006</v>
      </c>
      <c r="BX34" s="306">
        <f t="shared" si="93"/>
        <v>16.947999999999997</v>
      </c>
      <c r="BY34" s="306">
        <f t="shared" si="93"/>
        <v>12.470999999999997</v>
      </c>
      <c r="BZ34" s="127">
        <f t="shared" si="93"/>
        <v>9.1219999999999892</v>
      </c>
      <c r="CA34" s="127">
        <f t="shared" si="93"/>
        <v>4.8829999999999956</v>
      </c>
      <c r="CB34" s="127">
        <f t="shared" si="93"/>
        <v>8.6790000000000056</v>
      </c>
      <c r="CC34" s="127">
        <f t="shared" si="93"/>
        <v>16.570000000000011</v>
      </c>
      <c r="CD34" s="127">
        <f t="shared" si="93"/>
        <v>30.919000000000004</v>
      </c>
      <c r="CE34" s="127">
        <f t="shared" si="93"/>
        <v>37.586000000000013</v>
      </c>
      <c r="CF34" s="127">
        <f t="shared" si="93"/>
        <v>50.817999999999998</v>
      </c>
      <c r="CG34" s="127">
        <f t="shared" si="93"/>
        <v>59.883000000000024</v>
      </c>
      <c r="CH34" s="127">
        <f t="shared" si="93"/>
        <v>79.930999999999997</v>
      </c>
      <c r="CI34" s="127">
        <f t="shared" si="93"/>
        <v>96.687999999999974</v>
      </c>
      <c r="CJ34" s="127">
        <f t="shared" si="93"/>
        <v>112.24200000000005</v>
      </c>
      <c r="CK34" s="127">
        <f t="shared" si="93"/>
        <v>120.93300000000004</v>
      </c>
      <c r="CL34" s="127">
        <f t="shared" si="93"/>
        <v>146.16799999999998</v>
      </c>
      <c r="CM34" s="127">
        <f t="shared" si="93"/>
        <v>126.77799999999996</v>
      </c>
      <c r="CN34" s="127">
        <f t="shared" si="93"/>
        <v>142.58599999999993</v>
      </c>
      <c r="CO34" s="127">
        <f t="shared" si="93"/>
        <v>158.429</v>
      </c>
      <c r="CP34" s="127">
        <f t="shared" si="93"/>
        <v>162.98100000000008</v>
      </c>
      <c r="CQ34" s="127">
        <f t="shared" si="93"/>
        <v>153.72399999999993</v>
      </c>
      <c r="CR34" s="127">
        <f t="shared" si="93"/>
        <v>181.89400000000003</v>
      </c>
      <c r="CS34" s="127">
        <f t="shared" si="93"/>
        <v>181.61999999999995</v>
      </c>
      <c r="CT34" s="127">
        <f t="shared" ref="CT34:DY34" si="94">SUM(CT32:CT33)</f>
        <v>221.22899999999998</v>
      </c>
      <c r="CU34" s="127">
        <f t="shared" si="94"/>
        <v>181.28299999999999</v>
      </c>
      <c r="CV34" s="127">
        <f t="shared" si="94"/>
        <v>89.383000000000067</v>
      </c>
      <c r="CW34" s="127">
        <f t="shared" si="94"/>
        <v>85.064000000000036</v>
      </c>
      <c r="CX34" s="127">
        <f t="shared" si="94"/>
        <v>101.68800000000007</v>
      </c>
      <c r="CY34" s="127">
        <f t="shared" si="94"/>
        <v>97.911999999999935</v>
      </c>
      <c r="CZ34" s="127">
        <f t="shared" si="94"/>
        <v>109.22499999999999</v>
      </c>
      <c r="DA34" s="127">
        <f t="shared" si="94"/>
        <v>132.48500000000001</v>
      </c>
      <c r="DB34" s="127">
        <f t="shared" si="94"/>
        <v>168.05699999999993</v>
      </c>
      <c r="DC34" s="127">
        <f t="shared" si="94"/>
        <v>166.79999999999998</v>
      </c>
      <c r="DD34" s="127">
        <f t="shared" si="94"/>
        <v>174.50399999999991</v>
      </c>
      <c r="DE34" s="127">
        <f t="shared" si="94"/>
        <v>189.46099999999998</v>
      </c>
      <c r="DF34" s="127">
        <f t="shared" si="94"/>
        <v>225.85600000000005</v>
      </c>
      <c r="DG34" s="127">
        <f t="shared" si="94"/>
        <v>199.20499999999996</v>
      </c>
      <c r="DH34" s="127">
        <f t="shared" si="94"/>
        <v>230.79299999999984</v>
      </c>
      <c r="DI34" s="127">
        <f t="shared" si="94"/>
        <v>229.66400000000004</v>
      </c>
      <c r="DJ34" s="127">
        <f t="shared" si="94"/>
        <v>235.32799999999992</v>
      </c>
      <c r="DK34" s="127">
        <f t="shared" si="94"/>
        <v>227.60700000000003</v>
      </c>
      <c r="DL34" s="127">
        <f t="shared" si="94"/>
        <v>235.95400000000001</v>
      </c>
      <c r="DM34" s="127">
        <f t="shared" si="94"/>
        <v>222.40940000000001</v>
      </c>
      <c r="DN34" s="127">
        <f t="shared" si="94"/>
        <v>248.46519199999997</v>
      </c>
      <c r="DO34" s="127">
        <f t="shared" si="94"/>
        <v>251.24400000000011</v>
      </c>
      <c r="DP34" s="127">
        <f t="shared" si="94"/>
        <v>269.78399999999988</v>
      </c>
      <c r="DQ34" s="127">
        <f t="shared" si="94"/>
        <v>272.80700000000002</v>
      </c>
      <c r="DR34" s="127">
        <f t="shared" si="94"/>
        <v>304.66399999999999</v>
      </c>
      <c r="DS34" s="127">
        <f t="shared" si="94"/>
        <v>159.57270800000001</v>
      </c>
      <c r="DT34" s="127">
        <f t="shared" si="94"/>
        <v>46.490178999999983</v>
      </c>
      <c r="DU34" s="127">
        <f t="shared" si="94"/>
        <v>7.6610449999999162</v>
      </c>
      <c r="DV34" s="127">
        <f t="shared" si="94"/>
        <v>13.70993500000003</v>
      </c>
      <c r="DW34" s="127">
        <f t="shared" si="94"/>
        <v>-38.922487000000018</v>
      </c>
      <c r="DX34" s="127">
        <f t="shared" si="94"/>
        <v>-76.642569999999949</v>
      </c>
      <c r="DY34" s="127">
        <f t="shared" si="94"/>
        <v>-63.023766999999992</v>
      </c>
      <c r="DZ34" s="127">
        <f t="shared" ref="DZ34:EP34" si="95">SUM(DZ32:DZ33)</f>
        <v>-62.139989999999983</v>
      </c>
      <c r="EA34" s="127">
        <f t="shared" si="95"/>
        <v>-68.525197999999989</v>
      </c>
      <c r="EB34" s="127">
        <f t="shared" si="95"/>
        <v>-32.316831999999977</v>
      </c>
      <c r="EC34" s="127">
        <f t="shared" si="95"/>
        <v>-21.885180000000105</v>
      </c>
      <c r="ED34" s="127">
        <f t="shared" si="95"/>
        <v>0.87665399999988836</v>
      </c>
      <c r="EE34" s="127">
        <f t="shared" si="95"/>
        <v>-4.7963039500000093</v>
      </c>
      <c r="EF34" s="127">
        <f t="shared" si="95"/>
        <v>11.432689911499949</v>
      </c>
      <c r="EG34" s="127">
        <f t="shared" si="95"/>
        <v>35.965645609057532</v>
      </c>
      <c r="EH34" s="127">
        <f t="shared" si="95"/>
        <v>51.713775505837788</v>
      </c>
      <c r="EI34" s="127">
        <f t="shared" si="95"/>
        <v>66.550492432365672</v>
      </c>
      <c r="EJ34" s="127">
        <f t="shared" si="95"/>
        <v>75.434121245311246</v>
      </c>
      <c r="EK34" s="127">
        <f t="shared" si="95"/>
        <v>83.01378274851416</v>
      </c>
      <c r="EL34" s="127">
        <f t="shared" si="95"/>
        <v>94.210844134651893</v>
      </c>
      <c r="EM34" s="127">
        <f t="shared" si="95"/>
        <v>88.895138309155783</v>
      </c>
      <c r="EN34" s="127">
        <f t="shared" si="95"/>
        <v>86.555983343571086</v>
      </c>
      <c r="EO34" s="127">
        <f t="shared" si="95"/>
        <v>87.111508206924753</v>
      </c>
      <c r="EP34" s="127">
        <f t="shared" si="95"/>
        <v>84.757853458965769</v>
      </c>
      <c r="EQ34" s="192"/>
      <c r="ER34" s="192"/>
      <c r="ES34" s="355">
        <f t="shared" si="18"/>
        <v>29</v>
      </c>
      <c r="ET34"/>
      <c r="EU34"/>
      <c r="EV34"/>
      <c r="EW34"/>
      <c r="EX34"/>
      <c r="EY34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s="4" customFormat="1" ht="11.85" customHeight="1" outlineLevel="1">
      <c r="A35" s="15"/>
      <c r="B35" s="309" t="s">
        <v>232</v>
      </c>
      <c r="C35" s="60"/>
      <c r="D35" s="60"/>
      <c r="E35" s="60">
        <f>SUM(AH35:AK35)</f>
        <v>0</v>
      </c>
      <c r="F35" s="60">
        <f>SUM(AL35:AO35)</f>
        <v>0</v>
      </c>
      <c r="G35" s="60">
        <f>SUM(AP35:AS35)</f>
        <v>0</v>
      </c>
      <c r="H35" s="60">
        <f>SUM(AT35:AW35)</f>
        <v>0</v>
      </c>
      <c r="I35" s="60">
        <f>SUM(AX35:BA35)</f>
        <v>3.0000000000000001E-3</v>
      </c>
      <c r="J35" s="60">
        <f>SUM(BB35:BE35)</f>
        <v>0</v>
      </c>
      <c r="K35" s="60">
        <f>SUM(BF35:BI35)</f>
        <v>0</v>
      </c>
      <c r="L35" s="60">
        <f>SUM(BJ35:BM35)</f>
        <v>0</v>
      </c>
      <c r="M35" s="60">
        <f>SUM(BN35:BQ35)</f>
        <v>1.6259999999999999</v>
      </c>
      <c r="N35" s="60">
        <f t="shared" ref="N35:W37" si="96">SUMIF($AH$5:$ER$5,N$5,$AH35:$ER35)</f>
        <v>0.46200000000000002</v>
      </c>
      <c r="O35" s="60">
        <f t="shared" si="96"/>
        <v>0</v>
      </c>
      <c r="P35" s="60">
        <f t="shared" si="96"/>
        <v>1.9650000000000001</v>
      </c>
      <c r="Q35" s="60">
        <f t="shared" si="96"/>
        <v>5.8090000000000002</v>
      </c>
      <c r="R35" s="60">
        <f t="shared" si="96"/>
        <v>9.8339999999999996</v>
      </c>
      <c r="S35" s="60">
        <f t="shared" si="96"/>
        <v>4.234</v>
      </c>
      <c r="T35" s="60">
        <f t="shared" si="96"/>
        <v>5.0380000000000003</v>
      </c>
      <c r="U35" s="60">
        <f t="shared" si="96"/>
        <v>4.9649999999999999</v>
      </c>
      <c r="V35" s="60">
        <f t="shared" si="96"/>
        <v>1.9830000000000001</v>
      </c>
      <c r="W35" s="60">
        <f t="shared" si="96"/>
        <v>1.9510000000000001</v>
      </c>
      <c r="X35" s="60">
        <f t="shared" ref="X35:AF37" si="97">SUMIF($AH$5:$ER$5,X$5,$AH35:$ER35)</f>
        <v>1.38</v>
      </c>
      <c r="Y35" s="60">
        <f t="shared" si="97"/>
        <v>1.653</v>
      </c>
      <c r="Z35" s="60">
        <f t="shared" si="97"/>
        <v>1.5830000000000002</v>
      </c>
      <c r="AA35" s="60">
        <f t="shared" si="97"/>
        <v>5.8339999999999996</v>
      </c>
      <c r="AB35" s="60">
        <f t="shared" si="97"/>
        <v>3.1659999999999999</v>
      </c>
      <c r="AC35" s="60">
        <f t="shared" si="97"/>
        <v>5.9150000000000009</v>
      </c>
      <c r="AD35" s="60">
        <f t="shared" si="97"/>
        <v>5.5735794194379187</v>
      </c>
      <c r="AE35" s="60">
        <f t="shared" si="97"/>
        <v>3.7610010838467662</v>
      </c>
      <c r="AF35" s="60">
        <f t="shared" si="97"/>
        <v>4.776185507791249</v>
      </c>
      <c r="AG35" s="96"/>
      <c r="AH35" s="60"/>
      <c r="AI35" s="60"/>
      <c r="AJ35" s="60"/>
      <c r="AK35" s="60"/>
      <c r="AL35" s="60"/>
      <c r="AM35" s="60"/>
      <c r="AN35" s="60"/>
      <c r="AO35" s="228">
        <f>0-SUM(AL35:AN35)</f>
        <v>0</v>
      </c>
      <c r="AP35" s="228">
        <v>0</v>
      </c>
      <c r="AQ35" s="228">
        <v>0</v>
      </c>
      <c r="AR35" s="228">
        <v>0</v>
      </c>
      <c r="AS35" s="228">
        <f>0-SUM(AP35:AR35)</f>
        <v>0</v>
      </c>
      <c r="AT35" s="228">
        <v>0</v>
      </c>
      <c r="AU35" s="228">
        <v>0</v>
      </c>
      <c r="AV35" s="228">
        <v>0</v>
      </c>
      <c r="AW35" s="228">
        <v>0</v>
      </c>
      <c r="AX35" s="228">
        <v>0</v>
      </c>
      <c r="AY35" s="228">
        <v>3.0000000000000001E-3</v>
      </c>
      <c r="AZ35" s="228">
        <v>0</v>
      </c>
      <c r="BA35" s="228">
        <v>0</v>
      </c>
      <c r="BB35" s="228">
        <v>0</v>
      </c>
      <c r="BC35" s="228">
        <v>0</v>
      </c>
      <c r="BD35" s="228">
        <v>0</v>
      </c>
      <c r="BE35" s="228">
        <v>0</v>
      </c>
      <c r="BF35" s="228">
        <v>0</v>
      </c>
      <c r="BG35" s="228">
        <v>0</v>
      </c>
      <c r="BH35" s="228">
        <v>0</v>
      </c>
      <c r="BI35" s="228">
        <v>0</v>
      </c>
      <c r="BJ35" s="228">
        <v>0</v>
      </c>
      <c r="BK35" s="228">
        <v>0</v>
      </c>
      <c r="BL35" s="228">
        <v>0</v>
      </c>
      <c r="BM35" s="228">
        <v>0</v>
      </c>
      <c r="BN35" s="228">
        <v>0</v>
      </c>
      <c r="BO35" s="228">
        <v>0</v>
      </c>
      <c r="BP35" s="228">
        <v>1.6259999999999999</v>
      </c>
      <c r="BQ35" s="228">
        <v>0</v>
      </c>
      <c r="BR35" s="228">
        <v>0</v>
      </c>
      <c r="BS35" s="228">
        <v>0</v>
      </c>
      <c r="BT35" s="228">
        <v>0.46200000000000002</v>
      </c>
      <c r="BU35" s="228">
        <v>0</v>
      </c>
      <c r="BV35" s="228">
        <v>0</v>
      </c>
      <c r="BW35" s="228">
        <v>0</v>
      </c>
      <c r="BX35" s="228">
        <v>0</v>
      </c>
      <c r="BY35" s="228">
        <v>0</v>
      </c>
      <c r="BZ35" s="228">
        <v>0.64500000000000002</v>
      </c>
      <c r="CA35" s="228">
        <v>0.51600000000000001</v>
      </c>
      <c r="CB35" s="228">
        <v>0.32800000000000001</v>
      </c>
      <c r="CC35" s="228">
        <v>0.47599999999999998</v>
      </c>
      <c r="CD35" s="228">
        <v>0.96099999999999997</v>
      </c>
      <c r="CE35" s="228">
        <v>1.1930000000000001</v>
      </c>
      <c r="CF35" s="228">
        <v>1.671</v>
      </c>
      <c r="CG35" s="228">
        <v>1.984</v>
      </c>
      <c r="CH35" s="228">
        <v>2.5299999999999998</v>
      </c>
      <c r="CI35" s="228">
        <v>2.456</v>
      </c>
      <c r="CJ35" s="228">
        <v>2.633</v>
      </c>
      <c r="CK35" s="228">
        <v>2.2149999999999999</v>
      </c>
      <c r="CL35" s="228">
        <v>1.244</v>
      </c>
      <c r="CM35" s="228">
        <v>1.034</v>
      </c>
      <c r="CN35" s="228">
        <v>0.96199999999999997</v>
      </c>
      <c r="CO35" s="228">
        <v>0.99399999999999999</v>
      </c>
      <c r="CP35" s="228">
        <v>1.115</v>
      </c>
      <c r="CQ35" s="228">
        <v>1.22</v>
      </c>
      <c r="CR35" s="228">
        <v>1.034</v>
      </c>
      <c r="CS35" s="228">
        <v>1.669</v>
      </c>
      <c r="CT35" s="228">
        <v>1.786</v>
      </c>
      <c r="CU35" s="228">
        <v>2.15</v>
      </c>
      <c r="CV35" s="228">
        <v>0.54200000000000004</v>
      </c>
      <c r="CW35" s="228">
        <v>0.48699999999999999</v>
      </c>
      <c r="CX35" s="228">
        <v>0.439</v>
      </c>
      <c r="CY35" s="228">
        <v>0.32900000000000001</v>
      </c>
      <c r="CZ35" s="228">
        <v>0.94</v>
      </c>
      <c r="DA35" s="228">
        <v>0.27500000000000002</v>
      </c>
      <c r="DB35" s="228">
        <v>0.314</v>
      </c>
      <c r="DC35" s="228">
        <v>0.35599999999999998</v>
      </c>
      <c r="DD35" s="228">
        <v>0.90300000000000002</v>
      </c>
      <c r="DE35" s="228">
        <v>0.378</v>
      </c>
      <c r="DF35" s="228">
        <v>0.33600000000000002</v>
      </c>
      <c r="DG35" s="228">
        <v>0.35599999999999998</v>
      </c>
      <c r="DH35" s="228">
        <v>0.32900000000000001</v>
      </c>
      <c r="DI35" s="228">
        <v>0.35899999999999999</v>
      </c>
      <c r="DJ35" s="228">
        <v>0.42599999999999999</v>
      </c>
      <c r="DK35" s="228">
        <v>0.315</v>
      </c>
      <c r="DL35" s="228">
        <v>0.34100000000000003</v>
      </c>
      <c r="DM35" s="228">
        <v>0.57099999999999995</v>
      </c>
      <c r="DN35" s="228">
        <v>0.45300000000000001</v>
      </c>
      <c r="DO35" s="228">
        <v>0.49</v>
      </c>
      <c r="DP35" s="228">
        <v>0.373</v>
      </c>
      <c r="DQ35" s="228">
        <v>0.26700000000000002</v>
      </c>
      <c r="DR35" s="228">
        <v>0.28499999999999998</v>
      </c>
      <c r="DS35" s="228">
        <v>2.5489999999999999</v>
      </c>
      <c r="DT35" s="228">
        <v>1.6020000000000001</v>
      </c>
      <c r="DU35" s="228">
        <v>1.3979999999999999</v>
      </c>
      <c r="DV35" s="228">
        <v>0.73299999999999998</v>
      </c>
      <c r="DW35" s="228">
        <v>0.79900000000000004</v>
      </c>
      <c r="DX35" s="228">
        <v>0.77800000000000002</v>
      </c>
      <c r="DY35" s="228">
        <v>0.85599999999999998</v>
      </c>
      <c r="DZ35" s="228">
        <v>0.99</v>
      </c>
      <c r="EA35" s="228">
        <v>1.3380000000000001</v>
      </c>
      <c r="EB35" s="228">
        <v>1.7</v>
      </c>
      <c r="EC35" s="228">
        <v>1.887</v>
      </c>
      <c r="ED35" s="228">
        <v>1.724</v>
      </c>
      <c r="EE35" s="228">
        <f t="shared" ref="EE35:EP35" si="98">ED35/AVERAGE(EC251:ED251)*ED251</f>
        <v>1.4616756537563576</v>
      </c>
      <c r="EF35" s="228">
        <f t="shared" si="98"/>
        <v>1.2912321996199896</v>
      </c>
      <c r="EG35" s="228">
        <f t="shared" si="98"/>
        <v>1.0966715660615718</v>
      </c>
      <c r="EH35" s="228">
        <f t="shared" si="98"/>
        <v>0.92366046298874438</v>
      </c>
      <c r="EI35" s="228">
        <f t="shared" si="98"/>
        <v>0.91986618559620548</v>
      </c>
      <c r="EJ35" s="228">
        <f t="shared" si="98"/>
        <v>0.92285627317840535</v>
      </c>
      <c r="EK35" s="228">
        <f t="shared" si="98"/>
        <v>0.99461816208341081</v>
      </c>
      <c r="EL35" s="228">
        <f t="shared" si="98"/>
        <v>1.0760521767221374</v>
      </c>
      <c r="EM35" s="228">
        <f t="shared" si="98"/>
        <v>1.1447904120163788</v>
      </c>
      <c r="EN35" s="228">
        <f t="shared" si="98"/>
        <v>1.2349550464809538</v>
      </c>
      <c r="EO35" s="228">
        <f t="shared" si="98"/>
        <v>1.3203878725717797</v>
      </c>
      <c r="EP35" s="228">
        <f t="shared" si="98"/>
        <v>1.4055704960313129</v>
      </c>
      <c r="EQ35" s="60"/>
      <c r="ER35" s="60"/>
      <c r="ES35" s="355">
        <f t="shared" si="18"/>
        <v>30</v>
      </c>
      <c r="ET35"/>
      <c r="EU35"/>
      <c r="EV35"/>
      <c r="EW35"/>
      <c r="EX35"/>
      <c r="EY35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s="4" customFormat="1" ht="11.85" customHeight="1" outlineLevel="1">
      <c r="A36" s="15"/>
      <c r="B36" s="309" t="s">
        <v>231</v>
      </c>
      <c r="C36" s="60"/>
      <c r="D36" s="60"/>
      <c r="E36" s="60">
        <f>SUM(AH36:AK36)</f>
        <v>-0.92500000000000004</v>
      </c>
      <c r="F36" s="60">
        <f>SUM(AL36:AO36)</f>
        <v>-0.38500000000000001</v>
      </c>
      <c r="G36" s="60">
        <f>SUM(AP36:AS36)</f>
        <v>-0.40699999999999997</v>
      </c>
      <c r="H36" s="60">
        <f>SUM(AT36:AW36)</f>
        <v>-0.67800000000000005</v>
      </c>
      <c r="I36" s="60">
        <f>SUM(AX36:BA36)</f>
        <v>-4.2119999999999997</v>
      </c>
      <c r="J36" s="60">
        <f>SUM(BB36:BE36)</f>
        <v>-0.94199999999999995</v>
      </c>
      <c r="K36" s="60">
        <f>SUM(BF36:BI36)</f>
        <v>-6.4809999999999999</v>
      </c>
      <c r="L36" s="60">
        <f>SUM(BJ36:BM36)</f>
        <v>-3.0759999999999996</v>
      </c>
      <c r="M36" s="60">
        <f>SUM(BN36:BQ36)</f>
        <v>-1.056</v>
      </c>
      <c r="N36" s="60">
        <f t="shared" si="96"/>
        <v>-1.4419999999999999</v>
      </c>
      <c r="O36" s="60">
        <f t="shared" si="96"/>
        <v>-12.289</v>
      </c>
      <c r="P36" s="60">
        <f t="shared" si="96"/>
        <v>-12.695</v>
      </c>
      <c r="Q36" s="60">
        <f t="shared" si="96"/>
        <v>-12.641999999999999</v>
      </c>
      <c r="R36" s="60">
        <f t="shared" si="96"/>
        <v>-6.6439999999999992</v>
      </c>
      <c r="S36" s="60">
        <f t="shared" si="96"/>
        <v>-10.125999999999999</v>
      </c>
      <c r="T36" s="60">
        <f t="shared" si="96"/>
        <v>-18.689</v>
      </c>
      <c r="U36" s="60">
        <f t="shared" si="96"/>
        <v>-13.49</v>
      </c>
      <c r="V36" s="60">
        <f t="shared" si="96"/>
        <v>-17.326999999999998</v>
      </c>
      <c r="W36" s="60">
        <f t="shared" si="96"/>
        <v>-17.354999999999997</v>
      </c>
      <c r="X36" s="60">
        <f t="shared" si="97"/>
        <v>-8.6529999999999987</v>
      </c>
      <c r="Y36" s="60">
        <f t="shared" si="97"/>
        <v>-6.1289999999999996</v>
      </c>
      <c r="Z36" s="60">
        <f t="shared" si="97"/>
        <v>-4.6539999999999999</v>
      </c>
      <c r="AA36" s="60">
        <f t="shared" si="97"/>
        <v>-15.036</v>
      </c>
      <c r="AB36" s="60">
        <f t="shared" si="97"/>
        <v>-22.913</v>
      </c>
      <c r="AC36" s="60">
        <f t="shared" si="97"/>
        <v>-23.747</v>
      </c>
      <c r="AD36" s="60">
        <f t="shared" si="97"/>
        <v>-23.097022351602753</v>
      </c>
      <c r="AE36" s="60">
        <f t="shared" si="97"/>
        <v>-23.098696468803674</v>
      </c>
      <c r="AF36" s="60">
        <f t="shared" si="97"/>
        <v>-23.098696468803674</v>
      </c>
      <c r="AG36" s="96"/>
      <c r="AH36" s="60">
        <v>-0.32200000000000001</v>
      </c>
      <c r="AI36" s="60">
        <v>-8.5000000000000006E-2</v>
      </c>
      <c r="AJ36" s="60">
        <v>-0.308</v>
      </c>
      <c r="AK36" s="60">
        <f>-0.925-SUM(AH36:AJ36)</f>
        <v>-0.20999999999999996</v>
      </c>
      <c r="AL36" s="60">
        <v>-0.182</v>
      </c>
      <c r="AM36" s="60">
        <v>-4.1000000000000002E-2</v>
      </c>
      <c r="AN36" s="60">
        <v>-0.111</v>
      </c>
      <c r="AO36" s="228">
        <f>-0.385-SUM(AL36:AN36)</f>
        <v>-5.099999999999999E-2</v>
      </c>
      <c r="AP36" s="228">
        <v>-9.9000000000000005E-2</v>
      </c>
      <c r="AQ36" s="228">
        <v>-4.3999999999999997E-2</v>
      </c>
      <c r="AR36" s="228">
        <v>-9.4E-2</v>
      </c>
      <c r="AS36" s="228">
        <f>-0.407-SUM(AP36:AR36)</f>
        <v>-0.16999999999999996</v>
      </c>
      <c r="AT36" s="228">
        <v>-7.9000000000000001E-2</v>
      </c>
      <c r="AU36" s="228">
        <v>-0.248</v>
      </c>
      <c r="AV36" s="228">
        <v>-6.3E-2</v>
      </c>
      <c r="AW36" s="228">
        <f>-0.678-SUM(AT36:AV36)</f>
        <v>-0.28800000000000003</v>
      </c>
      <c r="AX36" s="228">
        <v>-3.0000000000000001E-3</v>
      </c>
      <c r="AY36" s="228">
        <v>0</v>
      </c>
      <c r="AZ36" s="228">
        <v>-0.14299999999999999</v>
      </c>
      <c r="BA36" s="228">
        <f>-4.212-SUM(AX36:AZ36)</f>
        <v>-4.0659999999999998</v>
      </c>
      <c r="BB36" s="228">
        <v>-2.5000000000000001E-2</v>
      </c>
      <c r="BC36" s="228">
        <v>-3.4000000000000002E-2</v>
      </c>
      <c r="BD36" s="228">
        <v>-0.57199999999999995</v>
      </c>
      <c r="BE36" s="228">
        <f>-0.942-SUM(BB36:BD36)</f>
        <v>-0.31099999999999994</v>
      </c>
      <c r="BF36" s="228">
        <v>-1.6020000000000001</v>
      </c>
      <c r="BG36" s="228">
        <v>-1.877</v>
      </c>
      <c r="BH36" s="228">
        <v>-1.9279999999999999</v>
      </c>
      <c r="BI36" s="228">
        <f>-6.481-SUM(BF36:BH36)</f>
        <v>-1.0739999999999998</v>
      </c>
      <c r="BJ36" s="228">
        <v>-0.82099999999999995</v>
      </c>
      <c r="BK36" s="228">
        <v>-0.80100000000000005</v>
      </c>
      <c r="BL36" s="228">
        <v>-0.76700000000000002</v>
      </c>
      <c r="BM36" s="228">
        <v>-0.68700000000000006</v>
      </c>
      <c r="BN36" s="228">
        <v>-0.60699999999999998</v>
      </c>
      <c r="BO36" s="228">
        <v>-6.8000000000000005E-2</v>
      </c>
      <c r="BP36" s="228">
        <v>0</v>
      </c>
      <c r="BQ36" s="228">
        <v>-0.38100000000000001</v>
      </c>
      <c r="BR36" s="228">
        <v>-0.39200000000000002</v>
      </c>
      <c r="BS36" s="228">
        <v>-0.33800000000000002</v>
      </c>
      <c r="BT36" s="228">
        <v>0</v>
      </c>
      <c r="BU36" s="228">
        <v>-0.71199999999999997</v>
      </c>
      <c r="BV36" s="228">
        <v>-2.77</v>
      </c>
      <c r="BW36" s="228">
        <v>-3.032</v>
      </c>
      <c r="BX36" s="228">
        <v>-3.2469999999999999</v>
      </c>
      <c r="BY36" s="228">
        <v>-3.24</v>
      </c>
      <c r="BZ36" s="228">
        <v>-3.222</v>
      </c>
      <c r="CA36" s="228">
        <v>-3.1120000000000001</v>
      </c>
      <c r="CB36" s="228">
        <v>-3.1139999999999999</v>
      </c>
      <c r="CC36" s="228">
        <v>-3.2469999999999999</v>
      </c>
      <c r="CD36" s="228">
        <v>-3.3090000000000002</v>
      </c>
      <c r="CE36" s="228">
        <v>-3.246</v>
      </c>
      <c r="CF36" s="228">
        <v>-3.1269999999999998</v>
      </c>
      <c r="CG36" s="228">
        <v>-2.96</v>
      </c>
      <c r="CH36" s="228">
        <v>-2.58</v>
      </c>
      <c r="CI36" s="228">
        <v>-1.946</v>
      </c>
      <c r="CJ36" s="228">
        <v>-1.2809999999999999</v>
      </c>
      <c r="CK36" s="228">
        <v>-0.83699999999999997</v>
      </c>
      <c r="CL36" s="228">
        <v>-0.91900000000000004</v>
      </c>
      <c r="CM36" s="228">
        <v>-1.913</v>
      </c>
      <c r="CN36" s="228">
        <v>-3.26</v>
      </c>
      <c r="CO36" s="228">
        <v>-4.0339999999999998</v>
      </c>
      <c r="CP36" s="228">
        <v>-4.8310000000000004</v>
      </c>
      <c r="CQ36" s="228">
        <v>-4.7729999999999997</v>
      </c>
      <c r="CR36" s="228">
        <v>-4.6509999999999998</v>
      </c>
      <c r="CS36" s="228">
        <v>-4.4340000000000002</v>
      </c>
      <c r="CT36" s="228">
        <v>-3.7</v>
      </c>
      <c r="CU36" s="228">
        <v>-2.5539999999999998</v>
      </c>
      <c r="CV36" s="228">
        <v>-2.7930000000000001</v>
      </c>
      <c r="CW36" s="228">
        <v>-4.4429999999999996</v>
      </c>
      <c r="CX36" s="228">
        <v>-4.694</v>
      </c>
      <c r="CY36" s="228">
        <v>-4.2069999999999999</v>
      </c>
      <c r="CZ36" s="228">
        <v>-3.9609999999999999</v>
      </c>
      <c r="DA36" s="228">
        <v>-4.4649999999999999</v>
      </c>
      <c r="DB36" s="228">
        <v>-4.4509999999999996</v>
      </c>
      <c r="DC36" s="228">
        <v>-5.5129999999999999</v>
      </c>
      <c r="DD36" s="228">
        <v>-3.2210000000000001</v>
      </c>
      <c r="DE36" s="228">
        <v>-4.17</v>
      </c>
      <c r="DF36" s="228">
        <f>-2.461</f>
        <v>-2.4609999999999999</v>
      </c>
      <c r="DG36" s="228">
        <v>-2.4209999999999998</v>
      </c>
      <c r="DH36" s="228">
        <v>-2.411</v>
      </c>
      <c r="DI36" s="228">
        <v>-1.36</v>
      </c>
      <c r="DJ36" s="228">
        <v>-1.3080000000000001</v>
      </c>
      <c r="DK36" s="228">
        <v>-1.1859999999999999</v>
      </c>
      <c r="DL36" s="228">
        <v>-2.0910000000000002</v>
      </c>
      <c r="DM36" s="228">
        <v>-1.544</v>
      </c>
      <c r="DN36" s="228">
        <v>-1.194</v>
      </c>
      <c r="DO36" s="228">
        <v>-1.7250000000000001</v>
      </c>
      <c r="DP36" s="228">
        <v>-1.4350000000000001</v>
      </c>
      <c r="DQ36" s="228">
        <v>-0.3</v>
      </c>
      <c r="DR36" s="228">
        <v>-0.56100000000000005</v>
      </c>
      <c r="DS36" s="228">
        <v>-2.4710000000000001</v>
      </c>
      <c r="DT36" s="228">
        <v>-6.258</v>
      </c>
      <c r="DU36" s="228">
        <v>-5.7460000000000004</v>
      </c>
      <c r="DV36" s="228">
        <v>-4.524</v>
      </c>
      <c r="DW36" s="228">
        <v>-5.7210000000000001</v>
      </c>
      <c r="DX36" s="228">
        <v>-6.407</v>
      </c>
      <c r="DY36" s="228">
        <v>-6.2610000000000001</v>
      </c>
      <c r="DZ36" s="228">
        <v>-5.0549999999999997</v>
      </c>
      <c r="EA36" s="228">
        <v>-6.0839999999999996</v>
      </c>
      <c r="EB36" s="228">
        <v>-6.3639999999999999</v>
      </c>
      <c r="EC36" s="228">
        <f>-2.244-4</f>
        <v>-6.2439999999999998</v>
      </c>
      <c r="ED36" s="228">
        <v>-5.7729999999999997</v>
      </c>
      <c r="EE36" s="60">
        <f t="shared" ref="EE36:EP36" si="99">-EE97/4*ED284</f>
        <v>-5.7746741172009184</v>
      </c>
      <c r="EF36" s="60">
        <f t="shared" si="99"/>
        <v>-5.7746741172009184</v>
      </c>
      <c r="EG36" s="60">
        <f t="shared" si="99"/>
        <v>-5.7746741172009184</v>
      </c>
      <c r="EH36" s="60">
        <f t="shared" si="99"/>
        <v>-5.7746741172009184</v>
      </c>
      <c r="EI36" s="60">
        <f t="shared" si="99"/>
        <v>-5.7746741172009184</v>
      </c>
      <c r="EJ36" s="60">
        <f t="shared" si="99"/>
        <v>-5.7746741172009184</v>
      </c>
      <c r="EK36" s="60">
        <f t="shared" si="99"/>
        <v>-5.7746741172009184</v>
      </c>
      <c r="EL36" s="60">
        <f t="shared" si="99"/>
        <v>-5.7746741172009184</v>
      </c>
      <c r="EM36" s="60">
        <f t="shared" si="99"/>
        <v>-5.7746741172009184</v>
      </c>
      <c r="EN36" s="60">
        <f t="shared" si="99"/>
        <v>-5.7746741172009184</v>
      </c>
      <c r="EO36" s="60">
        <f t="shared" si="99"/>
        <v>-5.7746741172009184</v>
      </c>
      <c r="EP36" s="60">
        <f t="shared" si="99"/>
        <v>-5.7746741172009184</v>
      </c>
      <c r="EQ36" s="60"/>
      <c r="ER36" s="60"/>
      <c r="ES36" s="355">
        <f t="shared" si="18"/>
        <v>31</v>
      </c>
      <c r="ET36"/>
      <c r="EU36"/>
      <c r="EV36"/>
      <c r="EW36"/>
      <c r="EX36"/>
      <c r="EY36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s="4" customFormat="1" ht="11.45" customHeight="1" outlineLevel="1">
      <c r="A37" s="15"/>
      <c r="B37" s="14" t="s">
        <v>230</v>
      </c>
      <c r="C37" s="18"/>
      <c r="D37" s="18"/>
      <c r="E37" s="18">
        <f>SUM(AH37:AK37)</f>
        <v>-14.519999999999998</v>
      </c>
      <c r="F37" s="18">
        <f>SUM(AL37:AO37)</f>
        <v>-19.611000000000001</v>
      </c>
      <c r="G37" s="18">
        <f>SUM(AP37:AS37)</f>
        <v>-19.936</v>
      </c>
      <c r="H37" s="18">
        <f>SUM(AT37:AW37)</f>
        <v>-19.709</v>
      </c>
      <c r="I37" s="18">
        <f>SUM(AX37:BA37)</f>
        <v>-17.664000000000001</v>
      </c>
      <c r="J37" s="18">
        <f>SUM(BB37:BE37)</f>
        <v>-29.867476190476189</v>
      </c>
      <c r="K37" s="18">
        <f>SUM(BF37:BI37)</f>
        <v>-42.279333333333334</v>
      </c>
      <c r="L37" s="18">
        <f>SUM(BJ37:BM37)</f>
        <v>-30.966733333333334</v>
      </c>
      <c r="M37" s="18">
        <f>SUM(BN37:BQ37)</f>
        <v>-54.605305084745758</v>
      </c>
      <c r="N37" s="18">
        <f t="shared" si="96"/>
        <v>3.2535178571428571</v>
      </c>
      <c r="O37" s="18">
        <f t="shared" si="96"/>
        <v>2.6166842105263171</v>
      </c>
      <c r="P37" s="18">
        <f t="shared" si="96"/>
        <v>0.19700000000000001</v>
      </c>
      <c r="Q37" s="18">
        <f t="shared" si="96"/>
        <v>-0.23499999999999999</v>
      </c>
      <c r="R37" s="18">
        <f t="shared" si="96"/>
        <v>0.63900000000000001</v>
      </c>
      <c r="S37" s="18">
        <f t="shared" si="96"/>
        <v>-1.532</v>
      </c>
      <c r="T37" s="18">
        <f t="shared" si="96"/>
        <v>-1.23</v>
      </c>
      <c r="U37" s="18">
        <f t="shared" si="96"/>
        <v>0.80800000000000005</v>
      </c>
      <c r="V37" s="18">
        <f t="shared" si="96"/>
        <v>1.3320000000000001</v>
      </c>
      <c r="W37" s="18">
        <f t="shared" si="96"/>
        <v>-0.95300000000000007</v>
      </c>
      <c r="X37" s="18">
        <f t="shared" si="97"/>
        <v>5.1120000000000001</v>
      </c>
      <c r="Y37" s="18">
        <f t="shared" si="97"/>
        <v>-9.0000000000003411E-3</v>
      </c>
      <c r="Z37" s="18">
        <f t="shared" si="97"/>
        <v>-0.63600000000000001</v>
      </c>
      <c r="AA37" s="18">
        <f t="shared" si="97"/>
        <v>-0.90100000000000002</v>
      </c>
      <c r="AB37" s="18">
        <f t="shared" si="97"/>
        <v>-0.96499999999999997</v>
      </c>
      <c r="AC37" s="18">
        <f t="shared" si="97"/>
        <v>1.7749999999999999</v>
      </c>
      <c r="AD37" s="18">
        <f t="shared" si="97"/>
        <v>0.53</v>
      </c>
      <c r="AE37" s="18">
        <f t="shared" si="97"/>
        <v>0</v>
      </c>
      <c r="AF37" s="18">
        <f t="shared" si="97"/>
        <v>0</v>
      </c>
      <c r="AG37" s="96"/>
      <c r="AH37" s="18">
        <f>(2.996-3.24-3.66)-1.57</f>
        <v>-5.4740000000000002</v>
      </c>
      <c r="AI37" s="18">
        <f>(2.106-1.91-4.005)-0.59</f>
        <v>-4.399</v>
      </c>
      <c r="AJ37" s="18">
        <f>(1.512-1.267-3.793)+0.05</f>
        <v>-3.4980000000000002</v>
      </c>
      <c r="AK37" s="18">
        <f>(9.05-6.893-13.763)-2.914-SUM(AH37:AJ37)</f>
        <v>-1.1489999999999956</v>
      </c>
      <c r="AL37" s="18">
        <f>1.542-1.31-4.29</f>
        <v>-4.0579999999999998</v>
      </c>
      <c r="AM37" s="18">
        <f>1.524-1.306-3.843</f>
        <v>-3.625</v>
      </c>
      <c r="AN37" s="18">
        <f>1.646-2.055-3.585</f>
        <v>-3.9940000000000002</v>
      </c>
      <c r="AO37" s="57">
        <f>6.303-10.369-15.545-SUM(AL37:AN37)</f>
        <v>-7.9340000000000011</v>
      </c>
      <c r="AP37" s="57">
        <f>1.389-2.179-3.978</f>
        <v>-4.7679999999999998</v>
      </c>
      <c r="AQ37" s="57">
        <f>(3.192-2.316-4.159)-1.828</f>
        <v>-5.1109999999999998</v>
      </c>
      <c r="AR37" s="57">
        <f>(2.343-1.888-3.962)-1.119</f>
        <v>-4.6260000000000003</v>
      </c>
      <c r="AS37" s="57">
        <f>(10.846-10.095-14.99)-5.697-SUM(AP37:AR37)</f>
        <v>-5.4310000000000009</v>
      </c>
      <c r="AT37" s="57">
        <f>1.167-0.928-3.692</f>
        <v>-3.4530000000000003</v>
      </c>
      <c r="AU37" s="57">
        <f>1.302-3.23-4.773</f>
        <v>-6.7009999999999996</v>
      </c>
      <c r="AV37" s="57">
        <f>(1.656-2.397-4.748)-0.566</f>
        <v>-6.0549999999999997</v>
      </c>
      <c r="AW37" s="57">
        <f>(5.782-7.986-16.939)-0.566-SUM(AT37:AV37)</f>
        <v>-3.5</v>
      </c>
      <c r="AX37" s="57">
        <f>1.536-0.56-4.687</f>
        <v>-3.7110000000000003</v>
      </c>
      <c r="AY37" s="57">
        <f>1.706-2.412-5.418</f>
        <v>-6.1240000000000006</v>
      </c>
      <c r="AZ37" s="57">
        <f>6.449-1.102-5.192</f>
        <v>0.15499999999999936</v>
      </c>
      <c r="BA37" s="57">
        <f>(11.437-7.783-21.318)-SUM(AX37:AZ37)</f>
        <v>-7.984</v>
      </c>
      <c r="BB37" s="57">
        <f>7.711-4.137-5.194-(3.675/(1-BB364))</f>
        <v>-7.4533333333333323</v>
      </c>
      <c r="BC37" s="57">
        <f>1.567-3.169-5.783</f>
        <v>-7.3850000000000007</v>
      </c>
      <c r="BD37" s="57">
        <f>23.234-1.967-6.9-(13.1404/(1-BD364))</f>
        <v>-6.4907777777777742</v>
      </c>
      <c r="BE37" s="57">
        <f>(44.603-11.572-25.728-(6.602+3.675+13.1404)/(1-BE364))-SUM(BB37:BD37)</f>
        <v>-8.5383650793650823</v>
      </c>
      <c r="BF37" s="57">
        <f>1.346-1.759-6.421-(0.071/(1-BF364))-(9.509+0.719)</f>
        <v>-17.180333333333333</v>
      </c>
      <c r="BG37" s="57">
        <f>1.332-2.134-6.654</f>
        <v>-7.4559999999999995</v>
      </c>
      <c r="BH37" s="57">
        <f>2.515-3.063-5.975-(0.732/(1-BH364))</f>
        <v>-7.7429999999999994</v>
      </c>
      <c r="BI37" s="57">
        <f>(-11.727+7.757-25.478-(9.509+0.719)-(0.071+0.732+0.759)/(1-BI364))-SUM(BF37:BH37)</f>
        <v>-9.8999999999999986</v>
      </c>
      <c r="BJ37" s="57">
        <f>14.387-2.382-6.512-(1.754*(1-BJ364))</f>
        <v>4.4406000000000008</v>
      </c>
      <c r="BK37" s="57">
        <f>11.607-4.445-7.73-(5.996/(1-BK364))</f>
        <v>-10.561333333333334</v>
      </c>
      <c r="BL37" s="57">
        <f>2.208-7.811-7.716</f>
        <v>-13.318999999999999</v>
      </c>
      <c r="BM37" s="57">
        <f>3.771-8.054-7.244</f>
        <v>-11.527000000000001</v>
      </c>
      <c r="BN37" s="57">
        <f>2.802-12.044-8.868</f>
        <v>-18.11</v>
      </c>
      <c r="BO37" s="57">
        <f>2.752-6.704-12.066-(0.074/(1-BO364))</f>
        <v>-16.143423728813559</v>
      </c>
      <c r="BP37" s="57">
        <f>4.649-6.878-10.276-(1.423/(1-BP364))</f>
        <v>-14.916864406779659</v>
      </c>
      <c r="BQ37" s="57">
        <f>0.363-6.65-(((-0.01*50267)/10^3)/(1-BQ364))</f>
        <v>-5.4350169491525433</v>
      </c>
      <c r="BR37" s="57">
        <v>1.3069999999999999</v>
      </c>
      <c r="BS37" s="57">
        <f>1.528-(0.324/(1-BS364))</f>
        <v>0.94942857142857151</v>
      </c>
      <c r="BT37" s="57">
        <f>25.554-25.554</f>
        <v>0</v>
      </c>
      <c r="BU37" s="57">
        <f>0.096-(((-0.01*50461)/10^3)/(1-BU364))</f>
        <v>0.99708928571428557</v>
      </c>
      <c r="BV37" s="57">
        <v>0.80900000000000005</v>
      </c>
      <c r="BW37" s="57">
        <v>0.86099999999999999</v>
      </c>
      <c r="BX37" s="57">
        <v>0.47199999999999998</v>
      </c>
      <c r="BY37" s="57">
        <f>5.811-(((0.06*50695)/10^3)/(1-BY364))</f>
        <v>0.47468421052631715</v>
      </c>
      <c r="BZ37" s="57">
        <f>0.009</f>
        <v>8.9999999999999993E-3</v>
      </c>
      <c r="CA37" s="57">
        <f>0.109</f>
        <v>0.109</v>
      </c>
      <c r="CB37" s="57">
        <v>1.2999999999999999E-2</v>
      </c>
      <c r="CC37" s="57">
        <f>0.066</f>
        <v>6.6000000000000003E-2</v>
      </c>
      <c r="CD37" s="57">
        <f>-0.002</f>
        <v>-2E-3</v>
      </c>
      <c r="CE37" s="57">
        <f>0.348</f>
        <v>0.34799999999999998</v>
      </c>
      <c r="CF37" s="57">
        <v>2.9000000000000001E-2</v>
      </c>
      <c r="CG37" s="57">
        <f>-0.61</f>
        <v>-0.61</v>
      </c>
      <c r="CH37" s="57">
        <f>-0.513</f>
        <v>-0.51300000000000001</v>
      </c>
      <c r="CI37" s="57">
        <v>2.7E-2</v>
      </c>
      <c r="CJ37" s="57">
        <f>1.085</f>
        <v>1.085</v>
      </c>
      <c r="CK37" s="57">
        <f>0.04</f>
        <v>0.04</v>
      </c>
      <c r="CL37" s="57">
        <f>0.064</f>
        <v>6.4000000000000001E-2</v>
      </c>
      <c r="CM37" s="57">
        <f>0.066</f>
        <v>6.6000000000000003E-2</v>
      </c>
      <c r="CN37" s="57">
        <f>0.12</f>
        <v>0.12</v>
      </c>
      <c r="CO37" s="57">
        <f>-1.782</f>
        <v>-1.782</v>
      </c>
      <c r="CP37" s="57">
        <f>-0.616</f>
        <v>-0.61599999999999999</v>
      </c>
      <c r="CQ37" s="57">
        <f>0.18</f>
        <v>0.18</v>
      </c>
      <c r="CR37" s="57">
        <f>0.066</f>
        <v>6.6000000000000003E-2</v>
      </c>
      <c r="CS37" s="57">
        <v>-0.86</v>
      </c>
      <c r="CT37" s="57">
        <v>0.128</v>
      </c>
      <c r="CU37" s="57">
        <v>-2.8000000000000001E-2</v>
      </c>
      <c r="CV37" s="57">
        <v>0.51400000000000001</v>
      </c>
      <c r="CW37" s="57">
        <v>0.19400000000000001</v>
      </c>
      <c r="CX37" s="57">
        <v>1.4999999999999999E-2</v>
      </c>
      <c r="CY37" s="57">
        <v>-0.432</v>
      </c>
      <c r="CZ37" s="57">
        <v>0.215</v>
      </c>
      <c r="DA37" s="57">
        <v>1.534</v>
      </c>
      <c r="DB37" s="57">
        <v>0.16600000000000001</v>
      </c>
      <c r="DC37" s="57">
        <v>0.23200000000000001</v>
      </c>
      <c r="DD37" s="57">
        <f>-0.19</f>
        <v>-0.19</v>
      </c>
      <c r="DE37" s="57">
        <v>-1.161</v>
      </c>
      <c r="DF37" s="57">
        <f>0.021</f>
        <v>2.1000000000000001E-2</v>
      </c>
      <c r="DG37" s="57">
        <v>-4.2000000000000003E-2</v>
      </c>
      <c r="DH37" s="57">
        <v>0.309</v>
      </c>
      <c r="DI37" s="57">
        <f>-0.034+4.858</f>
        <v>4.8239999999999998</v>
      </c>
      <c r="DJ37" s="57">
        <v>-2.0840000000000001</v>
      </c>
      <c r="DK37" s="57">
        <v>0.10299999999999999</v>
      </c>
      <c r="DL37" s="57">
        <f>-1.214</f>
        <v>-1.214</v>
      </c>
      <c r="DM37" s="57">
        <f>3.186</f>
        <v>3.1859999999999999</v>
      </c>
      <c r="DN37" s="57">
        <f>-0.345</f>
        <v>-0.34499999999999997</v>
      </c>
      <c r="DO37" s="57">
        <f>-0.032</f>
        <v>-3.2000000000000001E-2</v>
      </c>
      <c r="DP37" s="57">
        <v>0.34599999999999997</v>
      </c>
      <c r="DQ37" s="57">
        <v>-0.60499999999999998</v>
      </c>
      <c r="DR37" s="57">
        <f>0.314</f>
        <v>0.314</v>
      </c>
      <c r="DS37" s="57">
        <v>5.5E-2</v>
      </c>
      <c r="DT37" s="57">
        <f>-0.281</f>
        <v>-0.28100000000000003</v>
      </c>
      <c r="DU37" s="57">
        <f>-0.989</f>
        <v>-0.98899999999999999</v>
      </c>
      <c r="DV37" s="57">
        <f>-0.261</f>
        <v>-0.26100000000000001</v>
      </c>
      <c r="DW37" s="57">
        <f>0.653</f>
        <v>0.65300000000000002</v>
      </c>
      <c r="DX37" s="57">
        <f>0.534</f>
        <v>0.53400000000000003</v>
      </c>
      <c r="DY37" s="57">
        <f>-1.891</f>
        <v>-1.891</v>
      </c>
      <c r="DZ37" s="57">
        <v>0.38700000000000001</v>
      </c>
      <c r="EA37" s="57">
        <v>0.17399999999999999</v>
      </c>
      <c r="EB37" s="57">
        <v>-0.91100000000000003</v>
      </c>
      <c r="EC37" s="57">
        <f>2.125</f>
        <v>2.125</v>
      </c>
      <c r="ED37" s="57">
        <v>0.53</v>
      </c>
      <c r="EE37" s="118">
        <v>0</v>
      </c>
      <c r="EF37" s="118">
        <v>0</v>
      </c>
      <c r="EG37" s="118">
        <v>0</v>
      </c>
      <c r="EH37" s="118">
        <v>0</v>
      </c>
      <c r="EI37" s="118">
        <v>0</v>
      </c>
      <c r="EJ37" s="118">
        <v>0</v>
      </c>
      <c r="EK37" s="118">
        <v>0</v>
      </c>
      <c r="EL37" s="118">
        <v>0</v>
      </c>
      <c r="EM37" s="118">
        <v>0</v>
      </c>
      <c r="EN37" s="118">
        <v>0</v>
      </c>
      <c r="EO37" s="118">
        <v>0</v>
      </c>
      <c r="EP37" s="118">
        <v>0</v>
      </c>
      <c r="EQ37" s="192"/>
      <c r="ER37" s="192"/>
      <c r="ES37" s="355">
        <f t="shared" si="18"/>
        <v>32</v>
      </c>
      <c r="ET37"/>
      <c r="EU37"/>
      <c r="EV37"/>
      <c r="EW37"/>
      <c r="EX37"/>
      <c r="EY37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s="4" customFormat="1" ht="11.45" customHeight="1" outlineLevel="1">
      <c r="A38" s="15"/>
      <c r="B38" s="308" t="s">
        <v>229</v>
      </c>
      <c r="C38" s="127"/>
      <c r="D38" s="127"/>
      <c r="E38" s="127">
        <f t="shared" ref="E38:AF38" si="100">SUM(E34:E37)</f>
        <v>40.317000000000043</v>
      </c>
      <c r="F38" s="127">
        <f t="shared" si="100"/>
        <v>30.298999999999989</v>
      </c>
      <c r="G38" s="127">
        <f t="shared" si="100"/>
        <v>23.79099999999999</v>
      </c>
      <c r="H38" s="127">
        <f t="shared" si="100"/>
        <v>68.977000000000004</v>
      </c>
      <c r="I38" s="127">
        <f t="shared" si="100"/>
        <v>127.41800000000002</v>
      </c>
      <c r="J38" s="127">
        <f t="shared" si="100"/>
        <v>115.04952380952386</v>
      </c>
      <c r="K38" s="127">
        <f t="shared" si="100"/>
        <v>52.10666666666669</v>
      </c>
      <c r="L38" s="127">
        <f t="shared" si="100"/>
        <v>125.71726666666666</v>
      </c>
      <c r="M38" s="127">
        <f t="shared" si="100"/>
        <v>233.45469491525424</v>
      </c>
      <c r="N38" s="127">
        <f t="shared" si="100"/>
        <v>65.988517857142881</v>
      </c>
      <c r="O38" s="127">
        <f t="shared" si="100"/>
        <v>28.605684210526292</v>
      </c>
      <c r="P38" s="127">
        <f t="shared" si="100"/>
        <v>28.721000000000036</v>
      </c>
      <c r="Q38" s="127">
        <f t="shared" si="100"/>
        <v>172.13800000000012</v>
      </c>
      <c r="R38" s="127">
        <f t="shared" si="100"/>
        <v>413.62299999999999</v>
      </c>
      <c r="S38" s="127">
        <f t="shared" si="100"/>
        <v>566.53699999999958</v>
      </c>
      <c r="T38" s="127">
        <f t="shared" si="100"/>
        <v>665.33800000000008</v>
      </c>
      <c r="U38" s="127">
        <f t="shared" si="100"/>
        <v>569.24199999999996</v>
      </c>
      <c r="V38" s="127">
        <f t="shared" si="100"/>
        <v>427.298</v>
      </c>
      <c r="W38" s="127">
        <f t="shared" si="100"/>
        <v>682.46499999999992</v>
      </c>
      <c r="X38" s="127">
        <f t="shared" si="100"/>
        <v>883.3570000000002</v>
      </c>
      <c r="Y38" s="127">
        <f t="shared" si="100"/>
        <v>916.81339999999943</v>
      </c>
      <c r="Z38" s="127">
        <f t="shared" si="100"/>
        <v>1038.5931920000005</v>
      </c>
      <c r="AA38" s="127">
        <f t="shared" si="100"/>
        <v>508.28493200000003</v>
      </c>
      <c r="AB38" s="127">
        <f t="shared" si="100"/>
        <v>-185.59088899999975</v>
      </c>
      <c r="AC38" s="127">
        <f t="shared" si="100"/>
        <v>-200.92420000000035</v>
      </c>
      <c r="AD38" s="127">
        <f t="shared" si="100"/>
        <v>26.48524263839284</v>
      </c>
      <c r="AE38" s="127">
        <f t="shared" si="100"/>
        <v>257.37447654707205</v>
      </c>
      <c r="AF38" s="127">
        <f t="shared" si="100"/>
        <v>338.45096303329126</v>
      </c>
      <c r="AG38" s="307"/>
      <c r="AH38" s="306">
        <f t="shared" ref="AH38:BM38" si="101">SUM(AH34:AH37)</f>
        <v>10.933999999999997</v>
      </c>
      <c r="AI38" s="306">
        <f t="shared" si="101"/>
        <v>12.010000000000002</v>
      </c>
      <c r="AJ38" s="306">
        <f t="shared" si="101"/>
        <v>8.2519999999999989</v>
      </c>
      <c r="AK38" s="306">
        <f t="shared" si="101"/>
        <v>9.1210000000000218</v>
      </c>
      <c r="AL38" s="306">
        <f t="shared" si="101"/>
        <v>11.393000000000004</v>
      </c>
      <c r="AM38" s="306">
        <f t="shared" si="101"/>
        <v>10.568999999999994</v>
      </c>
      <c r="AN38" s="306">
        <f t="shared" si="101"/>
        <v>6.8160000000000096</v>
      </c>
      <c r="AO38" s="306">
        <f t="shared" si="101"/>
        <v>1.5209999999999706</v>
      </c>
      <c r="AP38" s="306">
        <f t="shared" si="101"/>
        <v>6.7160000000000073</v>
      </c>
      <c r="AQ38" s="306">
        <f t="shared" si="101"/>
        <v>6.9869999999999974</v>
      </c>
      <c r="AR38" s="306">
        <f t="shared" si="101"/>
        <v>6.1389999999999967</v>
      </c>
      <c r="AS38" s="306">
        <f t="shared" si="101"/>
        <v>3.9489999999999892</v>
      </c>
      <c r="AT38" s="306">
        <f t="shared" si="101"/>
        <v>14.544000000000008</v>
      </c>
      <c r="AU38" s="306">
        <f t="shared" si="101"/>
        <v>14.944999999999997</v>
      </c>
      <c r="AV38" s="306">
        <f t="shared" si="101"/>
        <v>20.709</v>
      </c>
      <c r="AW38" s="306">
        <f t="shared" si="101"/>
        <v>18.779000000000028</v>
      </c>
      <c r="AX38" s="306">
        <f t="shared" si="101"/>
        <v>31.381</v>
      </c>
      <c r="AY38" s="306">
        <f t="shared" si="101"/>
        <v>33.920999999999999</v>
      </c>
      <c r="AZ38" s="306">
        <f t="shared" si="101"/>
        <v>35.424000000000007</v>
      </c>
      <c r="BA38" s="306">
        <f t="shared" si="101"/>
        <v>26.692000000000057</v>
      </c>
      <c r="BB38" s="306">
        <f t="shared" si="101"/>
        <v>38.936666666666675</v>
      </c>
      <c r="BC38" s="306">
        <f t="shared" si="101"/>
        <v>28.995999999999999</v>
      </c>
      <c r="BD38" s="306">
        <f t="shared" si="101"/>
        <v>31.262222222222213</v>
      </c>
      <c r="BE38" s="306">
        <f t="shared" si="101"/>
        <v>15.854634920635046</v>
      </c>
      <c r="BF38" s="306">
        <f t="shared" si="101"/>
        <v>9.5326666666666604</v>
      </c>
      <c r="BG38" s="306">
        <f t="shared" si="101"/>
        <v>10.520000000000003</v>
      </c>
      <c r="BH38" s="306">
        <f t="shared" si="101"/>
        <v>17.087999999999987</v>
      </c>
      <c r="BI38" s="306">
        <f t="shared" si="101"/>
        <v>14.966000000000058</v>
      </c>
      <c r="BJ38" s="306">
        <f t="shared" si="101"/>
        <v>33.157599999999988</v>
      </c>
      <c r="BK38" s="306">
        <f t="shared" si="101"/>
        <v>22.127666666666673</v>
      </c>
      <c r="BL38" s="306">
        <f t="shared" si="101"/>
        <v>29.371999999999996</v>
      </c>
      <c r="BM38" s="306">
        <f t="shared" si="101"/>
        <v>41.059999999999995</v>
      </c>
      <c r="BN38" s="306">
        <f t="shared" ref="BN38:CS38" si="102">SUM(BN34:BN37)</f>
        <v>55.439999999999984</v>
      </c>
      <c r="BO38" s="306">
        <f t="shared" si="102"/>
        <v>68.09957627118645</v>
      </c>
      <c r="BP38" s="306">
        <f t="shared" si="102"/>
        <v>63.372135593220356</v>
      </c>
      <c r="BQ38" s="306">
        <f t="shared" si="102"/>
        <v>46.542983050847447</v>
      </c>
      <c r="BR38" s="306">
        <f t="shared" si="102"/>
        <v>29.003</v>
      </c>
      <c r="BS38" s="306">
        <f t="shared" si="102"/>
        <v>12.78742857142857</v>
      </c>
      <c r="BT38" s="306">
        <f t="shared" si="102"/>
        <v>14.516999999999999</v>
      </c>
      <c r="BU38" s="306">
        <f t="shared" si="102"/>
        <v>9.6810892857142861</v>
      </c>
      <c r="BV38" s="306">
        <f t="shared" si="102"/>
        <v>0.27100000000000646</v>
      </c>
      <c r="BW38" s="306">
        <f t="shared" si="102"/>
        <v>4.4560000000000057</v>
      </c>
      <c r="BX38" s="306">
        <f t="shared" si="102"/>
        <v>14.172999999999996</v>
      </c>
      <c r="BY38" s="306">
        <f t="shared" si="102"/>
        <v>9.7056842105263144</v>
      </c>
      <c r="BZ38" s="127">
        <f t="shared" si="102"/>
        <v>6.5539999999999896</v>
      </c>
      <c r="CA38" s="127">
        <f t="shared" si="102"/>
        <v>2.3959999999999955</v>
      </c>
      <c r="CB38" s="127">
        <f t="shared" si="102"/>
        <v>5.906000000000005</v>
      </c>
      <c r="CC38" s="127">
        <f t="shared" si="102"/>
        <v>13.865000000000011</v>
      </c>
      <c r="CD38" s="127">
        <f t="shared" si="102"/>
        <v>28.569000000000003</v>
      </c>
      <c r="CE38" s="127">
        <f t="shared" si="102"/>
        <v>35.881000000000007</v>
      </c>
      <c r="CF38" s="127">
        <f t="shared" si="102"/>
        <v>49.390999999999998</v>
      </c>
      <c r="CG38" s="127">
        <f t="shared" si="102"/>
        <v>58.297000000000025</v>
      </c>
      <c r="CH38" s="127">
        <f t="shared" si="102"/>
        <v>79.367999999999995</v>
      </c>
      <c r="CI38" s="127">
        <f t="shared" si="102"/>
        <v>97.22499999999998</v>
      </c>
      <c r="CJ38" s="127">
        <f t="shared" si="102"/>
        <v>114.67900000000003</v>
      </c>
      <c r="CK38" s="127">
        <f t="shared" si="102"/>
        <v>122.35100000000004</v>
      </c>
      <c r="CL38" s="127">
        <f t="shared" si="102"/>
        <v>146.55699999999996</v>
      </c>
      <c r="CM38" s="127">
        <f t="shared" si="102"/>
        <v>125.96499999999997</v>
      </c>
      <c r="CN38" s="127">
        <f t="shared" si="102"/>
        <v>140.40799999999993</v>
      </c>
      <c r="CO38" s="127">
        <f t="shared" si="102"/>
        <v>153.607</v>
      </c>
      <c r="CP38" s="127">
        <f t="shared" si="102"/>
        <v>158.64900000000009</v>
      </c>
      <c r="CQ38" s="127">
        <f t="shared" si="102"/>
        <v>150.35099999999994</v>
      </c>
      <c r="CR38" s="127">
        <f t="shared" si="102"/>
        <v>178.34300000000002</v>
      </c>
      <c r="CS38" s="127">
        <f t="shared" si="102"/>
        <v>177.99499999999995</v>
      </c>
      <c r="CT38" s="127">
        <f t="shared" ref="CT38:DY38" si="103">SUM(CT34:CT37)</f>
        <v>219.44299999999998</v>
      </c>
      <c r="CU38" s="127">
        <f t="shared" si="103"/>
        <v>180.851</v>
      </c>
      <c r="CV38" s="127">
        <f t="shared" si="103"/>
        <v>87.646000000000058</v>
      </c>
      <c r="CW38" s="127">
        <f t="shared" si="103"/>
        <v>81.302000000000035</v>
      </c>
      <c r="CX38" s="127">
        <f t="shared" si="103"/>
        <v>97.448000000000064</v>
      </c>
      <c r="CY38" s="127">
        <f t="shared" si="103"/>
        <v>93.601999999999933</v>
      </c>
      <c r="CZ38" s="127">
        <f t="shared" si="103"/>
        <v>106.419</v>
      </c>
      <c r="DA38" s="127">
        <f t="shared" si="103"/>
        <v>129.82900000000001</v>
      </c>
      <c r="DB38" s="127">
        <f t="shared" si="103"/>
        <v>164.08599999999993</v>
      </c>
      <c r="DC38" s="127">
        <f t="shared" si="103"/>
        <v>161.87499999999997</v>
      </c>
      <c r="DD38" s="127">
        <f t="shared" si="103"/>
        <v>171.9959999999999</v>
      </c>
      <c r="DE38" s="127">
        <f t="shared" si="103"/>
        <v>184.50799999999998</v>
      </c>
      <c r="DF38" s="127">
        <f t="shared" si="103"/>
        <v>223.75200000000004</v>
      </c>
      <c r="DG38" s="127">
        <f t="shared" si="103"/>
        <v>197.09799999999996</v>
      </c>
      <c r="DH38" s="127">
        <f t="shared" si="103"/>
        <v>229.01999999999984</v>
      </c>
      <c r="DI38" s="127">
        <f t="shared" si="103"/>
        <v>233.48700000000005</v>
      </c>
      <c r="DJ38" s="127">
        <f t="shared" si="103"/>
        <v>232.36199999999991</v>
      </c>
      <c r="DK38" s="127">
        <f t="shared" si="103"/>
        <v>226.83900000000003</v>
      </c>
      <c r="DL38" s="127">
        <f t="shared" si="103"/>
        <v>232.99</v>
      </c>
      <c r="DM38" s="127">
        <f t="shared" si="103"/>
        <v>224.6224</v>
      </c>
      <c r="DN38" s="127">
        <f t="shared" si="103"/>
        <v>247.37919199999999</v>
      </c>
      <c r="DO38" s="127">
        <f t="shared" si="103"/>
        <v>249.97700000000012</v>
      </c>
      <c r="DP38" s="127">
        <f t="shared" si="103"/>
        <v>269.06799999999987</v>
      </c>
      <c r="DQ38" s="127">
        <f t="shared" si="103"/>
        <v>272.16899999999998</v>
      </c>
      <c r="DR38" s="127">
        <f t="shared" si="103"/>
        <v>304.70200000000006</v>
      </c>
      <c r="DS38" s="127">
        <f t="shared" si="103"/>
        <v>159.70570800000002</v>
      </c>
      <c r="DT38" s="127">
        <f t="shared" si="103"/>
        <v>41.553178999999979</v>
      </c>
      <c r="DU38" s="127">
        <f t="shared" si="103"/>
        <v>2.3240449999999155</v>
      </c>
      <c r="DV38" s="127">
        <f t="shared" si="103"/>
        <v>9.6579350000000304</v>
      </c>
      <c r="DW38" s="127">
        <f t="shared" si="103"/>
        <v>-43.191487000000016</v>
      </c>
      <c r="DX38" s="127">
        <f t="shared" si="103"/>
        <v>-81.737569999999934</v>
      </c>
      <c r="DY38" s="127">
        <f t="shared" si="103"/>
        <v>-70.319766999999999</v>
      </c>
      <c r="DZ38" s="127">
        <f t="shared" ref="DZ38:EP38" si="104">SUM(DZ34:DZ37)</f>
        <v>-65.81798999999998</v>
      </c>
      <c r="EA38" s="127">
        <f t="shared" si="104"/>
        <v>-73.097197999999992</v>
      </c>
      <c r="EB38" s="127">
        <f t="shared" si="104"/>
        <v>-37.89183199999998</v>
      </c>
      <c r="EC38" s="127">
        <f t="shared" si="104"/>
        <v>-24.117180000000104</v>
      </c>
      <c r="ED38" s="127">
        <f t="shared" si="104"/>
        <v>-2.6423460000001109</v>
      </c>
      <c r="EE38" s="127">
        <f t="shared" si="104"/>
        <v>-9.1093024134445706</v>
      </c>
      <c r="EF38" s="127">
        <f t="shared" si="104"/>
        <v>6.9492479939190197</v>
      </c>
      <c r="EG38" s="127">
        <f t="shared" si="104"/>
        <v>31.287643057918189</v>
      </c>
      <c r="EH38" s="127">
        <f t="shared" si="104"/>
        <v>46.862761851625613</v>
      </c>
      <c r="EI38" s="127">
        <f t="shared" si="104"/>
        <v>61.695684500760962</v>
      </c>
      <c r="EJ38" s="127">
        <f t="shared" si="104"/>
        <v>70.58230340128874</v>
      </c>
      <c r="EK38" s="127">
        <f t="shared" si="104"/>
        <v>78.233726793396656</v>
      </c>
      <c r="EL38" s="127">
        <f t="shared" si="104"/>
        <v>89.51222219417312</v>
      </c>
      <c r="EM38" s="127">
        <f t="shared" si="104"/>
        <v>84.265254603971243</v>
      </c>
      <c r="EN38" s="127">
        <f t="shared" si="104"/>
        <v>82.016264272851117</v>
      </c>
      <c r="EO38" s="127">
        <f t="shared" si="104"/>
        <v>82.657221962295623</v>
      </c>
      <c r="EP38" s="127">
        <f t="shared" si="104"/>
        <v>80.388749837796169</v>
      </c>
      <c r="EQ38" s="18"/>
      <c r="ER38" s="18"/>
      <c r="ES38" s="355">
        <f t="shared" si="18"/>
        <v>33</v>
      </c>
      <c r="ET38"/>
      <c r="EU38"/>
      <c r="EV38"/>
      <c r="EW38"/>
      <c r="EX38"/>
      <c r="EY38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s="4" customFormat="1" ht="11.45" customHeight="1" outlineLevel="1">
      <c r="A39" s="15"/>
      <c r="B39" s="14" t="s">
        <v>228</v>
      </c>
      <c r="C39" s="18"/>
      <c r="D39" s="18"/>
      <c r="E39" s="18">
        <f>SUM(AH39:AK39)</f>
        <v>-17.145</v>
      </c>
      <c r="F39" s="18">
        <f>SUM(AL39:AO39)</f>
        <v>-10.231999999999999</v>
      </c>
      <c r="G39" s="18">
        <f>SUM(AP39:AS39)</f>
        <v>-8.9700000000000006</v>
      </c>
      <c r="H39" s="18">
        <f>SUM(AT39:AW39)</f>
        <v>-25.583000000000002</v>
      </c>
      <c r="I39" s="18">
        <f>SUM(AX39:BA39)</f>
        <v>-45.511000000000003</v>
      </c>
      <c r="J39" s="18">
        <f>SUM(BB39:BE39)</f>
        <v>-42.923923809523806</v>
      </c>
      <c r="K39" s="18">
        <f>SUM(BF39:BI39)</f>
        <v>-20.736666666666665</v>
      </c>
      <c r="L39" s="18">
        <f>SUM(BJ39:BM39)</f>
        <v>-54.388266666666659</v>
      </c>
      <c r="M39" s="18">
        <f>SUM(BN39:BQ39)</f>
        <v>-92.350024915254238</v>
      </c>
      <c r="N39" s="18">
        <f t="shared" ref="N39:AF39" si="105">SUMIF($AH$5:$ER$5,N$5,$AH39:$ER39)</f>
        <v>-30.628907857142856</v>
      </c>
      <c r="O39" s="18">
        <f t="shared" si="105"/>
        <v>-12.354384210526316</v>
      </c>
      <c r="P39" s="18">
        <f t="shared" si="105"/>
        <v>-15.347129999999996</v>
      </c>
      <c r="Q39" s="18">
        <f t="shared" si="105"/>
        <v>-70.482860000000002</v>
      </c>
      <c r="R39" s="18">
        <f t="shared" si="105"/>
        <v>-144.7687</v>
      </c>
      <c r="S39" s="18">
        <f t="shared" si="105"/>
        <v>-206.41023999999999</v>
      </c>
      <c r="T39" s="18">
        <f t="shared" si="105"/>
        <v>-242.41242</v>
      </c>
      <c r="U39" s="18">
        <f t="shared" si="105"/>
        <v>-229.98307</v>
      </c>
      <c r="V39" s="18">
        <f t="shared" si="105"/>
        <v>-152.97839999999999</v>
      </c>
      <c r="W39" s="18">
        <f t="shared" si="105"/>
        <v>-250.78829999999999</v>
      </c>
      <c r="X39" s="18">
        <f t="shared" si="105"/>
        <v>-323.52855</v>
      </c>
      <c r="Y39" s="18">
        <f t="shared" si="105"/>
        <v>-316.86211499999996</v>
      </c>
      <c r="Z39" s="18">
        <f t="shared" si="105"/>
        <v>-366.78506720000001</v>
      </c>
      <c r="AA39" s="18">
        <f t="shared" si="105"/>
        <v>-193.917598</v>
      </c>
      <c r="AB39" s="18">
        <f t="shared" si="105"/>
        <v>75.919128999999998</v>
      </c>
      <c r="AC39" s="18">
        <f t="shared" si="105"/>
        <v>65.502189999999999</v>
      </c>
      <c r="AD39" s="18">
        <f t="shared" si="105"/>
        <v>-2.5621471595981387</v>
      </c>
      <c r="AE39" s="18">
        <f t="shared" si="105"/>
        <v>-64.343619136767998</v>
      </c>
      <c r="AF39" s="18">
        <f t="shared" si="105"/>
        <v>-84.612740758322772</v>
      </c>
      <c r="AG39" s="18"/>
      <c r="AH39" s="57">
        <f>-5.1+1.57*AH364</f>
        <v>-4.4405999999999999</v>
      </c>
      <c r="AI39" s="57">
        <f>-5.147+0.59*AI364</f>
        <v>-4.8992000000000004</v>
      </c>
      <c r="AJ39" s="57">
        <f>-3.091-0.05*AJ364</f>
        <v>-3.1120000000000001</v>
      </c>
      <c r="AK39" s="57">
        <f>-18.279-SUM(AH39:AJ39)+(2.914-1.78)</f>
        <v>-4.6931999999999992</v>
      </c>
      <c r="AL39" s="57">
        <v>-4.2910000000000004</v>
      </c>
      <c r="AM39" s="57">
        <v>-4.6100000000000003</v>
      </c>
      <c r="AN39" s="57">
        <v>-2.222</v>
      </c>
      <c r="AO39" s="57">
        <f>-10.232-SUM(AL39:AN39)</f>
        <v>0.89100000000000001</v>
      </c>
      <c r="AP39" s="57">
        <v>-2.4809999999999999</v>
      </c>
      <c r="AQ39" s="57">
        <f>-3.34+(1.828-1.828*(1.8/2.947))</f>
        <v>-2.6285252799457073</v>
      </c>
      <c r="AR39" s="57">
        <f>-2.822+(1.119-(2.947-1.828)*(1.8/(2.947)))</f>
        <v>-2.3864747200542924</v>
      </c>
      <c r="AS39" s="57">
        <f>-2.786-SUM(AP39:AR39)+(5.697-3.481)-(22-13.6)</f>
        <v>-1.4740000000000011</v>
      </c>
      <c r="AT39" s="57">
        <v>-5.27</v>
      </c>
      <c r="AU39" s="57">
        <v>-5.484</v>
      </c>
      <c r="AV39" s="57">
        <f>-8.783+(0.566-0.346)</f>
        <v>-8.5629999999999988</v>
      </c>
      <c r="AW39" s="57">
        <f>-25.803+(0.566-0.346)-SUM(AT39:AV39)</f>
        <v>-6.2660000000000018</v>
      </c>
      <c r="AX39" s="57">
        <v>-11.756</v>
      </c>
      <c r="AY39" s="57">
        <v>-12.093999999999999</v>
      </c>
      <c r="AZ39" s="57">
        <v>-12.215999999999999</v>
      </c>
      <c r="BA39" s="57">
        <f>-45.511-SUM(AX39:AZ39)</f>
        <v>-9.4450000000000003</v>
      </c>
      <c r="BB39" s="57">
        <f>-16.822+((3.675/(1-BB364))-3.675)</f>
        <v>-14.663666666666666</v>
      </c>
      <c r="BC39" s="57">
        <v>-11.218</v>
      </c>
      <c r="BD39" s="57">
        <f>-19.836+((13.1404/(1-BD364))-13.1404)</f>
        <v>-12.118622222222221</v>
      </c>
      <c r="BE39" s="57">
        <f>-56.677+((6.602+3.675+13.1404)/(1-BE364)-(6.602+3.675+13.1404))-SUM(BB39:BD39)</f>
        <v>-4.9236349206349175</v>
      </c>
      <c r="BF39" s="57">
        <f>-7.862+((0.071/(1-BF364))-0.071)+((9.509+0.719)-6.3)</f>
        <v>-3.8866666666666667</v>
      </c>
      <c r="BG39" s="57">
        <v>-4.0350000000000001</v>
      </c>
      <c r="BH39" s="57">
        <f>-7.293+((0.732/(1-BH364))-0.732)</f>
        <v>-6.8050000000000006</v>
      </c>
      <c r="BI39" s="57">
        <f>-25.706+9.509+0.719+(0.071+0.732+0.759)/(1-BI364)-(0.071+0.732+0.759+6.3)-SUM(BF39:BH39)</f>
        <v>-6.009999999999998</v>
      </c>
      <c r="BJ39" s="57">
        <f>-14.259+((1.754*(1-BJ364))-1.754)</f>
        <v>-14.960599999999999</v>
      </c>
      <c r="BK39" s="57">
        <f>-13.883+((5.996/(1-BK364))-5.996)</f>
        <v>-9.8856666666666673</v>
      </c>
      <c r="BL39" s="57">
        <v>-11.648</v>
      </c>
      <c r="BM39" s="57">
        <v>-17.893999999999998</v>
      </c>
      <c r="BN39" s="57">
        <v>-22.035</v>
      </c>
      <c r="BO39" s="57">
        <f>-27.118+((0.074/(1-BO364))-0.074)</f>
        <v>-27.066576271186438</v>
      </c>
      <c r="BP39" s="57">
        <f>-25.679+((1.423/(1-BP364))-1.423)</f>
        <v>-24.690135593220337</v>
      </c>
      <c r="BQ39" s="57">
        <f>-18.209+((((-0.01*50267)/10^3)/(1-BQ364))-(-0.01*50267)/10^3)</f>
        <v>-18.558313050847456</v>
      </c>
      <c r="BR39" s="57">
        <v>-11.968</v>
      </c>
      <c r="BS39" s="57">
        <f>-6.007+((0.324/(1-BS364))-0.324)</f>
        <v>-5.7524285714285712</v>
      </c>
      <c r="BT39" s="57">
        <f>-18.182+(25.554-15.468)</f>
        <v>-8.0960000000000001</v>
      </c>
      <c r="BU39" s="57">
        <f>-4.416+((((-0.01*50461)/10^3)/(1-BU364))-(-0.01*50461)/10^3)</f>
        <v>-4.8124792857142857</v>
      </c>
      <c r="BV39" s="57">
        <v>-0.11700000000000001</v>
      </c>
      <c r="BW39" s="57">
        <v>-1.915</v>
      </c>
      <c r="BX39" s="57">
        <v>-6.1440000000000001</v>
      </c>
      <c r="BY39" s="57">
        <f>-6.473+((((0.06*50695)/10^3)/(1-BY364))-(0.06*50695)/10^3)</f>
        <v>-4.1783842105263167</v>
      </c>
      <c r="BZ39" s="57">
        <f>-5.131+((4.904+0.881)*BZ364)</f>
        <v>-2.0649500000000001</v>
      </c>
      <c r="CA39" s="57">
        <f>-4.484+((7.072+0.755)*CA364)</f>
        <v>-0.3356899999999996</v>
      </c>
      <c r="CB39" s="57">
        <f>-2.522+(0.102*CB364)</f>
        <v>-2.4679399999999996</v>
      </c>
      <c r="CC39" s="57">
        <f>7.772+((-51.516+3.639+13.442)*CC364)</f>
        <v>-10.478549999999997</v>
      </c>
      <c r="CD39" s="57">
        <f>-27.13+(26.349-16.06)+(10.816-5.5)</f>
        <v>-11.524999999999997</v>
      </c>
      <c r="CE39" s="57">
        <f>-15.153+((0.971-0.036)*CE364)</f>
        <v>-14.76965</v>
      </c>
      <c r="CF39" s="57">
        <f>-20.627+(0.603*CF364)</f>
        <v>-20.379770000000001</v>
      </c>
      <c r="CG39" s="57">
        <f>-24.553+((1.16+0.656)*CG364)</f>
        <v>-23.808440000000001</v>
      </c>
      <c r="CH39" s="57">
        <f>-32.802+(2.72-1.721)+(0.973*CH364)</f>
        <v>-31.46245</v>
      </c>
      <c r="CI39" s="57">
        <f>-38.24+(3.563*CI364)</f>
        <v>-36.99295</v>
      </c>
      <c r="CJ39" s="57">
        <f>-47.636+((1.895+9.39)*CJ364)</f>
        <v>-43.686250000000001</v>
      </c>
      <c r="CK39" s="57">
        <f>-35.713+((1.061+7.756)*CK364)</f>
        <v>-32.627050000000004</v>
      </c>
      <c r="CL39" s="57">
        <f>-64.098+((0.486+26.337)*CL364)</f>
        <v>-54.441719999999997</v>
      </c>
      <c r="CM39" s="57">
        <f>-59.338+((5.17+32.336+0.177)*CM364)</f>
        <v>-45.772120000000001</v>
      </c>
      <c r="CN39" s="57">
        <f>-64.96+((5.9+6.186+25.298)*CN364)</f>
        <v>-51.50175999999999</v>
      </c>
      <c r="CO39" s="57">
        <f>-62.588+((5.591+2.689+13.646)*CO364)</f>
        <v>-54.69464</v>
      </c>
      <c r="CP39" s="57">
        <f>-60.146+((4.81+0.842+0.13)*CT364)</f>
        <v>-57.948840000000004</v>
      </c>
      <c r="CQ39" s="57">
        <f>-58.784+((1.946+5.476)*CR364)</f>
        <v>-55.963639999999998</v>
      </c>
      <c r="CR39" s="57">
        <f>-70.187+((5.426+1.616-11.129+16.388)*CR364)</f>
        <v>-65.512619999999998</v>
      </c>
      <c r="CS39" s="57">
        <f>-66.44+9.086*CS364</f>
        <v>-62.987319999999997</v>
      </c>
      <c r="CT39" s="57">
        <f>-81.248+(0.277+0.914)*CT364</f>
        <v>-80.795420000000007</v>
      </c>
      <c r="CU39" s="57">
        <f>-83.39+2.055*CU364</f>
        <v>-82.609099999999998</v>
      </c>
      <c r="CV39" s="57">
        <f>-36.651+(0.264+1.785)*0.35</f>
        <v>-35.933850000000007</v>
      </c>
      <c r="CW39" s="57">
        <f>-31.092+1.278*0.35</f>
        <v>-30.6447</v>
      </c>
      <c r="CX39" s="57">
        <f>-34.911+0.698*0.35</f>
        <v>-34.666699999999999</v>
      </c>
      <c r="CY39" s="57">
        <f>-28.487+1.309*0.35</f>
        <v>-28.028849999999998</v>
      </c>
      <c r="CZ39" s="57">
        <f>-43.785+2.249*0.35</f>
        <v>-42.99785</v>
      </c>
      <c r="DA39" s="57">
        <v>-47.284999999999997</v>
      </c>
      <c r="DB39" s="57">
        <f>-62.39+2.669*0.35</f>
        <v>-61.455849999999998</v>
      </c>
      <c r="DC39" s="57">
        <f>-60.379+4.105*0.35-6.64*0.35</f>
        <v>-61.266249999999999</v>
      </c>
      <c r="DD39" s="57">
        <f>-62.995+(0.913+3.488)*0.35-3.574*0.35</f>
        <v>-62.705550000000002</v>
      </c>
      <c r="DE39" s="57">
        <f>-66.635+3.641*0.35</f>
        <v>-65.360650000000007</v>
      </c>
      <c r="DF39" s="57">
        <f>-84.138+4.683*0.35</f>
        <v>-82.498950000000008</v>
      </c>
      <c r="DG39" s="57">
        <f>-75.155+7.82*0.3</f>
        <v>-72.808999999999997</v>
      </c>
      <c r="DH39" s="57">
        <v>-80.938999999999993</v>
      </c>
      <c r="DI39" s="57">
        <f>-88.739+(4.858*0.3)</f>
        <v>-87.281599999999997</v>
      </c>
      <c r="DJ39" s="57">
        <f>-86.722+(5.219*0.35+8.752*0.35)</f>
        <v>-81.832149999999999</v>
      </c>
      <c r="DK39" s="57">
        <f>-81.085+(5.313*0.35)</f>
        <v>-79.225449999999995</v>
      </c>
      <c r="DL39" s="57">
        <f>-139.387+(4.006+153.369)*0.395</f>
        <v>-77.223874999999992</v>
      </c>
      <c r="DM39" s="57">
        <f>-85.65+4.385*0.3+730*DM109/1000000*0.35</f>
        <v>-78.580640000000002</v>
      </c>
      <c r="DN39" s="57">
        <f>-89.763+5.664*0.3+422*DN109/1000000*0.35</f>
        <v>-84.598167200000006</v>
      </c>
      <c r="DO39" s="57">
        <f>-100.838+(21.352+4.098)*0.3</f>
        <v>-93.202999999999989</v>
      </c>
      <c r="DP39" s="57">
        <f>-102.788+((2.128+23.882)-DP45)</f>
        <v>-92.0779</v>
      </c>
      <c r="DQ39" s="57">
        <f>-94.159+(7.695-DQ45)+(-17-DQ46)</f>
        <v>-96.906000000000006</v>
      </c>
      <c r="DR39" s="57">
        <f>-128.8+(4.155-DR45)+23*0.35</f>
        <v>-118.77186000000002</v>
      </c>
      <c r="DS39" s="57">
        <f>-77.769+(2.915-DS45)+((DS109*3413)/1000000-0.44*DS58)-(7+DS46)</f>
        <v>-55.288474000000001</v>
      </c>
      <c r="DT39" s="57">
        <f>-36.956+(((DT109*5325)/1000000+(4658*DT175)/1000000)-0.55*DT58)+(1.784-0.01*DT58)</f>
        <v>-11.40881899999999</v>
      </c>
      <c r="DU39" s="57">
        <f>0.15+((DU109*2482)/1000000+(5535*DU175)/1000000-30-39.242+2.862)-(0.02+0.25-0.18-0.23)*DU334</f>
        <v>-8.4484449999999995</v>
      </c>
      <c r="DV39" s="57">
        <f>-18.72+((DV109*2417)/1000000-0.17*DV58)+(4.589-DV45)+(0.05*DV58)-(8.5-0.05*DV58)</f>
        <v>-4.6008349999999991</v>
      </c>
      <c r="DW39" s="57">
        <f>-12.178+((DW117+2.684-1.704-DW45-DW49))</f>
        <v>14.132487000000001</v>
      </c>
      <c r="DX39" s="57">
        <f>-2.842+(DX117-0.35*DX58)-(4.681-0.02*DX58)-(6.971-0.03*DX58)-(6.25-0.03*DX58)+0.547*0.54</f>
        <v>31.120259999999998</v>
      </c>
      <c r="DY39" s="57">
        <f>53.417-18.149783</f>
        <v>35.267217000000002</v>
      </c>
      <c r="DZ39" s="57">
        <f>18.288+4.33</f>
        <v>22.618000000000002</v>
      </c>
      <c r="EA39" s="57">
        <f>21.771+(EA117-EA49)+(-18-EA46)+(14.889-EA45)</f>
        <v>22.452897999999998</v>
      </c>
      <c r="EB39" s="57">
        <f>10.478+(EB117+EB183-0.1*EB58)+(1.862-EB45)-((0.05+0.02)*EB58)/(1-0.375)*0.375</f>
        <v>10.423952000000002</v>
      </c>
      <c r="EC39" s="57">
        <f>6.198+0.04*EC58-(15.4-0.11*EC58)+(3.034-0.02*EC58)+(4-0.03*EC58)+(EC117-0.03*EC58)</f>
        <v>10.007339999999999</v>
      </c>
      <c r="ED39" s="57">
        <f>500.641-4.55*ED58+0.461</f>
        <v>4.7197500000000208</v>
      </c>
      <c r="EE39" s="18">
        <f t="shared" ref="EE39:EP39" si="106">-EE38*EE98</f>
        <v>2.2773256033611426</v>
      </c>
      <c r="EF39" s="18">
        <f t="shared" si="106"/>
        <v>-1.7373119984797549</v>
      </c>
      <c r="EG39" s="18">
        <f t="shared" si="106"/>
        <v>-7.8219107644795471</v>
      </c>
      <c r="EH39" s="18">
        <f t="shared" si="106"/>
        <v>-11.715690462906403</v>
      </c>
      <c r="EI39" s="18">
        <f t="shared" si="106"/>
        <v>-15.42392112519024</v>
      </c>
      <c r="EJ39" s="18">
        <f t="shared" si="106"/>
        <v>-17.645575850322185</v>
      </c>
      <c r="EK39" s="18">
        <f t="shared" si="106"/>
        <v>-19.558431698349164</v>
      </c>
      <c r="EL39" s="18">
        <f t="shared" si="106"/>
        <v>-22.37805554854328</v>
      </c>
      <c r="EM39" s="18">
        <f t="shared" si="106"/>
        <v>-21.066313650992811</v>
      </c>
      <c r="EN39" s="18">
        <f t="shared" si="106"/>
        <v>-20.504066068212779</v>
      </c>
      <c r="EO39" s="18">
        <f t="shared" si="106"/>
        <v>-20.664305490573906</v>
      </c>
      <c r="EP39" s="18">
        <f t="shared" si="106"/>
        <v>-20.097187459449042</v>
      </c>
      <c r="EQ39" s="192"/>
      <c r="ER39" s="192"/>
      <c r="ES39" s="355">
        <f t="shared" si="18"/>
        <v>34</v>
      </c>
      <c r="ET39"/>
      <c r="EU39"/>
      <c r="EV39"/>
      <c r="EW39"/>
      <c r="EX39"/>
      <c r="EY39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s="4" customFormat="1" ht="11.45" hidden="1" customHeight="1" outlineLevel="2">
      <c r="A40" s="15"/>
      <c r="B40" s="308" t="s">
        <v>227</v>
      </c>
      <c r="C40" s="127"/>
      <c r="D40" s="127"/>
      <c r="E40" s="127">
        <f t="shared" ref="E40:AF40" si="107">SUM(E38:E39)</f>
        <v>23.172000000000043</v>
      </c>
      <c r="F40" s="127">
        <f t="shared" si="107"/>
        <v>20.06699999999999</v>
      </c>
      <c r="G40" s="127">
        <f t="shared" si="107"/>
        <v>14.820999999999989</v>
      </c>
      <c r="H40" s="127">
        <f t="shared" si="107"/>
        <v>43.394000000000005</v>
      </c>
      <c r="I40" s="127">
        <f t="shared" si="107"/>
        <v>81.907000000000011</v>
      </c>
      <c r="J40" s="127">
        <f t="shared" si="107"/>
        <v>72.125600000000048</v>
      </c>
      <c r="K40" s="127">
        <f t="shared" si="107"/>
        <v>31.370000000000026</v>
      </c>
      <c r="L40" s="127">
        <f t="shared" si="107"/>
        <v>71.329000000000008</v>
      </c>
      <c r="M40" s="127">
        <f t="shared" si="107"/>
        <v>141.10467</v>
      </c>
      <c r="N40" s="127">
        <f t="shared" si="107"/>
        <v>35.359610000000025</v>
      </c>
      <c r="O40" s="127">
        <f t="shared" si="107"/>
        <v>16.251299999999976</v>
      </c>
      <c r="P40" s="127">
        <f t="shared" si="107"/>
        <v>13.373870000000039</v>
      </c>
      <c r="Q40" s="127">
        <f t="shared" si="107"/>
        <v>101.65514000000012</v>
      </c>
      <c r="R40" s="127">
        <f t="shared" si="107"/>
        <v>268.85429999999997</v>
      </c>
      <c r="S40" s="127">
        <f t="shared" si="107"/>
        <v>360.12675999999959</v>
      </c>
      <c r="T40" s="127">
        <f t="shared" si="107"/>
        <v>422.92558000000008</v>
      </c>
      <c r="U40" s="127">
        <f t="shared" si="107"/>
        <v>339.25892999999996</v>
      </c>
      <c r="V40" s="127">
        <f t="shared" si="107"/>
        <v>274.31960000000004</v>
      </c>
      <c r="W40" s="127">
        <f t="shared" si="107"/>
        <v>431.67669999999993</v>
      </c>
      <c r="X40" s="127">
        <f t="shared" si="107"/>
        <v>559.8284500000002</v>
      </c>
      <c r="Y40" s="127">
        <f t="shared" si="107"/>
        <v>599.95128499999942</v>
      </c>
      <c r="Z40" s="127">
        <f t="shared" si="107"/>
        <v>671.80812480000054</v>
      </c>
      <c r="AA40" s="127">
        <f t="shared" si="107"/>
        <v>314.36733400000003</v>
      </c>
      <c r="AB40" s="127">
        <f t="shared" si="107"/>
        <v>-109.67175999999975</v>
      </c>
      <c r="AC40" s="127">
        <f t="shared" si="107"/>
        <v>-135.42201000000034</v>
      </c>
      <c r="AD40" s="127">
        <f t="shared" si="107"/>
        <v>23.9230954787947</v>
      </c>
      <c r="AE40" s="127">
        <f t="shared" si="107"/>
        <v>193.03085741030407</v>
      </c>
      <c r="AF40" s="127">
        <f t="shared" si="107"/>
        <v>253.83822227496847</v>
      </c>
      <c r="AG40" s="307"/>
      <c r="AH40" s="306">
        <f t="shared" ref="AH40:BM40" si="108">SUM(AH38:AH39)</f>
        <v>6.4933999999999976</v>
      </c>
      <c r="AI40" s="306">
        <f t="shared" si="108"/>
        <v>7.1108000000000011</v>
      </c>
      <c r="AJ40" s="306">
        <f t="shared" si="108"/>
        <v>5.1399999999999988</v>
      </c>
      <c r="AK40" s="306">
        <f t="shared" si="108"/>
        <v>4.4278000000000226</v>
      </c>
      <c r="AL40" s="306">
        <f t="shared" si="108"/>
        <v>7.1020000000000039</v>
      </c>
      <c r="AM40" s="306">
        <f t="shared" si="108"/>
        <v>5.9589999999999934</v>
      </c>
      <c r="AN40" s="306">
        <f t="shared" si="108"/>
        <v>4.5940000000000101</v>
      </c>
      <c r="AO40" s="306">
        <f t="shared" si="108"/>
        <v>2.4119999999999706</v>
      </c>
      <c r="AP40" s="306">
        <f t="shared" si="108"/>
        <v>4.2350000000000074</v>
      </c>
      <c r="AQ40" s="306">
        <f t="shared" si="108"/>
        <v>4.3584747200542902</v>
      </c>
      <c r="AR40" s="306">
        <f t="shared" si="108"/>
        <v>3.7525252799457043</v>
      </c>
      <c r="AS40" s="306">
        <f t="shared" si="108"/>
        <v>2.4749999999999881</v>
      </c>
      <c r="AT40" s="306">
        <f t="shared" si="108"/>
        <v>9.274000000000008</v>
      </c>
      <c r="AU40" s="306">
        <f t="shared" si="108"/>
        <v>9.4609999999999967</v>
      </c>
      <c r="AV40" s="306">
        <f t="shared" si="108"/>
        <v>12.146000000000001</v>
      </c>
      <c r="AW40" s="306">
        <f t="shared" si="108"/>
        <v>12.513000000000027</v>
      </c>
      <c r="AX40" s="306">
        <f t="shared" si="108"/>
        <v>19.625</v>
      </c>
      <c r="AY40" s="306">
        <f t="shared" si="108"/>
        <v>21.826999999999998</v>
      </c>
      <c r="AZ40" s="306">
        <f t="shared" si="108"/>
        <v>23.208000000000006</v>
      </c>
      <c r="BA40" s="306">
        <f t="shared" si="108"/>
        <v>17.247000000000057</v>
      </c>
      <c r="BB40" s="306">
        <f t="shared" si="108"/>
        <v>24.27300000000001</v>
      </c>
      <c r="BC40" s="306">
        <f t="shared" si="108"/>
        <v>17.777999999999999</v>
      </c>
      <c r="BD40" s="306">
        <f t="shared" si="108"/>
        <v>19.143599999999992</v>
      </c>
      <c r="BE40" s="306">
        <f t="shared" si="108"/>
        <v>10.931000000000129</v>
      </c>
      <c r="BF40" s="306">
        <f t="shared" si="108"/>
        <v>5.6459999999999937</v>
      </c>
      <c r="BG40" s="306">
        <f t="shared" si="108"/>
        <v>6.485000000000003</v>
      </c>
      <c r="BH40" s="306">
        <f t="shared" si="108"/>
        <v>10.282999999999987</v>
      </c>
      <c r="BI40" s="306">
        <f t="shared" si="108"/>
        <v>8.9560000000000599</v>
      </c>
      <c r="BJ40" s="306">
        <f t="shared" si="108"/>
        <v>18.196999999999989</v>
      </c>
      <c r="BK40" s="306">
        <f t="shared" si="108"/>
        <v>12.242000000000006</v>
      </c>
      <c r="BL40" s="306">
        <f t="shared" si="108"/>
        <v>17.723999999999997</v>
      </c>
      <c r="BM40" s="306">
        <f t="shared" si="108"/>
        <v>23.165999999999997</v>
      </c>
      <c r="BN40" s="306">
        <f t="shared" ref="BN40:CS40" si="109">SUM(BN38:BN39)</f>
        <v>33.404999999999987</v>
      </c>
      <c r="BO40" s="306">
        <f t="shared" si="109"/>
        <v>41.033000000000015</v>
      </c>
      <c r="BP40" s="306">
        <f t="shared" si="109"/>
        <v>38.682000000000016</v>
      </c>
      <c r="BQ40" s="306">
        <f t="shared" si="109"/>
        <v>27.984669999999991</v>
      </c>
      <c r="BR40" s="306">
        <f t="shared" si="109"/>
        <v>17.035</v>
      </c>
      <c r="BS40" s="306">
        <f t="shared" si="109"/>
        <v>7.0349999999999993</v>
      </c>
      <c r="BT40" s="306">
        <f t="shared" si="109"/>
        <v>6.4209999999999994</v>
      </c>
      <c r="BU40" s="306">
        <f t="shared" si="109"/>
        <v>4.8686100000000003</v>
      </c>
      <c r="BV40" s="306">
        <f t="shared" si="109"/>
        <v>0.15400000000000647</v>
      </c>
      <c r="BW40" s="306">
        <f t="shared" si="109"/>
        <v>2.5410000000000057</v>
      </c>
      <c r="BX40" s="306">
        <f t="shared" si="109"/>
        <v>8.0289999999999964</v>
      </c>
      <c r="BY40" s="306">
        <f t="shared" si="109"/>
        <v>5.5272999999999977</v>
      </c>
      <c r="BZ40" s="127">
        <f t="shared" si="109"/>
        <v>4.48904999999999</v>
      </c>
      <c r="CA40" s="127">
        <f t="shared" si="109"/>
        <v>2.0603099999999959</v>
      </c>
      <c r="CB40" s="127">
        <f t="shared" si="109"/>
        <v>3.4380600000000054</v>
      </c>
      <c r="CC40" s="127">
        <f t="shared" si="109"/>
        <v>3.3864500000000142</v>
      </c>
      <c r="CD40" s="127">
        <f t="shared" si="109"/>
        <v>17.044000000000004</v>
      </c>
      <c r="CE40" s="127">
        <f t="shared" si="109"/>
        <v>21.111350000000009</v>
      </c>
      <c r="CF40" s="127">
        <f t="shared" si="109"/>
        <v>29.011229999999998</v>
      </c>
      <c r="CG40" s="127">
        <f t="shared" si="109"/>
        <v>34.488560000000021</v>
      </c>
      <c r="CH40" s="127">
        <f t="shared" si="109"/>
        <v>47.905549999999991</v>
      </c>
      <c r="CI40" s="127">
        <f t="shared" si="109"/>
        <v>60.23204999999998</v>
      </c>
      <c r="CJ40" s="127">
        <f t="shared" si="109"/>
        <v>70.992750000000029</v>
      </c>
      <c r="CK40" s="127">
        <f t="shared" si="109"/>
        <v>89.723950000000031</v>
      </c>
      <c r="CL40" s="127">
        <f t="shared" si="109"/>
        <v>92.115279999999956</v>
      </c>
      <c r="CM40" s="127">
        <f t="shared" si="109"/>
        <v>80.192879999999974</v>
      </c>
      <c r="CN40" s="127">
        <f t="shared" si="109"/>
        <v>88.90623999999994</v>
      </c>
      <c r="CO40" s="127">
        <f t="shared" si="109"/>
        <v>98.912360000000007</v>
      </c>
      <c r="CP40" s="127">
        <f t="shared" si="109"/>
        <v>100.70016000000008</v>
      </c>
      <c r="CQ40" s="127">
        <f t="shared" si="109"/>
        <v>94.387359999999944</v>
      </c>
      <c r="CR40" s="127">
        <f t="shared" si="109"/>
        <v>112.83038000000002</v>
      </c>
      <c r="CS40" s="127">
        <f t="shared" si="109"/>
        <v>115.00767999999995</v>
      </c>
      <c r="CT40" s="127">
        <f t="shared" ref="CT40:DY40" si="110">SUM(CT38:CT39)</f>
        <v>138.64757999999998</v>
      </c>
      <c r="CU40" s="127">
        <f t="shared" si="110"/>
        <v>98.241900000000001</v>
      </c>
      <c r="CV40" s="127">
        <f t="shared" si="110"/>
        <v>51.712150000000051</v>
      </c>
      <c r="CW40" s="127">
        <f t="shared" si="110"/>
        <v>50.657300000000035</v>
      </c>
      <c r="CX40" s="127">
        <f t="shared" si="110"/>
        <v>62.781300000000066</v>
      </c>
      <c r="CY40" s="127">
        <f t="shared" si="110"/>
        <v>65.573149999999941</v>
      </c>
      <c r="CZ40" s="127">
        <f t="shared" si="110"/>
        <v>63.421149999999997</v>
      </c>
      <c r="DA40" s="127">
        <f t="shared" si="110"/>
        <v>82.544000000000011</v>
      </c>
      <c r="DB40" s="127">
        <f t="shared" si="110"/>
        <v>102.63014999999993</v>
      </c>
      <c r="DC40" s="127">
        <f t="shared" si="110"/>
        <v>100.60874999999997</v>
      </c>
      <c r="DD40" s="127">
        <f t="shared" si="110"/>
        <v>109.29044999999989</v>
      </c>
      <c r="DE40" s="127">
        <f t="shared" si="110"/>
        <v>119.14734999999997</v>
      </c>
      <c r="DF40" s="127">
        <f t="shared" si="110"/>
        <v>141.25305000000003</v>
      </c>
      <c r="DG40" s="127">
        <f t="shared" si="110"/>
        <v>124.28899999999996</v>
      </c>
      <c r="DH40" s="127">
        <f t="shared" si="110"/>
        <v>148.08099999999985</v>
      </c>
      <c r="DI40" s="127">
        <f t="shared" si="110"/>
        <v>146.20540000000005</v>
      </c>
      <c r="DJ40" s="127">
        <f t="shared" si="110"/>
        <v>150.5298499999999</v>
      </c>
      <c r="DK40" s="127">
        <f t="shared" si="110"/>
        <v>147.61355000000003</v>
      </c>
      <c r="DL40" s="127">
        <f t="shared" si="110"/>
        <v>155.76612500000002</v>
      </c>
      <c r="DM40" s="127">
        <f t="shared" si="110"/>
        <v>146.04176000000001</v>
      </c>
      <c r="DN40" s="127">
        <f t="shared" si="110"/>
        <v>162.78102479999998</v>
      </c>
      <c r="DO40" s="127">
        <f t="shared" si="110"/>
        <v>156.77400000000011</v>
      </c>
      <c r="DP40" s="127">
        <f t="shared" si="110"/>
        <v>176.99009999999987</v>
      </c>
      <c r="DQ40" s="127">
        <f t="shared" si="110"/>
        <v>175.26299999999998</v>
      </c>
      <c r="DR40" s="127">
        <f t="shared" si="110"/>
        <v>185.93014000000005</v>
      </c>
      <c r="DS40" s="127">
        <f t="shared" si="110"/>
        <v>104.41723400000001</v>
      </c>
      <c r="DT40" s="127">
        <f t="shared" si="110"/>
        <v>30.144359999999988</v>
      </c>
      <c r="DU40" s="127">
        <f t="shared" si="110"/>
        <v>-6.124400000000084</v>
      </c>
      <c r="DV40" s="127">
        <f t="shared" si="110"/>
        <v>5.0571000000000312</v>
      </c>
      <c r="DW40" s="127">
        <f t="shared" si="110"/>
        <v>-29.059000000000015</v>
      </c>
      <c r="DX40" s="127">
        <f t="shared" si="110"/>
        <v>-50.617309999999932</v>
      </c>
      <c r="DY40" s="127">
        <f t="shared" si="110"/>
        <v>-35.052549999999997</v>
      </c>
      <c r="DZ40" s="127">
        <f t="shared" ref="DZ40:EP40" si="111">SUM(DZ38:DZ39)</f>
        <v>-43.199989999999978</v>
      </c>
      <c r="EA40" s="127">
        <f t="shared" si="111"/>
        <v>-50.644299999999994</v>
      </c>
      <c r="EB40" s="127">
        <f t="shared" ref="EB40" si="112">SUM(EB38:EB39)</f>
        <v>-27.46787999999998</v>
      </c>
      <c r="EC40" s="127">
        <f t="shared" si="111"/>
        <v>-14.109840000000105</v>
      </c>
      <c r="ED40" s="127">
        <f t="shared" si="111"/>
        <v>2.0774039999999099</v>
      </c>
      <c r="EE40" s="127">
        <f t="shared" si="111"/>
        <v>-6.8319768100834279</v>
      </c>
      <c r="EF40" s="127">
        <f t="shared" si="111"/>
        <v>5.2119359954392648</v>
      </c>
      <c r="EG40" s="127">
        <f t="shared" si="111"/>
        <v>23.465732293438641</v>
      </c>
      <c r="EH40" s="127">
        <f t="shared" si="111"/>
        <v>35.147071388719212</v>
      </c>
      <c r="EI40" s="127">
        <f t="shared" si="111"/>
        <v>46.271763375570721</v>
      </c>
      <c r="EJ40" s="127">
        <f t="shared" si="111"/>
        <v>52.936727550966552</v>
      </c>
      <c r="EK40" s="127">
        <f t="shared" si="111"/>
        <v>58.675295095047488</v>
      </c>
      <c r="EL40" s="127">
        <f t="shared" si="111"/>
        <v>67.134166645629847</v>
      </c>
      <c r="EM40" s="127">
        <f t="shared" si="111"/>
        <v>63.198940952978433</v>
      </c>
      <c r="EN40" s="127">
        <f t="shared" si="111"/>
        <v>61.512198204638338</v>
      </c>
      <c r="EO40" s="127">
        <f t="shared" si="111"/>
        <v>61.992916471721713</v>
      </c>
      <c r="EP40" s="127">
        <f t="shared" si="111"/>
        <v>60.291562378347123</v>
      </c>
      <c r="EQ40" s="18"/>
      <c r="ER40" s="18"/>
      <c r="ES40" s="355">
        <f t="shared" si="18"/>
        <v>35</v>
      </c>
      <c r="ET40"/>
      <c r="EU40"/>
      <c r="EV40"/>
      <c r="EW40"/>
      <c r="EX40"/>
      <c r="EY40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s="4" customFormat="1" ht="11.45" hidden="1" customHeight="1" outlineLevel="2">
      <c r="A41" s="15"/>
      <c r="B41" s="14" t="s">
        <v>226</v>
      </c>
      <c r="C41" s="18"/>
      <c r="D41" s="18"/>
      <c r="E41" s="18">
        <f>SUM(AH41:AK41)</f>
        <v>-0.40200000000000002</v>
      </c>
      <c r="F41" s="18">
        <f>SUM(AL41:AO41)</f>
        <v>0.90400000000000003</v>
      </c>
      <c r="G41" s="18">
        <f>SUM(AP41:AS41)</f>
        <v>1.0860000000000001</v>
      </c>
      <c r="H41" s="18">
        <f>SUM(AT41:AW41)</f>
        <v>1.6859999999999999</v>
      </c>
      <c r="I41" s="18">
        <f>SUM(AX41:BA41)</f>
        <v>2.282</v>
      </c>
      <c r="J41" s="18">
        <f>SUM(BB41:BE41)</f>
        <v>5.6109999999999998</v>
      </c>
      <c r="K41" s="18">
        <f>SUM(BF41:BI41)</f>
        <v>3.556</v>
      </c>
      <c r="L41" s="18">
        <f>SUM(BJ41:BM41)</f>
        <v>3.2210000000000001</v>
      </c>
      <c r="M41" s="18">
        <f>SUM(BN41:BQ41)</f>
        <v>2.1790000000000003</v>
      </c>
      <c r="N41" s="18">
        <f>SUM(BR41:BU41)</f>
        <v>3.0590000000000002</v>
      </c>
      <c r="O41" s="18">
        <f t="shared" ref="O41:AF41" si="113">SUMIF($AH$5:$ER$5,O$5,$AH41:$ER41)</f>
        <v>-1.4200000000000002</v>
      </c>
      <c r="P41" s="18">
        <f t="shared" si="113"/>
        <v>0.72399999999999998</v>
      </c>
      <c r="Q41" s="18">
        <f t="shared" si="113"/>
        <v>2.4119999999999999</v>
      </c>
      <c r="R41" s="18">
        <f t="shared" si="113"/>
        <v>7.2680000000000007</v>
      </c>
      <c r="S41" s="18">
        <f t="shared" si="113"/>
        <v>9.8919999999999995</v>
      </c>
      <c r="T41" s="18">
        <f t="shared" si="113"/>
        <v>17.366</v>
      </c>
      <c r="U41" s="18">
        <f t="shared" si="113"/>
        <v>10.111000000000001</v>
      </c>
      <c r="V41" s="18">
        <f t="shared" si="113"/>
        <v>0</v>
      </c>
      <c r="W41" s="18">
        <f t="shared" si="113"/>
        <v>0</v>
      </c>
      <c r="X41" s="18">
        <f t="shared" si="113"/>
        <v>0</v>
      </c>
      <c r="Y41" s="18">
        <f t="shared" si="113"/>
        <v>0</v>
      </c>
      <c r="Z41" s="18">
        <f t="shared" si="113"/>
        <v>0</v>
      </c>
      <c r="AA41" s="18">
        <f t="shared" si="113"/>
        <v>0</v>
      </c>
      <c r="AB41" s="18">
        <f t="shared" si="113"/>
        <v>0</v>
      </c>
      <c r="AC41" s="18">
        <f t="shared" si="113"/>
        <v>0</v>
      </c>
      <c r="AD41" s="18">
        <f t="shared" si="113"/>
        <v>0</v>
      </c>
      <c r="AE41" s="18">
        <f t="shared" si="113"/>
        <v>0</v>
      </c>
      <c r="AF41" s="18">
        <f t="shared" si="113"/>
        <v>0</v>
      </c>
      <c r="AG41" s="96"/>
      <c r="AH41" s="18">
        <v>-0.185</v>
      </c>
      <c r="AI41" s="18">
        <v>-0.185</v>
      </c>
      <c r="AJ41" s="18">
        <v>-0.18</v>
      </c>
      <c r="AK41" s="18">
        <f>-0.402-SUM(AH41:AJ41)</f>
        <v>0.14800000000000002</v>
      </c>
      <c r="AL41" s="18">
        <v>0.151</v>
      </c>
      <c r="AM41" s="18">
        <v>0.19600000000000001</v>
      </c>
      <c r="AN41" s="18">
        <v>6.6000000000000003E-2</v>
      </c>
      <c r="AO41" s="18">
        <f>0.904-SUM(AL41:AN41)</f>
        <v>0.49100000000000005</v>
      </c>
      <c r="AP41" s="18">
        <v>0.18099999999999999</v>
      </c>
      <c r="AQ41" s="18">
        <v>0.34499999999999997</v>
      </c>
      <c r="AR41" s="18">
        <v>0.14799999999999999</v>
      </c>
      <c r="AS41" s="18">
        <f>1.086-SUM(AP41:AR41)</f>
        <v>0.41200000000000003</v>
      </c>
      <c r="AT41" s="18">
        <v>0.19400000000000001</v>
      </c>
      <c r="AU41" s="18">
        <v>0.34100000000000003</v>
      </c>
      <c r="AV41" s="18">
        <v>0.158</v>
      </c>
      <c r="AW41" s="18">
        <f>1.686-SUM(AT41:AV41)</f>
        <v>0.99299999999999988</v>
      </c>
      <c r="AX41" s="18">
        <v>0.5</v>
      </c>
      <c r="AY41" s="18">
        <v>0.59099999999999997</v>
      </c>
      <c r="AZ41" s="18">
        <v>0.44</v>
      </c>
      <c r="BA41" s="18">
        <f>2.282-SUM(AX41:AZ41)</f>
        <v>0.75100000000000011</v>
      </c>
      <c r="BB41" s="18">
        <v>1.2170000000000001</v>
      </c>
      <c r="BC41" s="18">
        <v>1.5589999999999999</v>
      </c>
      <c r="BD41" s="18">
        <v>1.577</v>
      </c>
      <c r="BE41" s="18">
        <f>5.611-SUM(BB41:BD41)</f>
        <v>1.258</v>
      </c>
      <c r="BF41" s="18">
        <v>0.79400000000000004</v>
      </c>
      <c r="BG41" s="18">
        <v>0.86699999999999999</v>
      </c>
      <c r="BH41" s="18">
        <v>1.181</v>
      </c>
      <c r="BI41" s="18">
        <f>3.556-SUM(BF41:BH41)</f>
        <v>0.71399999999999997</v>
      </c>
      <c r="BJ41" s="18">
        <v>0.51</v>
      </c>
      <c r="BK41" s="18">
        <v>1.0349999999999999</v>
      </c>
      <c r="BL41" s="18">
        <v>0.83299999999999996</v>
      </c>
      <c r="BM41" s="18">
        <v>0.84299999999999997</v>
      </c>
      <c r="BN41" s="18">
        <v>0.435</v>
      </c>
      <c r="BO41" s="18">
        <v>0.64200000000000002</v>
      </c>
      <c r="BP41" s="18">
        <v>0.33200000000000002</v>
      </c>
      <c r="BQ41" s="18">
        <v>0.77</v>
      </c>
      <c r="BR41" s="18">
        <v>1.0920000000000001</v>
      </c>
      <c r="BS41" s="18">
        <v>0.77</v>
      </c>
      <c r="BT41" s="18">
        <v>0.66200000000000003</v>
      </c>
      <c r="BU41" s="18">
        <v>0.53500000000000003</v>
      </c>
      <c r="BV41" s="18">
        <v>0.45300000000000001</v>
      </c>
      <c r="BW41" s="18">
        <v>3.3000000000000002E-2</v>
      </c>
      <c r="BX41" s="18">
        <v>0.13300000000000001</v>
      </c>
      <c r="BY41" s="18">
        <v>-2.0390000000000001</v>
      </c>
      <c r="BZ41" s="18">
        <v>-0.62</v>
      </c>
      <c r="CA41" s="18">
        <v>0.309</v>
      </c>
      <c r="CB41" s="18">
        <v>0.86099999999999999</v>
      </c>
      <c r="CC41" s="18">
        <v>0.17399999999999999</v>
      </c>
      <c r="CD41" s="18">
        <v>0.70599999999999996</v>
      </c>
      <c r="CE41" s="18">
        <v>0.68700000000000006</v>
      </c>
      <c r="CF41" s="18">
        <v>0.45800000000000002</v>
      </c>
      <c r="CG41" s="18">
        <v>0.56100000000000005</v>
      </c>
      <c r="CH41" s="18">
        <v>0.55500000000000005</v>
      </c>
      <c r="CI41" s="18">
        <v>2.0249999999999999</v>
      </c>
      <c r="CJ41" s="18">
        <v>1.647</v>
      </c>
      <c r="CK41" s="18">
        <v>3.0409999999999999</v>
      </c>
      <c r="CL41" s="18">
        <v>1.504</v>
      </c>
      <c r="CM41" s="18">
        <v>2.5510000000000002</v>
      </c>
      <c r="CN41" s="18">
        <v>2.3719999999999999</v>
      </c>
      <c r="CO41" s="18">
        <v>3.4649999999999999</v>
      </c>
      <c r="CP41" s="18">
        <v>3.5449999999999999</v>
      </c>
      <c r="CQ41" s="18">
        <v>3.0649999999999999</v>
      </c>
      <c r="CR41" s="18">
        <v>4.9119999999999999</v>
      </c>
      <c r="CS41" s="18">
        <v>5.8440000000000003</v>
      </c>
      <c r="CT41" s="18">
        <v>5.8890000000000002</v>
      </c>
      <c r="CU41" s="18">
        <v>4.2220000000000004</v>
      </c>
      <c r="CV41" s="18">
        <v>0</v>
      </c>
      <c r="CW41" s="18">
        <v>0</v>
      </c>
      <c r="CX41" s="18">
        <v>0</v>
      </c>
      <c r="CY41" s="18">
        <v>0</v>
      </c>
      <c r="CZ41" s="18">
        <v>0</v>
      </c>
      <c r="DA41" s="18">
        <v>0</v>
      </c>
      <c r="DB41" s="18">
        <v>0</v>
      </c>
      <c r="DC41" s="18">
        <v>0</v>
      </c>
      <c r="DD41" s="18">
        <v>0</v>
      </c>
      <c r="DE41" s="18">
        <v>0</v>
      </c>
      <c r="DF41" s="18">
        <v>0</v>
      </c>
      <c r="DG41" s="18">
        <v>0</v>
      </c>
      <c r="DH41" s="18">
        <v>0</v>
      </c>
      <c r="DI41" s="18">
        <v>0</v>
      </c>
      <c r="DJ41" s="18">
        <v>0</v>
      </c>
      <c r="DK41" s="18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0</v>
      </c>
      <c r="DU41" s="18">
        <v>0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0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/>
      <c r="ER41" s="18"/>
      <c r="ES41" s="355">
        <f t="shared" si="18"/>
        <v>36</v>
      </c>
      <c r="ET41"/>
      <c r="EU41"/>
      <c r="EV41"/>
      <c r="EW41"/>
      <c r="EX41"/>
      <c r="EY4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s="4" customFormat="1" ht="11.45" customHeight="1" outlineLevel="1" collapsed="1">
      <c r="A42" s="15"/>
      <c r="B42" s="308" t="s">
        <v>225</v>
      </c>
      <c r="C42" s="127"/>
      <c r="D42" s="127"/>
      <c r="E42" s="127">
        <f t="shared" ref="E42:AF42" si="114">SUM(E40:E41)</f>
        <v>22.770000000000042</v>
      </c>
      <c r="F42" s="127">
        <f t="shared" si="114"/>
        <v>20.970999999999989</v>
      </c>
      <c r="G42" s="127">
        <f t="shared" si="114"/>
        <v>15.906999999999989</v>
      </c>
      <c r="H42" s="127">
        <f t="shared" si="114"/>
        <v>45.080000000000005</v>
      </c>
      <c r="I42" s="127">
        <f t="shared" si="114"/>
        <v>84.189000000000007</v>
      </c>
      <c r="J42" s="127">
        <f t="shared" si="114"/>
        <v>77.736600000000053</v>
      </c>
      <c r="K42" s="127">
        <f t="shared" si="114"/>
        <v>34.926000000000023</v>
      </c>
      <c r="L42" s="127">
        <f t="shared" si="114"/>
        <v>74.550000000000011</v>
      </c>
      <c r="M42" s="127">
        <f t="shared" si="114"/>
        <v>143.28367</v>
      </c>
      <c r="N42" s="127">
        <f t="shared" si="114"/>
        <v>38.418610000000022</v>
      </c>
      <c r="O42" s="127">
        <f t="shared" si="114"/>
        <v>14.831299999999976</v>
      </c>
      <c r="P42" s="127">
        <f t="shared" si="114"/>
        <v>14.097870000000039</v>
      </c>
      <c r="Q42" s="127">
        <f t="shared" si="114"/>
        <v>104.06714000000012</v>
      </c>
      <c r="R42" s="127">
        <f t="shared" si="114"/>
        <v>276.1223</v>
      </c>
      <c r="S42" s="127">
        <f t="shared" si="114"/>
        <v>370.01875999999959</v>
      </c>
      <c r="T42" s="127">
        <f t="shared" si="114"/>
        <v>440.29158000000007</v>
      </c>
      <c r="U42" s="127">
        <f t="shared" si="114"/>
        <v>349.36992999999995</v>
      </c>
      <c r="V42" s="127">
        <f t="shared" si="114"/>
        <v>274.31960000000004</v>
      </c>
      <c r="W42" s="127">
        <f t="shared" si="114"/>
        <v>431.67669999999993</v>
      </c>
      <c r="X42" s="127">
        <f t="shared" si="114"/>
        <v>559.8284500000002</v>
      </c>
      <c r="Y42" s="127">
        <f t="shared" si="114"/>
        <v>599.95128499999942</v>
      </c>
      <c r="Z42" s="127">
        <f t="shared" si="114"/>
        <v>671.80812480000054</v>
      </c>
      <c r="AA42" s="127">
        <f t="shared" si="114"/>
        <v>314.36733400000003</v>
      </c>
      <c r="AB42" s="127">
        <f t="shared" si="114"/>
        <v>-109.67175999999975</v>
      </c>
      <c r="AC42" s="127">
        <f t="shared" si="114"/>
        <v>-135.42201000000034</v>
      </c>
      <c r="AD42" s="127">
        <f t="shared" si="114"/>
        <v>23.9230954787947</v>
      </c>
      <c r="AE42" s="127">
        <f t="shared" si="114"/>
        <v>193.03085741030407</v>
      </c>
      <c r="AF42" s="127">
        <f t="shared" si="114"/>
        <v>253.83822227496847</v>
      </c>
      <c r="AG42" s="307"/>
      <c r="AH42" s="306">
        <f t="shared" ref="AH42:BM42" si="115">SUM(AH40:AH41)</f>
        <v>6.308399999999998</v>
      </c>
      <c r="AI42" s="306">
        <f t="shared" si="115"/>
        <v>6.9258000000000015</v>
      </c>
      <c r="AJ42" s="306">
        <f t="shared" si="115"/>
        <v>4.9599999999999991</v>
      </c>
      <c r="AK42" s="306">
        <f t="shared" si="115"/>
        <v>4.5758000000000223</v>
      </c>
      <c r="AL42" s="306">
        <f t="shared" si="115"/>
        <v>7.2530000000000037</v>
      </c>
      <c r="AM42" s="306">
        <f t="shared" si="115"/>
        <v>6.1549999999999931</v>
      </c>
      <c r="AN42" s="306">
        <f t="shared" si="115"/>
        <v>4.6600000000000099</v>
      </c>
      <c r="AO42" s="306">
        <f t="shared" si="115"/>
        <v>2.9029999999999707</v>
      </c>
      <c r="AP42" s="306">
        <f t="shared" si="115"/>
        <v>4.4160000000000075</v>
      </c>
      <c r="AQ42" s="306">
        <f t="shared" si="115"/>
        <v>4.7034747200542899</v>
      </c>
      <c r="AR42" s="306">
        <f t="shared" si="115"/>
        <v>3.9005252799457044</v>
      </c>
      <c r="AS42" s="306">
        <f t="shared" si="115"/>
        <v>2.886999999999988</v>
      </c>
      <c r="AT42" s="306">
        <f t="shared" si="115"/>
        <v>9.4680000000000089</v>
      </c>
      <c r="AU42" s="306">
        <f t="shared" si="115"/>
        <v>9.801999999999996</v>
      </c>
      <c r="AV42" s="306">
        <f t="shared" si="115"/>
        <v>12.304</v>
      </c>
      <c r="AW42" s="306">
        <f t="shared" si="115"/>
        <v>13.506000000000027</v>
      </c>
      <c r="AX42" s="306">
        <f t="shared" si="115"/>
        <v>20.125</v>
      </c>
      <c r="AY42" s="306">
        <f t="shared" si="115"/>
        <v>22.417999999999999</v>
      </c>
      <c r="AZ42" s="306">
        <f t="shared" si="115"/>
        <v>23.648000000000007</v>
      </c>
      <c r="BA42" s="306">
        <f t="shared" si="115"/>
        <v>17.998000000000058</v>
      </c>
      <c r="BB42" s="306">
        <f t="shared" si="115"/>
        <v>25.490000000000009</v>
      </c>
      <c r="BC42" s="306">
        <f t="shared" si="115"/>
        <v>19.337</v>
      </c>
      <c r="BD42" s="306">
        <f t="shared" si="115"/>
        <v>20.72059999999999</v>
      </c>
      <c r="BE42" s="306">
        <f t="shared" si="115"/>
        <v>12.189000000000128</v>
      </c>
      <c r="BF42" s="306">
        <f t="shared" si="115"/>
        <v>6.4399999999999942</v>
      </c>
      <c r="BG42" s="306">
        <f t="shared" si="115"/>
        <v>7.352000000000003</v>
      </c>
      <c r="BH42" s="306">
        <f t="shared" si="115"/>
        <v>11.463999999999988</v>
      </c>
      <c r="BI42" s="306">
        <f t="shared" si="115"/>
        <v>9.6700000000000603</v>
      </c>
      <c r="BJ42" s="306">
        <f t="shared" si="115"/>
        <v>18.70699999999999</v>
      </c>
      <c r="BK42" s="306">
        <f t="shared" si="115"/>
        <v>13.277000000000006</v>
      </c>
      <c r="BL42" s="306">
        <f t="shared" si="115"/>
        <v>18.556999999999995</v>
      </c>
      <c r="BM42" s="306">
        <f t="shared" si="115"/>
        <v>24.008999999999997</v>
      </c>
      <c r="BN42" s="306">
        <f t="shared" ref="BN42:CS42" si="116">SUM(BN40:BN41)</f>
        <v>33.839999999999989</v>
      </c>
      <c r="BO42" s="306">
        <f t="shared" si="116"/>
        <v>41.675000000000018</v>
      </c>
      <c r="BP42" s="306">
        <f t="shared" si="116"/>
        <v>39.014000000000017</v>
      </c>
      <c r="BQ42" s="306">
        <f t="shared" si="116"/>
        <v>28.75466999999999</v>
      </c>
      <c r="BR42" s="306">
        <f t="shared" si="116"/>
        <v>18.126999999999999</v>
      </c>
      <c r="BS42" s="306">
        <f t="shared" si="116"/>
        <v>7.8049999999999997</v>
      </c>
      <c r="BT42" s="306">
        <f t="shared" si="116"/>
        <v>7.0829999999999993</v>
      </c>
      <c r="BU42" s="306">
        <f t="shared" si="116"/>
        <v>5.4036100000000005</v>
      </c>
      <c r="BV42" s="306">
        <f t="shared" si="116"/>
        <v>0.60700000000000642</v>
      </c>
      <c r="BW42" s="306">
        <f t="shared" si="116"/>
        <v>2.5740000000000056</v>
      </c>
      <c r="BX42" s="306">
        <f t="shared" si="116"/>
        <v>8.1619999999999955</v>
      </c>
      <c r="BY42" s="306">
        <f t="shared" si="116"/>
        <v>3.4882999999999975</v>
      </c>
      <c r="BZ42" s="127">
        <f t="shared" si="116"/>
        <v>3.8690499999999899</v>
      </c>
      <c r="CA42" s="127">
        <f t="shared" si="116"/>
        <v>2.369309999999996</v>
      </c>
      <c r="CB42" s="127">
        <f t="shared" si="116"/>
        <v>4.2990600000000052</v>
      </c>
      <c r="CC42" s="127">
        <f t="shared" si="116"/>
        <v>3.5604500000000141</v>
      </c>
      <c r="CD42" s="127">
        <f t="shared" si="116"/>
        <v>17.750000000000004</v>
      </c>
      <c r="CE42" s="127">
        <f t="shared" si="116"/>
        <v>21.79835000000001</v>
      </c>
      <c r="CF42" s="127">
        <f t="shared" si="116"/>
        <v>29.469229999999996</v>
      </c>
      <c r="CG42" s="127">
        <f t="shared" si="116"/>
        <v>35.049560000000021</v>
      </c>
      <c r="CH42" s="127">
        <f t="shared" si="116"/>
        <v>48.460549999999991</v>
      </c>
      <c r="CI42" s="127">
        <f t="shared" si="116"/>
        <v>62.257049999999978</v>
      </c>
      <c r="CJ42" s="127">
        <f t="shared" si="116"/>
        <v>72.639750000000035</v>
      </c>
      <c r="CK42" s="127">
        <f t="shared" si="116"/>
        <v>92.764950000000027</v>
      </c>
      <c r="CL42" s="127">
        <f t="shared" si="116"/>
        <v>93.619279999999961</v>
      </c>
      <c r="CM42" s="127">
        <f t="shared" si="116"/>
        <v>82.743879999999976</v>
      </c>
      <c r="CN42" s="127">
        <f t="shared" si="116"/>
        <v>91.27823999999994</v>
      </c>
      <c r="CO42" s="127">
        <f t="shared" si="116"/>
        <v>102.37736000000001</v>
      </c>
      <c r="CP42" s="127">
        <f t="shared" si="116"/>
        <v>104.24516000000008</v>
      </c>
      <c r="CQ42" s="127">
        <f t="shared" si="116"/>
        <v>97.452359999999942</v>
      </c>
      <c r="CR42" s="127">
        <f t="shared" si="116"/>
        <v>117.74238000000003</v>
      </c>
      <c r="CS42" s="127">
        <f t="shared" si="116"/>
        <v>120.85167999999994</v>
      </c>
      <c r="CT42" s="127">
        <f t="shared" ref="CT42:DY42" si="117">SUM(CT40:CT41)</f>
        <v>144.53657999999999</v>
      </c>
      <c r="CU42" s="127">
        <f t="shared" si="117"/>
        <v>102.4639</v>
      </c>
      <c r="CV42" s="127">
        <f t="shared" si="117"/>
        <v>51.712150000000051</v>
      </c>
      <c r="CW42" s="127">
        <f t="shared" si="117"/>
        <v>50.657300000000035</v>
      </c>
      <c r="CX42" s="127">
        <f t="shared" si="117"/>
        <v>62.781300000000066</v>
      </c>
      <c r="CY42" s="127">
        <f t="shared" si="117"/>
        <v>65.573149999999941</v>
      </c>
      <c r="CZ42" s="127">
        <f t="shared" si="117"/>
        <v>63.421149999999997</v>
      </c>
      <c r="DA42" s="127">
        <f t="shared" si="117"/>
        <v>82.544000000000011</v>
      </c>
      <c r="DB42" s="127">
        <f t="shared" si="117"/>
        <v>102.63014999999993</v>
      </c>
      <c r="DC42" s="127">
        <f t="shared" si="117"/>
        <v>100.60874999999997</v>
      </c>
      <c r="DD42" s="127">
        <f t="shared" si="117"/>
        <v>109.29044999999989</v>
      </c>
      <c r="DE42" s="127">
        <f t="shared" si="117"/>
        <v>119.14734999999997</v>
      </c>
      <c r="DF42" s="127">
        <f t="shared" si="117"/>
        <v>141.25305000000003</v>
      </c>
      <c r="DG42" s="127">
        <f t="shared" si="117"/>
        <v>124.28899999999996</v>
      </c>
      <c r="DH42" s="127">
        <f t="shared" si="117"/>
        <v>148.08099999999985</v>
      </c>
      <c r="DI42" s="127">
        <f t="shared" si="117"/>
        <v>146.20540000000005</v>
      </c>
      <c r="DJ42" s="127">
        <f t="shared" si="117"/>
        <v>150.5298499999999</v>
      </c>
      <c r="DK42" s="127">
        <f t="shared" si="117"/>
        <v>147.61355000000003</v>
      </c>
      <c r="DL42" s="127">
        <f t="shared" si="117"/>
        <v>155.76612500000002</v>
      </c>
      <c r="DM42" s="127">
        <f t="shared" si="117"/>
        <v>146.04176000000001</v>
      </c>
      <c r="DN42" s="127">
        <f t="shared" si="117"/>
        <v>162.78102479999998</v>
      </c>
      <c r="DO42" s="127">
        <f t="shared" si="117"/>
        <v>156.77400000000011</v>
      </c>
      <c r="DP42" s="127">
        <f t="shared" si="117"/>
        <v>176.99009999999987</v>
      </c>
      <c r="DQ42" s="127">
        <f t="shared" si="117"/>
        <v>175.26299999999998</v>
      </c>
      <c r="DR42" s="127">
        <f t="shared" si="117"/>
        <v>185.93014000000005</v>
      </c>
      <c r="DS42" s="127">
        <f t="shared" si="117"/>
        <v>104.41723400000001</v>
      </c>
      <c r="DT42" s="127">
        <f t="shared" si="117"/>
        <v>30.144359999999988</v>
      </c>
      <c r="DU42" s="127">
        <f t="shared" si="117"/>
        <v>-6.124400000000084</v>
      </c>
      <c r="DV42" s="127">
        <f t="shared" si="117"/>
        <v>5.0571000000000312</v>
      </c>
      <c r="DW42" s="127">
        <f t="shared" si="117"/>
        <v>-29.059000000000015</v>
      </c>
      <c r="DX42" s="127">
        <f t="shared" si="117"/>
        <v>-50.617309999999932</v>
      </c>
      <c r="DY42" s="127">
        <f t="shared" si="117"/>
        <v>-35.052549999999997</v>
      </c>
      <c r="DZ42" s="127">
        <f t="shared" ref="DZ42:EP42" si="118">SUM(DZ40:DZ41)</f>
        <v>-43.199989999999978</v>
      </c>
      <c r="EA42" s="127">
        <f t="shared" si="118"/>
        <v>-50.644299999999994</v>
      </c>
      <c r="EB42" s="127">
        <f t="shared" ref="EB42" si="119">SUM(EB40:EB41)</f>
        <v>-27.46787999999998</v>
      </c>
      <c r="EC42" s="127">
        <f t="shared" si="118"/>
        <v>-14.109840000000105</v>
      </c>
      <c r="ED42" s="127">
        <f t="shared" si="118"/>
        <v>2.0774039999999099</v>
      </c>
      <c r="EE42" s="127">
        <f t="shared" si="118"/>
        <v>-6.8319768100834279</v>
      </c>
      <c r="EF42" s="127">
        <f t="shared" si="118"/>
        <v>5.2119359954392648</v>
      </c>
      <c r="EG42" s="127">
        <f t="shared" si="118"/>
        <v>23.465732293438641</v>
      </c>
      <c r="EH42" s="127">
        <f t="shared" si="118"/>
        <v>35.147071388719212</v>
      </c>
      <c r="EI42" s="127">
        <f t="shared" si="118"/>
        <v>46.271763375570721</v>
      </c>
      <c r="EJ42" s="127">
        <f t="shared" si="118"/>
        <v>52.936727550966552</v>
      </c>
      <c r="EK42" s="127">
        <f t="shared" si="118"/>
        <v>58.675295095047488</v>
      </c>
      <c r="EL42" s="127">
        <f t="shared" si="118"/>
        <v>67.134166645629847</v>
      </c>
      <c r="EM42" s="127">
        <f t="shared" si="118"/>
        <v>63.198940952978433</v>
      </c>
      <c r="EN42" s="127">
        <f t="shared" si="118"/>
        <v>61.512198204638338</v>
      </c>
      <c r="EO42" s="127">
        <f t="shared" si="118"/>
        <v>61.992916471721713</v>
      </c>
      <c r="EP42" s="127">
        <f t="shared" si="118"/>
        <v>60.291562378347123</v>
      </c>
      <c r="EQ42" s="313"/>
      <c r="ER42" s="313"/>
      <c r="ES42" s="355">
        <f t="shared" si="18"/>
        <v>37</v>
      </c>
      <c r="ET42"/>
      <c r="EU42"/>
      <c r="EV42"/>
      <c r="EW42"/>
      <c r="EX42"/>
      <c r="EY42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s="4" customFormat="1" ht="11.45" hidden="1" customHeight="1" outlineLevel="2">
      <c r="A43" s="15"/>
      <c r="B43" s="47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96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  <c r="BH43" s="165"/>
      <c r="BI43" s="165"/>
      <c r="BJ43" s="165"/>
      <c r="BK43" s="165"/>
      <c r="BL43" s="165"/>
      <c r="BM43" s="165"/>
      <c r="BN43" s="165"/>
      <c r="BO43" s="165"/>
      <c r="BP43" s="165"/>
      <c r="BQ43" s="165"/>
      <c r="BR43" s="165"/>
      <c r="BS43" s="165"/>
      <c r="BT43" s="165"/>
      <c r="BU43" s="165"/>
      <c r="BV43" s="165"/>
      <c r="BW43" s="165"/>
      <c r="BX43" s="165"/>
      <c r="BY43" s="165"/>
      <c r="BZ43" s="165"/>
      <c r="CA43" s="165"/>
      <c r="CB43" s="165"/>
      <c r="CC43" s="165"/>
      <c r="CD43" s="165"/>
      <c r="CE43" s="165"/>
      <c r="CF43" s="165"/>
      <c r="CG43" s="165"/>
      <c r="CH43" s="165"/>
      <c r="CI43" s="165"/>
      <c r="CJ43" s="165"/>
      <c r="CK43" s="165"/>
      <c r="CL43" s="165"/>
      <c r="CM43" s="165"/>
      <c r="CN43" s="165"/>
      <c r="CO43" s="165"/>
      <c r="CP43" s="165"/>
      <c r="CQ43" s="165"/>
      <c r="CR43" s="165"/>
      <c r="CS43" s="165"/>
      <c r="CT43" s="165"/>
      <c r="CU43" s="165"/>
      <c r="CV43" s="165"/>
      <c r="CW43" s="165"/>
      <c r="CX43" s="165"/>
      <c r="CY43" s="165"/>
      <c r="CZ43" s="165"/>
      <c r="DA43" s="165"/>
      <c r="DB43" s="165"/>
      <c r="DC43" s="311"/>
      <c r="DD43" s="311"/>
      <c r="DE43" s="311"/>
      <c r="DF43" s="165"/>
      <c r="DG43" s="165"/>
      <c r="DH43" s="165"/>
      <c r="DI43" s="165"/>
      <c r="DJ43" s="165"/>
      <c r="DK43" s="165"/>
      <c r="DL43" s="165"/>
      <c r="DM43" s="165"/>
      <c r="DN43" s="165"/>
      <c r="DO43" s="165"/>
      <c r="DP43" s="165"/>
      <c r="DQ43" s="165"/>
      <c r="DR43" s="165"/>
      <c r="DS43" s="165"/>
      <c r="DT43" s="165"/>
      <c r="DU43" s="165"/>
      <c r="DV43" s="165"/>
      <c r="DW43" s="165"/>
      <c r="DX43" s="165"/>
      <c r="DY43" s="165"/>
      <c r="DZ43" s="165"/>
      <c r="EA43" s="165"/>
      <c r="EB43" s="165"/>
      <c r="EC43" s="165"/>
      <c r="ED43" s="165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18"/>
      <c r="ER43" s="18"/>
      <c r="ES43" s="355">
        <f t="shared" si="18"/>
        <v>38</v>
      </c>
      <c r="ET43"/>
      <c r="EU43"/>
      <c r="EV43"/>
      <c r="EW43"/>
      <c r="EX43"/>
      <c r="EY43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</row>
    <row r="44" spans="1:257" s="4" customFormat="1" ht="11.45" hidden="1" customHeight="1" outlineLevel="2">
      <c r="A44" s="15"/>
      <c r="B44" s="310" t="s">
        <v>224</v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96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  <c r="BH44" s="165"/>
      <c r="BI44" s="165"/>
      <c r="BJ44" s="165"/>
      <c r="BK44" s="165"/>
      <c r="BL44" s="165"/>
      <c r="BM44" s="165"/>
      <c r="BN44" s="165"/>
      <c r="BO44" s="165"/>
      <c r="BP44" s="165"/>
      <c r="BQ44" s="165"/>
      <c r="BR44" s="165"/>
      <c r="BS44" s="165"/>
      <c r="BT44" s="165"/>
      <c r="BU44" s="165"/>
      <c r="BV44" s="165"/>
      <c r="BW44" s="165"/>
      <c r="BX44" s="165"/>
      <c r="BY44" s="165"/>
      <c r="BZ44" s="165"/>
      <c r="CA44" s="165"/>
      <c r="CB44" s="165"/>
      <c r="CC44" s="18"/>
      <c r="CD44" s="165"/>
      <c r="CE44" s="165"/>
      <c r="CF44" s="165"/>
      <c r="CG44" s="165"/>
      <c r="CH44" s="165"/>
      <c r="CI44" s="165"/>
      <c r="CJ44" s="165"/>
      <c r="CK44" s="165"/>
      <c r="CL44" s="165"/>
      <c r="CM44" s="165"/>
      <c r="CN44" s="165"/>
      <c r="CO44" s="165"/>
      <c r="CP44" s="165"/>
      <c r="CQ44" s="165"/>
      <c r="CR44" s="165"/>
      <c r="CS44" s="165"/>
      <c r="CT44" s="165"/>
      <c r="CU44" s="165"/>
      <c r="CV44" s="165"/>
      <c r="CW44" s="165"/>
      <c r="CX44" s="165"/>
      <c r="CY44" s="165"/>
      <c r="CZ44" s="165"/>
      <c r="DA44" s="165"/>
      <c r="DB44" s="165"/>
      <c r="DC44" s="165"/>
      <c r="DD44" s="165"/>
      <c r="DE44" s="165"/>
      <c r="DF44" s="165"/>
      <c r="DG44" s="165"/>
      <c r="DH44" s="165"/>
      <c r="DI44" s="165"/>
      <c r="DJ44" s="165"/>
      <c r="DK44" s="165"/>
      <c r="DL44" s="165"/>
      <c r="DM44" s="165"/>
      <c r="DN44" s="165"/>
      <c r="DO44" s="165"/>
      <c r="DP44" s="165"/>
      <c r="DQ44" s="165"/>
      <c r="DR44" s="165"/>
      <c r="DS44" s="165"/>
      <c r="DT44" s="165"/>
      <c r="DU44" s="165"/>
      <c r="DV44" s="165"/>
      <c r="DW44" s="165"/>
      <c r="DX44" s="165"/>
      <c r="DY44" s="165"/>
      <c r="DZ44" s="165"/>
      <c r="EA44" s="165"/>
      <c r="EB44" s="165"/>
      <c r="EC44" s="165"/>
      <c r="ED44" s="165"/>
      <c r="EE44" s="165"/>
      <c r="EF44" s="165"/>
      <c r="EG44" s="165"/>
      <c r="EH44" s="165"/>
      <c r="EI44" s="165"/>
      <c r="EJ44" s="165"/>
      <c r="EK44" s="165"/>
      <c r="EL44" s="165"/>
      <c r="EM44" s="165"/>
      <c r="EN44" s="165"/>
      <c r="EO44" s="165"/>
      <c r="EP44" s="165"/>
      <c r="EQ44" s="18"/>
      <c r="ER44" s="18"/>
      <c r="ES44" s="355">
        <f t="shared" si="18"/>
        <v>39</v>
      </c>
      <c r="ET44"/>
      <c r="EU44"/>
      <c r="EV44"/>
      <c r="EW44"/>
      <c r="EX44"/>
      <c r="EY44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</row>
    <row r="45" spans="1:257" s="4" customFormat="1" ht="11.45" hidden="1" customHeight="1" outlineLevel="2">
      <c r="A45" s="15"/>
      <c r="B45" s="309" t="s">
        <v>223</v>
      </c>
      <c r="C45" s="17"/>
      <c r="D45" s="17"/>
      <c r="E45" s="18">
        <f>SUM(AH45:AK45)</f>
        <v>0</v>
      </c>
      <c r="F45" s="18">
        <f>SUM(AL45:AO45)</f>
        <v>0</v>
      </c>
      <c r="G45" s="18">
        <f>SUM(AP45:AS45)</f>
        <v>0</v>
      </c>
      <c r="H45" s="18">
        <f>SUM(AT45:AW45)</f>
        <v>0</v>
      </c>
      <c r="I45" s="18">
        <f>SUM(AX45:BA45)</f>
        <v>0</v>
      </c>
      <c r="J45" s="96">
        <f>SUM(BB45:BE45)</f>
        <v>0</v>
      </c>
      <c r="K45" s="96">
        <f>SUM(BF45:BI45)</f>
        <v>0</v>
      </c>
      <c r="L45" s="96">
        <f>SUM(BJ45:BM45)</f>
        <v>0</v>
      </c>
      <c r="M45" s="96">
        <f>SUM(BN45:BQ45)</f>
        <v>0</v>
      </c>
      <c r="N45" s="96">
        <f>SUM(BR45:BU45)</f>
        <v>0</v>
      </c>
      <c r="O45" s="96">
        <f t="shared" ref="O45:X49" si="120">SUMIF($AH$5:$ER$5,O$5,$AH45:$ER45)</f>
        <v>0</v>
      </c>
      <c r="P45" s="18">
        <f t="shared" si="120"/>
        <v>2.52719</v>
      </c>
      <c r="Q45" s="18">
        <f t="shared" si="120"/>
        <v>7.1130599999999999</v>
      </c>
      <c r="R45" s="18">
        <f t="shared" si="120"/>
        <v>4.8698000000000006</v>
      </c>
      <c r="S45" s="18">
        <f t="shared" si="120"/>
        <v>26.68608</v>
      </c>
      <c r="T45" s="18">
        <f t="shared" si="120"/>
        <v>2.73048</v>
      </c>
      <c r="U45" s="18">
        <f t="shared" si="120"/>
        <v>4.0033300000000001</v>
      </c>
      <c r="V45" s="18">
        <f t="shared" si="120"/>
        <v>3.5133999999999999</v>
      </c>
      <c r="W45" s="18">
        <f t="shared" si="120"/>
        <v>9.6303999999999998</v>
      </c>
      <c r="X45" s="18">
        <f t="shared" si="120"/>
        <v>13.78055</v>
      </c>
      <c r="Y45" s="18">
        <f t="shared" ref="Y45:AF49" si="121">SUMIF($AH$5:$ER$5,Y$5,$AH45:$ER45)</f>
        <v>110.81597499999999</v>
      </c>
      <c r="Z45" s="18">
        <f t="shared" si="121"/>
        <v>42.544700000000006</v>
      </c>
      <c r="AA45" s="18">
        <f t="shared" si="121"/>
        <v>6.4990600000000001</v>
      </c>
      <c r="AB45" s="18">
        <f t="shared" si="121"/>
        <v>6.7536800000000001</v>
      </c>
      <c r="AC45" s="18">
        <f t="shared" si="121"/>
        <v>14.109030000000001</v>
      </c>
      <c r="AD45" s="18">
        <f t="shared" si="121"/>
        <v>4.3638000000000003</v>
      </c>
      <c r="AE45" s="18">
        <f t="shared" si="121"/>
        <v>0</v>
      </c>
      <c r="AF45" s="18">
        <f t="shared" si="121"/>
        <v>0</v>
      </c>
      <c r="AG45" s="18"/>
      <c r="AH45" s="57">
        <v>0</v>
      </c>
      <c r="AI45" s="57">
        <v>0</v>
      </c>
      <c r="AJ45" s="57">
        <v>0</v>
      </c>
      <c r="AK45" s="57">
        <v>0</v>
      </c>
      <c r="AL45" s="57">
        <v>0</v>
      </c>
      <c r="AM45" s="57">
        <v>0</v>
      </c>
      <c r="AN45" s="57">
        <v>0</v>
      </c>
      <c r="AO45" s="57">
        <v>0</v>
      </c>
      <c r="AP45" s="57">
        <v>0</v>
      </c>
      <c r="AQ45" s="57">
        <v>0</v>
      </c>
      <c r="AR45" s="57">
        <v>0</v>
      </c>
      <c r="AS45" s="57">
        <v>0</v>
      </c>
      <c r="AT45" s="57">
        <v>0</v>
      </c>
      <c r="AU45" s="57">
        <v>0</v>
      </c>
      <c r="AV45" s="57">
        <v>0</v>
      </c>
      <c r="AW45" s="57">
        <f>0-SUM(AT45:AV45)</f>
        <v>0</v>
      </c>
      <c r="AX45" s="57">
        <v>0</v>
      </c>
      <c r="AY45" s="57">
        <v>0</v>
      </c>
      <c r="AZ45" s="57">
        <v>0</v>
      </c>
      <c r="BA45" s="57">
        <v>0</v>
      </c>
      <c r="BB45" s="57">
        <v>0</v>
      </c>
      <c r="BC45" s="57">
        <v>0</v>
      </c>
      <c r="BD45" s="57">
        <v>0</v>
      </c>
      <c r="BE45" s="57">
        <v>0</v>
      </c>
      <c r="BF45" s="57">
        <v>0</v>
      </c>
      <c r="BG45" s="57">
        <v>0</v>
      </c>
      <c r="BH45" s="57">
        <v>0</v>
      </c>
      <c r="BI45" s="57">
        <v>0</v>
      </c>
      <c r="BJ45" s="57">
        <v>0</v>
      </c>
      <c r="BK45" s="57">
        <v>0</v>
      </c>
      <c r="BL45" s="57">
        <v>0</v>
      </c>
      <c r="BM45" s="57">
        <v>0</v>
      </c>
      <c r="BN45" s="57">
        <v>0</v>
      </c>
      <c r="BO45" s="57">
        <v>0</v>
      </c>
      <c r="BP45" s="57">
        <v>0</v>
      </c>
      <c r="BQ45" s="57">
        <v>0</v>
      </c>
      <c r="BR45" s="57">
        <v>0</v>
      </c>
      <c r="BS45" s="57">
        <v>0</v>
      </c>
      <c r="BT45" s="57">
        <v>0</v>
      </c>
      <c r="BU45" s="57">
        <v>0</v>
      </c>
      <c r="BV45" s="57">
        <v>0</v>
      </c>
      <c r="BW45" s="57">
        <v>0</v>
      </c>
      <c r="BX45" s="57">
        <v>0</v>
      </c>
      <c r="BY45" s="57">
        <v>0</v>
      </c>
      <c r="BZ45" s="57">
        <f>0.881*(1-BZ364)</f>
        <v>0.41406999999999999</v>
      </c>
      <c r="CA45" s="57">
        <f>0.755*(1-CA364)</f>
        <v>0.35485</v>
      </c>
      <c r="CB45" s="57">
        <f>0.102*(1-CB364)</f>
        <v>4.7939999999999997E-2</v>
      </c>
      <c r="CC45" s="57">
        <f>3.639*(1-CC364)</f>
        <v>1.7103299999999999</v>
      </c>
      <c r="CD45" s="57">
        <f>10.816-(10.816-5.5)</f>
        <v>5.5</v>
      </c>
      <c r="CE45" s="57">
        <f>0.971*(1-CE364)</f>
        <v>0.5728899999999999</v>
      </c>
      <c r="CF45" s="57">
        <f>0.603*(1-CF364)</f>
        <v>0.35576999999999998</v>
      </c>
      <c r="CG45" s="57">
        <f>1.16*(1-CG364)</f>
        <v>0.6843999999999999</v>
      </c>
      <c r="CH45" s="57">
        <f>0.973*(1-CH364)</f>
        <v>0.63244999999999996</v>
      </c>
      <c r="CI45" s="57">
        <f>3.563*(1-CI364)</f>
        <v>2.3159500000000004</v>
      </c>
      <c r="CJ45" s="57">
        <f>1.895*(1-CJ364)</f>
        <v>1.2317500000000001</v>
      </c>
      <c r="CK45" s="57">
        <f>1.061*(1-CK364)</f>
        <v>0.68964999999999999</v>
      </c>
      <c r="CL45" s="57">
        <f>0.486*(1-CL364)</f>
        <v>0.31103999999999998</v>
      </c>
      <c r="CM45" s="57">
        <f>32.336*(1-CM364)</f>
        <v>20.695039999999999</v>
      </c>
      <c r="CN45" s="57">
        <f>6.186*(1-CN364)</f>
        <v>3.9590399999999999</v>
      </c>
      <c r="CO45" s="57">
        <f>2.689*(1-CO364)</f>
        <v>1.72096</v>
      </c>
      <c r="CP45" s="57">
        <f>0.842*(1-CP364)</f>
        <v>0.52203999999999995</v>
      </c>
      <c r="CQ45" s="57">
        <f>1.946*(1-CR364)</f>
        <v>1.20652</v>
      </c>
      <c r="CR45" s="57">
        <f>1.616*(1-CR364)</f>
        <v>1.0019200000000001</v>
      </c>
      <c r="CS45" s="57">
        <v>0</v>
      </c>
      <c r="CT45" s="57">
        <f>0.914*(1-CT364)</f>
        <v>0.56668000000000007</v>
      </c>
      <c r="CU45" s="57">
        <f>2.055*(1-CU364)</f>
        <v>1.2741</v>
      </c>
      <c r="CV45" s="57">
        <f>(0.264+1.785)*0.65</f>
        <v>1.33185</v>
      </c>
      <c r="CW45" s="57">
        <f>1.278*0.65</f>
        <v>0.83069999999999999</v>
      </c>
      <c r="CX45" s="57">
        <f>0.698*0.65</f>
        <v>0.45369999999999999</v>
      </c>
      <c r="CY45" s="57">
        <f>1.309*0.65</f>
        <v>0.85085</v>
      </c>
      <c r="CZ45" s="57">
        <f>2.249*0.65</f>
        <v>1.4618500000000001</v>
      </c>
      <c r="DA45" s="57">
        <v>0.747</v>
      </c>
      <c r="DB45" s="57">
        <f>2.669*0.65</f>
        <v>1.73485</v>
      </c>
      <c r="DC45" s="57">
        <f>4.105*0.65</f>
        <v>2.6682500000000005</v>
      </c>
      <c r="DD45" s="57">
        <f>(0.913+3.488)*0.65</f>
        <v>2.8606500000000001</v>
      </c>
      <c r="DE45" s="57">
        <f>3.641*0.65</f>
        <v>2.3666499999999999</v>
      </c>
      <c r="DF45" s="57">
        <f>4.683*0.65</f>
        <v>3.0439500000000002</v>
      </c>
      <c r="DG45" s="57">
        <f>7.82*0.7</f>
        <v>5.4740000000000002</v>
      </c>
      <c r="DH45" s="57">
        <v>1.8620000000000001</v>
      </c>
      <c r="DI45" s="57">
        <f>4.858*0.7</f>
        <v>3.4005999999999994</v>
      </c>
      <c r="DJ45" s="57">
        <f>5.219*0.65+8.752*0.65</f>
        <v>9.0811500000000009</v>
      </c>
      <c r="DK45" s="57">
        <f>5.313*0.65</f>
        <v>3.4534500000000001</v>
      </c>
      <c r="DL45" s="57">
        <f>(4.006+153.369)*(1-0.395)</f>
        <v>95.211874999999992</v>
      </c>
      <c r="DM45" s="57">
        <f>4.385*0.7</f>
        <v>3.0694999999999997</v>
      </c>
      <c r="DN45" s="57">
        <f>5.664*0.7</f>
        <v>3.9647999999999994</v>
      </c>
      <c r="DO45" s="57">
        <f>(21.352+4.098)*0.7</f>
        <v>17.814999999999998</v>
      </c>
      <c r="DP45" s="57">
        <f>(0.13+0.01)*DP58</f>
        <v>15.299900000000001</v>
      </c>
      <c r="DQ45" s="57">
        <f>0.05*DQ58</f>
        <v>5.4649999999999999</v>
      </c>
      <c r="DR45" s="57">
        <f>0.02*DR58</f>
        <v>2.17686</v>
      </c>
      <c r="DS45" s="57">
        <f>0.02*DS58</f>
        <v>2.1674000000000002</v>
      </c>
      <c r="DT45" s="57">
        <v>0</v>
      </c>
      <c r="DU45" s="57">
        <f>0.02*DU58</f>
        <v>2.1547999999999998</v>
      </c>
      <c r="DV45" s="57">
        <f>0.03*DV58</f>
        <v>3.2522700000000002</v>
      </c>
      <c r="DW45" s="57">
        <f>0.02*DW58</f>
        <v>2.1693199999999999</v>
      </c>
      <c r="DX45" s="57">
        <f>0.547*0.46</f>
        <v>0.25162000000000001</v>
      </c>
      <c r="DY45" s="57">
        <f>0.01*DY58</f>
        <v>1.08047</v>
      </c>
      <c r="DZ45" s="57">
        <f>0.01*DZ58</f>
        <v>1.0807</v>
      </c>
      <c r="EA45" s="57">
        <f>0.09*EA334</f>
        <v>9.7708499999999994</v>
      </c>
      <c r="EB45" s="57">
        <f>0.01*EB58</f>
        <v>1.08572</v>
      </c>
      <c r="EC45" s="57">
        <f>0.02*EC58</f>
        <v>2.1717599999999999</v>
      </c>
      <c r="ED45" s="57">
        <f>0.04*ED58</f>
        <v>4.3638000000000003</v>
      </c>
      <c r="EE45" s="57">
        <v>0</v>
      </c>
      <c r="EF45" s="57">
        <v>0</v>
      </c>
      <c r="EG45" s="57">
        <v>0</v>
      </c>
      <c r="EH45" s="57">
        <v>0</v>
      </c>
      <c r="EI45" s="57">
        <v>0</v>
      </c>
      <c r="EJ45" s="57">
        <v>0</v>
      </c>
      <c r="EK45" s="57">
        <v>0</v>
      </c>
      <c r="EL45" s="57">
        <v>0</v>
      </c>
      <c r="EM45" s="57">
        <v>0</v>
      </c>
      <c r="EN45" s="57">
        <v>0</v>
      </c>
      <c r="EO45" s="57">
        <v>0</v>
      </c>
      <c r="EP45" s="57">
        <v>0</v>
      </c>
      <c r="EQ45" s="18"/>
      <c r="ER45" s="18"/>
      <c r="ES45" s="355">
        <f t="shared" si="18"/>
        <v>40</v>
      </c>
      <c r="ET45"/>
      <c r="EU45"/>
      <c r="EV45"/>
      <c r="EW45"/>
      <c r="EX45"/>
      <c r="EY45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</row>
    <row r="46" spans="1:257" s="4" customFormat="1" ht="11.45" hidden="1" customHeight="1" outlineLevel="2">
      <c r="A46" s="15"/>
      <c r="B46" s="309" t="s">
        <v>222</v>
      </c>
      <c r="C46" s="17"/>
      <c r="D46" s="17"/>
      <c r="E46" s="18">
        <f>SUM(AH46:AK46)</f>
        <v>0</v>
      </c>
      <c r="F46" s="18">
        <f>SUM(AL46:AO46)</f>
        <v>0</v>
      </c>
      <c r="G46" s="18">
        <f>SUM(AP46:AS46)</f>
        <v>-13.6</v>
      </c>
      <c r="H46" s="18">
        <f>SUM(AT46:AW46)</f>
        <v>0</v>
      </c>
      <c r="I46" s="18">
        <f>SUM(AX46:BA46)</f>
        <v>0</v>
      </c>
      <c r="J46" s="96">
        <f>SUM(BB46:BE46)</f>
        <v>0</v>
      </c>
      <c r="K46" s="96">
        <f>SUM(BF46:BI46)</f>
        <v>0</v>
      </c>
      <c r="L46" s="96">
        <f>SUM(BJ46:BM46)</f>
        <v>0</v>
      </c>
      <c r="M46" s="96">
        <f>SUM(BN46:BQ46)</f>
        <v>0</v>
      </c>
      <c r="N46" s="96">
        <f>SUM(BR46:BU46)</f>
        <v>0</v>
      </c>
      <c r="O46" s="96">
        <f t="shared" si="120"/>
        <v>0</v>
      </c>
      <c r="P46" s="18">
        <f t="shared" si="120"/>
        <v>-24.212519999999998</v>
      </c>
      <c r="Q46" s="18">
        <f t="shared" si="120"/>
        <v>0</v>
      </c>
      <c r="R46" s="18">
        <f t="shared" si="120"/>
        <v>0</v>
      </c>
      <c r="S46" s="18">
        <f t="shared" si="120"/>
        <v>0</v>
      </c>
      <c r="T46" s="18">
        <f t="shared" si="120"/>
        <v>0</v>
      </c>
      <c r="U46" s="18">
        <f t="shared" si="120"/>
        <v>0</v>
      </c>
      <c r="V46" s="18">
        <f t="shared" si="120"/>
        <v>0</v>
      </c>
      <c r="W46" s="18">
        <f t="shared" si="120"/>
        <v>0</v>
      </c>
      <c r="X46" s="18">
        <f t="shared" si="120"/>
        <v>0</v>
      </c>
      <c r="Y46" s="18">
        <f t="shared" si="121"/>
        <v>0</v>
      </c>
      <c r="Z46" s="18">
        <f t="shared" si="121"/>
        <v>-12.023</v>
      </c>
      <c r="AA46" s="18">
        <f t="shared" si="121"/>
        <v>-49.591900000000003</v>
      </c>
      <c r="AB46" s="18">
        <f t="shared" si="121"/>
        <v>-44.29927</v>
      </c>
      <c r="AC46" s="18">
        <f t="shared" si="121"/>
        <v>-29.315429999999999</v>
      </c>
      <c r="AD46" s="18">
        <f t="shared" si="121"/>
        <v>-5.4547500000000007</v>
      </c>
      <c r="AE46" s="18">
        <f t="shared" si="121"/>
        <v>0</v>
      </c>
      <c r="AF46" s="18">
        <f t="shared" si="121"/>
        <v>0</v>
      </c>
      <c r="AG46" s="18"/>
      <c r="AH46" s="57">
        <v>0</v>
      </c>
      <c r="AI46" s="57">
        <v>0</v>
      </c>
      <c r="AJ46" s="57">
        <v>0</v>
      </c>
      <c r="AK46" s="57">
        <v>0</v>
      </c>
      <c r="AL46" s="57">
        <v>0</v>
      </c>
      <c r="AM46" s="57">
        <v>0</v>
      </c>
      <c r="AN46" s="57">
        <v>0</v>
      </c>
      <c r="AO46" s="57">
        <v>0</v>
      </c>
      <c r="AP46" s="57">
        <v>0</v>
      </c>
      <c r="AQ46" s="57">
        <v>0</v>
      </c>
      <c r="AR46" s="57">
        <v>0</v>
      </c>
      <c r="AS46" s="57">
        <f>-13.6-SUM(AP46:AR46)</f>
        <v>-13.6</v>
      </c>
      <c r="AT46" s="57">
        <v>0</v>
      </c>
      <c r="AU46" s="57">
        <v>0</v>
      </c>
      <c r="AV46" s="57">
        <v>0</v>
      </c>
      <c r="AW46" s="57">
        <f>0-SUM(AT46:AV46)</f>
        <v>0</v>
      </c>
      <c r="AX46" s="57">
        <v>0</v>
      </c>
      <c r="AY46" s="57">
        <v>0</v>
      </c>
      <c r="AZ46" s="57">
        <v>0</v>
      </c>
      <c r="BA46" s="57">
        <v>0</v>
      </c>
      <c r="BB46" s="57">
        <v>0</v>
      </c>
      <c r="BC46" s="57">
        <v>0</v>
      </c>
      <c r="BD46" s="57">
        <v>0</v>
      </c>
      <c r="BE46" s="57">
        <v>0</v>
      </c>
      <c r="BF46" s="57">
        <v>0</v>
      </c>
      <c r="BG46" s="57">
        <v>0</v>
      </c>
      <c r="BH46" s="57">
        <v>0</v>
      </c>
      <c r="BI46" s="57">
        <v>0</v>
      </c>
      <c r="BJ46" s="57">
        <v>0</v>
      </c>
      <c r="BK46" s="57">
        <v>0</v>
      </c>
      <c r="BL46" s="57">
        <v>0</v>
      </c>
      <c r="BM46" s="57">
        <v>0</v>
      </c>
      <c r="BN46" s="57">
        <v>0</v>
      </c>
      <c r="BO46" s="57">
        <v>0</v>
      </c>
      <c r="BP46" s="57">
        <v>0</v>
      </c>
      <c r="BQ46" s="57">
        <v>0</v>
      </c>
      <c r="BR46" s="57">
        <v>0</v>
      </c>
      <c r="BS46" s="57">
        <v>0</v>
      </c>
      <c r="BT46" s="57">
        <v>0</v>
      </c>
      <c r="BU46" s="57">
        <v>0</v>
      </c>
      <c r="BV46" s="57">
        <v>0</v>
      </c>
      <c r="BW46" s="57">
        <v>0</v>
      </c>
      <c r="BX46" s="57">
        <v>0</v>
      </c>
      <c r="BY46" s="57">
        <v>0</v>
      </c>
      <c r="BZ46" s="57">
        <v>0</v>
      </c>
      <c r="CA46" s="57">
        <v>0</v>
      </c>
      <c r="CB46" s="57">
        <v>0</v>
      </c>
      <c r="CC46" s="57">
        <f>-51.516*(1-CC364)</f>
        <v>-24.212519999999998</v>
      </c>
      <c r="CD46" s="57">
        <v>0</v>
      </c>
      <c r="CE46" s="57">
        <v>0</v>
      </c>
      <c r="CF46" s="57">
        <v>0</v>
      </c>
      <c r="CG46" s="57">
        <v>0</v>
      </c>
      <c r="CH46" s="57">
        <v>0</v>
      </c>
      <c r="CI46" s="57">
        <v>0</v>
      </c>
      <c r="CJ46" s="57">
        <v>0</v>
      </c>
      <c r="CK46" s="57">
        <v>0</v>
      </c>
      <c r="CL46" s="57">
        <v>0</v>
      </c>
      <c r="CM46" s="57">
        <v>0</v>
      </c>
      <c r="CN46" s="57">
        <v>0</v>
      </c>
      <c r="CO46" s="57">
        <v>0</v>
      </c>
      <c r="CP46" s="57">
        <v>0</v>
      </c>
      <c r="CQ46" s="57">
        <v>0</v>
      </c>
      <c r="CR46" s="57">
        <v>0</v>
      </c>
      <c r="CS46" s="57">
        <v>0</v>
      </c>
      <c r="CT46" s="57">
        <v>0</v>
      </c>
      <c r="CU46" s="57">
        <v>0</v>
      </c>
      <c r="CV46" s="57">
        <v>0</v>
      </c>
      <c r="CW46" s="57">
        <v>0</v>
      </c>
      <c r="CX46" s="57">
        <v>0</v>
      </c>
      <c r="CY46" s="57">
        <v>0</v>
      </c>
      <c r="CZ46" s="57">
        <v>0</v>
      </c>
      <c r="DA46" s="57">
        <v>0</v>
      </c>
      <c r="DB46" s="57">
        <v>0</v>
      </c>
      <c r="DC46" s="57">
        <v>0</v>
      </c>
      <c r="DD46" s="57">
        <v>0</v>
      </c>
      <c r="DE46" s="57">
        <v>0</v>
      </c>
      <c r="DF46" s="57">
        <v>0</v>
      </c>
      <c r="DG46" s="57">
        <v>0</v>
      </c>
      <c r="DH46" s="57">
        <v>0</v>
      </c>
      <c r="DI46" s="57">
        <v>0</v>
      </c>
      <c r="DJ46" s="57">
        <v>0</v>
      </c>
      <c r="DK46" s="57">
        <v>0</v>
      </c>
      <c r="DL46" s="57">
        <v>0</v>
      </c>
      <c r="DM46" s="57">
        <v>0</v>
      </c>
      <c r="DN46" s="57">
        <v>0</v>
      </c>
      <c r="DO46" s="57">
        <v>0</v>
      </c>
      <c r="DP46" s="57">
        <v>0</v>
      </c>
      <c r="DQ46" s="57">
        <f>-0.11*DQ58</f>
        <v>-12.023</v>
      </c>
      <c r="DR46" s="57">
        <v>0</v>
      </c>
      <c r="DS46" s="57">
        <f>-0.05*DS58</f>
        <v>-5.4185000000000008</v>
      </c>
      <c r="DT46" s="57">
        <v>0</v>
      </c>
      <c r="DU46" s="57">
        <f>-(0.18+0.23)*DU334</f>
        <v>-44.173400000000001</v>
      </c>
      <c r="DV46" s="57">
        <v>0</v>
      </c>
      <c r="DW46" s="57">
        <v>0</v>
      </c>
      <c r="DX46" s="57">
        <f>-0.03*DX58</f>
        <v>-3.2414099999999997</v>
      </c>
      <c r="DY46" s="57">
        <f>(-0.15-0.23)*DY58</f>
        <v>-41.057859999999998</v>
      </c>
      <c r="DZ46" s="57">
        <v>0</v>
      </c>
      <c r="EA46" s="57">
        <f>-0.11*EA334</f>
        <v>-11.94215</v>
      </c>
      <c r="EB46" s="57">
        <f>-0.05*EB58</f>
        <v>-5.4286000000000003</v>
      </c>
      <c r="EC46" s="57">
        <f>-0.11*EC58</f>
        <v>-11.94468</v>
      </c>
      <c r="ED46" s="57">
        <f>-0.05*ED58</f>
        <v>-5.4547500000000007</v>
      </c>
      <c r="EE46" s="57">
        <v>0</v>
      </c>
      <c r="EF46" s="57">
        <v>0</v>
      </c>
      <c r="EG46" s="57">
        <v>0</v>
      </c>
      <c r="EH46" s="57">
        <v>0</v>
      </c>
      <c r="EI46" s="57">
        <v>0</v>
      </c>
      <c r="EJ46" s="57">
        <v>0</v>
      </c>
      <c r="EK46" s="57">
        <v>0</v>
      </c>
      <c r="EL46" s="57">
        <v>0</v>
      </c>
      <c r="EM46" s="57">
        <v>0</v>
      </c>
      <c r="EN46" s="57">
        <v>0</v>
      </c>
      <c r="EO46" s="57">
        <v>0</v>
      </c>
      <c r="EP46" s="57">
        <v>0</v>
      </c>
      <c r="EQ46" s="18"/>
      <c r="ER46" s="18"/>
      <c r="ES46" s="355">
        <f t="shared" si="18"/>
        <v>41</v>
      </c>
      <c r="ET46"/>
      <c r="EU46"/>
      <c r="EV46"/>
      <c r="EW46"/>
      <c r="EX46"/>
      <c r="EY46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</row>
    <row r="47" spans="1:257" s="4" customFormat="1" ht="11.45" hidden="1" customHeight="1" outlineLevel="2">
      <c r="A47" s="15"/>
      <c r="B47" s="309" t="s">
        <v>221</v>
      </c>
      <c r="C47" s="17"/>
      <c r="D47" s="17"/>
      <c r="E47" s="18">
        <f>SUM(AH47:AK47)</f>
        <v>0</v>
      </c>
      <c r="F47" s="18">
        <f>SUM(AL47:AO47)</f>
        <v>0</v>
      </c>
      <c r="G47" s="18">
        <f>SUM(AP47:AS47)</f>
        <v>0</v>
      </c>
      <c r="H47" s="18">
        <f>SUM(AT47:AW47)</f>
        <v>0</v>
      </c>
      <c r="I47" s="18">
        <f>SUM(AX47:BA47)</f>
        <v>0</v>
      </c>
      <c r="J47" s="96">
        <f>SUM(BB47:BE47)</f>
        <v>0</v>
      </c>
      <c r="K47" s="96">
        <f>SUM(BF47:BI47)</f>
        <v>0</v>
      </c>
      <c r="L47" s="96">
        <f>SUM(BJ47:BM47)</f>
        <v>0</v>
      </c>
      <c r="M47" s="96">
        <f>SUM(BN47:BQ47)</f>
        <v>0</v>
      </c>
      <c r="N47" s="96">
        <f>SUM(BR47:BU47)</f>
        <v>0</v>
      </c>
      <c r="O47" s="96">
        <f t="shared" si="120"/>
        <v>0</v>
      </c>
      <c r="P47" s="18">
        <f t="shared" si="120"/>
        <v>0</v>
      </c>
      <c r="Q47" s="18">
        <f t="shared" si="120"/>
        <v>0</v>
      </c>
      <c r="R47" s="18">
        <f t="shared" si="120"/>
        <v>0</v>
      </c>
      <c r="S47" s="18">
        <f t="shared" si="120"/>
        <v>0</v>
      </c>
      <c r="T47" s="18">
        <f t="shared" si="120"/>
        <v>0</v>
      </c>
      <c r="U47" s="18">
        <f t="shared" si="120"/>
        <v>0</v>
      </c>
      <c r="V47" s="18">
        <f t="shared" si="120"/>
        <v>0</v>
      </c>
      <c r="W47" s="18">
        <f t="shared" si="120"/>
        <v>0</v>
      </c>
      <c r="X47" s="18">
        <f t="shared" si="120"/>
        <v>0</v>
      </c>
      <c r="Y47" s="18">
        <f t="shared" si="121"/>
        <v>0</v>
      </c>
      <c r="Z47" s="18">
        <f t="shared" si="121"/>
        <v>0</v>
      </c>
      <c r="AA47" s="18">
        <f t="shared" si="121"/>
        <v>0</v>
      </c>
      <c r="AB47" s="18">
        <f t="shared" si="121"/>
        <v>0</v>
      </c>
      <c r="AC47" s="18">
        <f t="shared" si="121"/>
        <v>0</v>
      </c>
      <c r="AD47" s="18">
        <f t="shared" si="121"/>
        <v>0</v>
      </c>
      <c r="AE47" s="18">
        <f t="shared" si="121"/>
        <v>0</v>
      </c>
      <c r="AF47" s="18">
        <f t="shared" si="121"/>
        <v>0</v>
      </c>
      <c r="AG47" s="18"/>
      <c r="AH47" s="57">
        <v>0</v>
      </c>
      <c r="AI47" s="57">
        <v>0</v>
      </c>
      <c r="AJ47" s="57">
        <v>0</v>
      </c>
      <c r="AK47" s="57">
        <v>0</v>
      </c>
      <c r="AL47" s="57">
        <v>0</v>
      </c>
      <c r="AM47" s="57">
        <v>0</v>
      </c>
      <c r="AN47" s="57">
        <v>0</v>
      </c>
      <c r="AO47" s="57">
        <v>0</v>
      </c>
      <c r="AP47" s="57">
        <v>0</v>
      </c>
      <c r="AQ47" s="57">
        <v>0</v>
      </c>
      <c r="AR47" s="57">
        <v>0</v>
      </c>
      <c r="AS47" s="57">
        <v>0</v>
      </c>
      <c r="AT47" s="57">
        <v>0</v>
      </c>
      <c r="AU47" s="57">
        <v>0</v>
      </c>
      <c r="AV47" s="57">
        <v>0</v>
      </c>
      <c r="AW47" s="57">
        <f>0-SUM(AT47:AV47)</f>
        <v>0</v>
      </c>
      <c r="AX47" s="57">
        <v>0</v>
      </c>
      <c r="AY47" s="57">
        <v>0</v>
      </c>
      <c r="AZ47" s="57">
        <v>0</v>
      </c>
      <c r="BA47" s="57">
        <v>0</v>
      </c>
      <c r="BB47" s="57">
        <v>0</v>
      </c>
      <c r="BC47" s="57">
        <v>0</v>
      </c>
      <c r="BD47" s="57">
        <v>0</v>
      </c>
      <c r="BE47" s="57">
        <v>0</v>
      </c>
      <c r="BF47" s="57">
        <v>0</v>
      </c>
      <c r="BG47" s="57">
        <v>0</v>
      </c>
      <c r="BH47" s="57">
        <v>0</v>
      </c>
      <c r="BI47" s="57">
        <v>0</v>
      </c>
      <c r="BJ47" s="57">
        <v>0</v>
      </c>
      <c r="BK47" s="57">
        <v>0</v>
      </c>
      <c r="BL47" s="57">
        <v>0</v>
      </c>
      <c r="BM47" s="57">
        <v>0</v>
      </c>
      <c r="BN47" s="57">
        <v>0</v>
      </c>
      <c r="BO47" s="57">
        <v>0</v>
      </c>
      <c r="BP47" s="57">
        <v>0</v>
      </c>
      <c r="BQ47" s="57">
        <v>0</v>
      </c>
      <c r="BR47" s="57">
        <v>0</v>
      </c>
      <c r="BS47" s="57">
        <v>0</v>
      </c>
      <c r="BT47" s="57">
        <v>0</v>
      </c>
      <c r="BU47" s="57">
        <v>0</v>
      </c>
      <c r="BV47" s="57">
        <v>0</v>
      </c>
      <c r="BW47" s="57">
        <v>0</v>
      </c>
      <c r="BX47" s="57">
        <v>0</v>
      </c>
      <c r="BY47" s="57">
        <v>0</v>
      </c>
      <c r="BZ47" s="57">
        <v>0</v>
      </c>
      <c r="CA47" s="57">
        <v>0</v>
      </c>
      <c r="CB47" s="57">
        <v>0</v>
      </c>
      <c r="CC47" s="57">
        <v>0</v>
      </c>
      <c r="CD47" s="57">
        <v>0</v>
      </c>
      <c r="CE47" s="57">
        <v>0</v>
      </c>
      <c r="CF47" s="57">
        <v>0</v>
      </c>
      <c r="CG47" s="57">
        <v>0</v>
      </c>
      <c r="CH47" s="57">
        <v>0</v>
      </c>
      <c r="CI47" s="57">
        <v>0</v>
      </c>
      <c r="CJ47" s="57">
        <v>0</v>
      </c>
      <c r="CK47" s="57">
        <v>0</v>
      </c>
      <c r="CL47" s="57">
        <v>0</v>
      </c>
      <c r="CM47" s="57">
        <v>0</v>
      </c>
      <c r="CN47" s="57">
        <v>0</v>
      </c>
      <c r="CO47" s="57">
        <v>0</v>
      </c>
      <c r="CP47" s="57">
        <v>0</v>
      </c>
      <c r="CQ47" s="57">
        <v>0</v>
      </c>
      <c r="CR47" s="57">
        <v>0</v>
      </c>
      <c r="CS47" s="57">
        <v>0</v>
      </c>
      <c r="CT47" s="57">
        <v>0</v>
      </c>
      <c r="CU47" s="57">
        <v>0</v>
      </c>
      <c r="CV47" s="57">
        <v>0</v>
      </c>
      <c r="CW47" s="57">
        <v>0</v>
      </c>
      <c r="CX47" s="57">
        <v>0</v>
      </c>
      <c r="CY47" s="57">
        <v>0</v>
      </c>
      <c r="CZ47" s="57">
        <v>0</v>
      </c>
      <c r="DA47" s="57">
        <v>0</v>
      </c>
      <c r="DB47" s="57">
        <v>0</v>
      </c>
      <c r="DC47" s="57">
        <v>0</v>
      </c>
      <c r="DD47" s="57">
        <v>0</v>
      </c>
      <c r="DE47" s="57">
        <v>0</v>
      </c>
      <c r="DF47" s="57">
        <v>0</v>
      </c>
      <c r="DG47" s="57">
        <v>0</v>
      </c>
      <c r="DH47" s="57">
        <v>0</v>
      </c>
      <c r="DI47" s="57">
        <v>0</v>
      </c>
      <c r="DJ47" s="57">
        <v>0</v>
      </c>
      <c r="DK47" s="57">
        <v>0</v>
      </c>
      <c r="DL47" s="57">
        <v>0</v>
      </c>
      <c r="DM47" s="57">
        <v>0</v>
      </c>
      <c r="DN47" s="57">
        <v>0</v>
      </c>
      <c r="DO47" s="57">
        <v>0</v>
      </c>
      <c r="DP47" s="57">
        <v>0</v>
      </c>
      <c r="DQ47" s="57">
        <v>0</v>
      </c>
      <c r="DR47" s="57">
        <v>0</v>
      </c>
      <c r="DS47" s="57">
        <v>0</v>
      </c>
      <c r="DT47" s="57">
        <v>0</v>
      </c>
      <c r="DU47" s="57">
        <v>0</v>
      </c>
      <c r="DV47" s="57">
        <v>0</v>
      </c>
      <c r="DW47" s="57">
        <v>0</v>
      </c>
      <c r="DX47" s="57">
        <v>0</v>
      </c>
      <c r="DY47" s="57">
        <v>0</v>
      </c>
      <c r="DZ47" s="57">
        <v>0</v>
      </c>
      <c r="EA47" s="57">
        <v>0</v>
      </c>
      <c r="EB47" s="57">
        <v>0</v>
      </c>
      <c r="EC47" s="57">
        <v>0</v>
      </c>
      <c r="ED47" s="57">
        <v>0</v>
      </c>
      <c r="EE47" s="57">
        <v>0</v>
      </c>
      <c r="EF47" s="57">
        <v>0</v>
      </c>
      <c r="EG47" s="57">
        <v>0</v>
      </c>
      <c r="EH47" s="57">
        <v>0</v>
      </c>
      <c r="EI47" s="57">
        <v>0</v>
      </c>
      <c r="EJ47" s="57">
        <v>0</v>
      </c>
      <c r="EK47" s="57">
        <v>0</v>
      </c>
      <c r="EL47" s="57">
        <v>0</v>
      </c>
      <c r="EM47" s="57">
        <v>0</v>
      </c>
      <c r="EN47" s="57">
        <v>0</v>
      </c>
      <c r="EO47" s="57">
        <v>0</v>
      </c>
      <c r="EP47" s="57">
        <v>0</v>
      </c>
      <c r="EQ47" s="18"/>
      <c r="ER47" s="18"/>
      <c r="ES47" s="355">
        <f t="shared" si="18"/>
        <v>42</v>
      </c>
      <c r="ET47"/>
      <c r="EU47"/>
      <c r="EV47"/>
      <c r="EW47"/>
      <c r="EX47"/>
      <c r="EY47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</row>
    <row r="48" spans="1:257" s="4" customFormat="1" ht="11.45" hidden="1" customHeight="1" outlineLevel="2">
      <c r="A48" s="15"/>
      <c r="B48" s="309" t="s">
        <v>140</v>
      </c>
      <c r="C48" s="17"/>
      <c r="D48" s="17"/>
      <c r="E48" s="18">
        <f>SUM(AH48:AK48)</f>
        <v>0</v>
      </c>
      <c r="F48" s="18">
        <f>SUM(AL48:AO48)</f>
        <v>0</v>
      </c>
      <c r="G48" s="18">
        <f>SUM(AP48:AS48)</f>
        <v>3.9630000000000001</v>
      </c>
      <c r="H48" s="18">
        <f>SUM(AT48:AW48)</f>
        <v>27.14</v>
      </c>
      <c r="I48" s="18">
        <f>SUM(AX48:BA48)</f>
        <v>0</v>
      </c>
      <c r="J48" s="96">
        <f>SUM(BB48:BE48)</f>
        <v>0</v>
      </c>
      <c r="K48" s="96">
        <f>SUM(BF48:BI48)</f>
        <v>0</v>
      </c>
      <c r="L48" s="96">
        <f>SUM(BJ48:BM48)</f>
        <v>0</v>
      </c>
      <c r="M48" s="96">
        <f>SUM(BN48:BQ48)</f>
        <v>-2.4E-2</v>
      </c>
      <c r="N48" s="96">
        <f>SUM(BR48:BU48)</f>
        <v>9.8109999999999999</v>
      </c>
      <c r="O48" s="96">
        <f t="shared" si="120"/>
        <v>0</v>
      </c>
      <c r="P48" s="18">
        <f t="shared" si="120"/>
        <v>0</v>
      </c>
      <c r="Q48" s="18">
        <f t="shared" si="120"/>
        <v>0</v>
      </c>
      <c r="R48" s="18">
        <f t="shared" si="120"/>
        <v>0</v>
      </c>
      <c r="S48" s="18">
        <f t="shared" si="120"/>
        <v>0</v>
      </c>
      <c r="T48" s="18">
        <f t="shared" si="120"/>
        <v>0</v>
      </c>
      <c r="U48" s="18">
        <f t="shared" si="120"/>
        <v>0</v>
      </c>
      <c r="V48" s="18">
        <f t="shared" si="120"/>
        <v>-101.598</v>
      </c>
      <c r="W48" s="18">
        <f t="shared" si="120"/>
        <v>-0.48199999999999998</v>
      </c>
      <c r="X48" s="18">
        <f t="shared" si="120"/>
        <v>7.4359999999999999</v>
      </c>
      <c r="Y48" s="18">
        <f t="shared" si="121"/>
        <v>15.186</v>
      </c>
      <c r="Z48" s="18">
        <f t="shared" si="121"/>
        <v>-4.7E-2</v>
      </c>
      <c r="AA48" s="18">
        <f t="shared" si="121"/>
        <v>-4.6999999999999993E-2</v>
      </c>
      <c r="AB48" s="18">
        <f t="shared" si="121"/>
        <v>-3.8380000000000001</v>
      </c>
      <c r="AC48" s="18">
        <f t="shared" si="121"/>
        <v>-0.34899999999999987</v>
      </c>
      <c r="AD48" s="18">
        <f t="shared" si="121"/>
        <v>-0.53600000000000003</v>
      </c>
      <c r="AE48" s="18">
        <f t="shared" si="121"/>
        <v>0</v>
      </c>
      <c r="AF48" s="18">
        <f t="shared" si="121"/>
        <v>0</v>
      </c>
      <c r="AG48" s="18"/>
      <c r="AH48" s="57">
        <v>0</v>
      </c>
      <c r="AI48" s="57">
        <v>0</v>
      </c>
      <c r="AJ48" s="57">
        <v>0</v>
      </c>
      <c r="AK48" s="57">
        <v>0</v>
      </c>
      <c r="AL48" s="57">
        <v>0</v>
      </c>
      <c r="AM48" s="57">
        <v>0</v>
      </c>
      <c r="AN48" s="57">
        <v>0</v>
      </c>
      <c r="AO48" s="57">
        <v>0</v>
      </c>
      <c r="AP48" s="57">
        <v>0</v>
      </c>
      <c r="AQ48" s="57">
        <v>0</v>
      </c>
      <c r="AR48" s="57">
        <v>0</v>
      </c>
      <c r="AS48" s="57">
        <v>3.9630000000000001</v>
      </c>
      <c r="AT48" s="57">
        <v>1.625</v>
      </c>
      <c r="AU48" s="57">
        <v>1.2250000000000001</v>
      </c>
      <c r="AV48" s="57">
        <v>0.50800000000000001</v>
      </c>
      <c r="AW48" s="57">
        <f>(3.09+24.05)-SUM(AT48:AV48)</f>
        <v>23.782</v>
      </c>
      <c r="AX48" s="57">
        <v>0</v>
      </c>
      <c r="AY48" s="57">
        <v>0</v>
      </c>
      <c r="AZ48" s="57">
        <v>0</v>
      </c>
      <c r="BA48" s="57">
        <v>0</v>
      </c>
      <c r="BB48" s="57">
        <v>0</v>
      </c>
      <c r="BC48" s="57">
        <v>0</v>
      </c>
      <c r="BD48" s="57">
        <v>0</v>
      </c>
      <c r="BE48" s="57">
        <v>0</v>
      </c>
      <c r="BF48" s="57">
        <v>0</v>
      </c>
      <c r="BG48" s="57">
        <v>0</v>
      </c>
      <c r="BH48" s="57">
        <v>0</v>
      </c>
      <c r="BI48" s="57">
        <v>0</v>
      </c>
      <c r="BJ48" s="57">
        <v>0</v>
      </c>
      <c r="BK48" s="57">
        <v>0</v>
      </c>
      <c r="BL48" s="57">
        <v>0</v>
      </c>
      <c r="BM48" s="57">
        <v>0</v>
      </c>
      <c r="BN48" s="57">
        <v>0</v>
      </c>
      <c r="BO48" s="57">
        <v>0</v>
      </c>
      <c r="BP48" s="57">
        <v>0</v>
      </c>
      <c r="BQ48" s="57">
        <v>-2.4E-2</v>
      </c>
      <c r="BR48" s="57">
        <v>-2.5230000000000001</v>
      </c>
      <c r="BS48" s="57">
        <v>2.7429999999999999</v>
      </c>
      <c r="BT48" s="57">
        <v>5.6669999999999998</v>
      </c>
      <c r="BU48" s="57">
        <v>3.9239999999999999</v>
      </c>
      <c r="BV48" s="57">
        <v>0</v>
      </c>
      <c r="BW48" s="57">
        <v>0</v>
      </c>
      <c r="BX48" s="57">
        <v>0</v>
      </c>
      <c r="BY48" s="57">
        <v>0</v>
      </c>
      <c r="BZ48" s="57">
        <v>0</v>
      </c>
      <c r="CA48" s="57">
        <v>0</v>
      </c>
      <c r="CB48" s="57">
        <v>0</v>
      </c>
      <c r="CC48" s="57">
        <v>0</v>
      </c>
      <c r="CD48" s="57">
        <v>0</v>
      </c>
      <c r="CE48" s="57">
        <v>0</v>
      </c>
      <c r="CF48" s="57">
        <v>0</v>
      </c>
      <c r="CG48" s="57">
        <v>0</v>
      </c>
      <c r="CH48" s="57">
        <v>0</v>
      </c>
      <c r="CI48" s="57">
        <v>0</v>
      </c>
      <c r="CJ48" s="57">
        <v>0</v>
      </c>
      <c r="CK48" s="57">
        <v>0</v>
      </c>
      <c r="CL48" s="57">
        <v>0</v>
      </c>
      <c r="CM48" s="57">
        <v>0</v>
      </c>
      <c r="CN48" s="57">
        <v>0</v>
      </c>
      <c r="CO48" s="57">
        <v>0</v>
      </c>
      <c r="CP48" s="57">
        <v>0</v>
      </c>
      <c r="CQ48" s="57">
        <v>0</v>
      </c>
      <c r="CR48" s="57">
        <v>0</v>
      </c>
      <c r="CS48" s="57">
        <v>0</v>
      </c>
      <c r="CT48" s="57">
        <v>0</v>
      </c>
      <c r="CU48" s="57">
        <v>0</v>
      </c>
      <c r="CV48" s="57">
        <v>0</v>
      </c>
      <c r="CW48" s="57">
        <v>0</v>
      </c>
      <c r="CX48" s="57">
        <v>0</v>
      </c>
      <c r="CY48" s="57">
        <v>0</v>
      </c>
      <c r="CZ48" s="57">
        <f>-101.598</f>
        <v>-101.598</v>
      </c>
      <c r="DA48" s="57">
        <v>0</v>
      </c>
      <c r="DB48" s="57">
        <v>-0.215</v>
      </c>
      <c r="DC48" s="57">
        <v>-0.17100000000000001</v>
      </c>
      <c r="DD48" s="57">
        <v>-2E-3</v>
      </c>
      <c r="DE48" s="57">
        <f>-0.094</f>
        <v>-9.4E-2</v>
      </c>
      <c r="DF48" s="57">
        <v>-1.0999999999999999E-2</v>
      </c>
      <c r="DG48" s="57">
        <v>-4.3999999999999997E-2</v>
      </c>
      <c r="DH48" s="57">
        <v>-1.7999999999999999E-2</v>
      </c>
      <c r="DI48" s="57">
        <v>7.5090000000000003</v>
      </c>
      <c r="DJ48" s="57">
        <v>-8.0000000000000002E-3</v>
      </c>
      <c r="DK48" s="57">
        <v>1.2999999999999999E-2</v>
      </c>
      <c r="DL48" s="57">
        <v>15.180999999999999</v>
      </c>
      <c r="DM48" s="57">
        <v>0</v>
      </c>
      <c r="DN48" s="57">
        <v>0</v>
      </c>
      <c r="DO48" s="57">
        <v>-1.9E-2</v>
      </c>
      <c r="DP48" s="57">
        <v>-1.0999999999999999E-2</v>
      </c>
      <c r="DQ48" s="57">
        <v>-1.7000000000000001E-2</v>
      </c>
      <c r="DR48" s="57">
        <v>-1.4999999999999999E-2</v>
      </c>
      <c r="DS48" s="57">
        <v>1E-3</v>
      </c>
      <c r="DT48" s="57">
        <v>-2.7E-2</v>
      </c>
      <c r="DU48" s="57">
        <v>-6.0000000000000001E-3</v>
      </c>
      <c r="DV48" s="57">
        <v>0.104</v>
      </c>
      <c r="DW48" s="57">
        <v>-3.9689999999999999</v>
      </c>
      <c r="DX48" s="57">
        <v>-7.0000000000000001E-3</v>
      </c>
      <c r="DY48" s="57">
        <v>3.4000000000000002E-2</v>
      </c>
      <c r="DZ48" s="57">
        <v>-0.50900000000000001</v>
      </c>
      <c r="EA48" s="57">
        <v>-0.34499999999999997</v>
      </c>
      <c r="EB48" s="57">
        <v>1.3260000000000001</v>
      </c>
      <c r="EC48" s="57">
        <v>-0.82099999999999995</v>
      </c>
      <c r="ED48" s="57">
        <v>-0.53600000000000003</v>
      </c>
      <c r="EE48" s="57">
        <v>0</v>
      </c>
      <c r="EF48" s="57">
        <v>0</v>
      </c>
      <c r="EG48" s="57">
        <v>0</v>
      </c>
      <c r="EH48" s="57">
        <v>0</v>
      </c>
      <c r="EI48" s="57">
        <v>0</v>
      </c>
      <c r="EJ48" s="57">
        <v>0</v>
      </c>
      <c r="EK48" s="57">
        <v>0</v>
      </c>
      <c r="EL48" s="57">
        <v>0</v>
      </c>
      <c r="EM48" s="57">
        <v>0</v>
      </c>
      <c r="EN48" s="57">
        <v>0</v>
      </c>
      <c r="EO48" s="57">
        <v>0</v>
      </c>
      <c r="EP48" s="57">
        <v>0</v>
      </c>
      <c r="EQ48" s="18"/>
      <c r="ER48" s="18"/>
      <c r="ES48" s="355">
        <f t="shared" si="18"/>
        <v>43</v>
      </c>
      <c r="ET48"/>
      <c r="EU48"/>
      <c r="EV48"/>
      <c r="EW48"/>
      <c r="EX48"/>
      <c r="EY48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</row>
    <row r="49" spans="1:257" s="4" customFormat="1" ht="11.45" hidden="1" customHeight="1" outlineLevel="2">
      <c r="A49" s="15"/>
      <c r="B49" s="309" t="s">
        <v>220</v>
      </c>
      <c r="C49" s="17"/>
      <c r="D49" s="17"/>
      <c r="E49" s="18">
        <f>SUM(AH49:AK49)</f>
        <v>1.78</v>
      </c>
      <c r="F49" s="18">
        <f>SUM(AL49:AO49)</f>
        <v>4</v>
      </c>
      <c r="G49" s="18">
        <f>SUM(AP49:AS49)</f>
        <v>3.4809999999999999</v>
      </c>
      <c r="H49" s="18">
        <f>SUM(AT49:AW49)</f>
        <v>0.34599999999999997</v>
      </c>
      <c r="I49" s="18">
        <f>SUM(AX49:BA49)</f>
        <v>0</v>
      </c>
      <c r="J49" s="96">
        <f>SUM(BB49:BE49)</f>
        <v>23.417400000000001</v>
      </c>
      <c r="K49" s="96">
        <f>SUM(BF49:BI49)</f>
        <v>7.8620000000000001</v>
      </c>
      <c r="L49" s="96">
        <f>SUM(BJ49:BM49)</f>
        <v>7.75</v>
      </c>
      <c r="M49" s="96">
        <f>SUM(BN49:BQ49)</f>
        <v>0.99433000000000005</v>
      </c>
      <c r="N49" s="96">
        <f>SUM(BR49:BU49)</f>
        <v>15.28739</v>
      </c>
      <c r="O49" s="96">
        <f t="shared" si="120"/>
        <v>3.0416999999999996</v>
      </c>
      <c r="P49" s="18">
        <f t="shared" si="120"/>
        <v>11.946459999999998</v>
      </c>
      <c r="Q49" s="18">
        <f t="shared" si="120"/>
        <v>16.425799999999999</v>
      </c>
      <c r="R49" s="18">
        <f t="shared" si="120"/>
        <v>12.8659</v>
      </c>
      <c r="S49" s="18">
        <f t="shared" si="120"/>
        <v>52.556159999999991</v>
      </c>
      <c r="T49" s="18">
        <f t="shared" si="120"/>
        <v>18.715940000000003</v>
      </c>
      <c r="U49" s="18">
        <f t="shared" si="120"/>
        <v>0.17174</v>
      </c>
      <c r="V49" s="18">
        <f t="shared" si="120"/>
        <v>-19.431000000000001</v>
      </c>
      <c r="W49" s="18">
        <f t="shared" si="120"/>
        <v>-6.6391</v>
      </c>
      <c r="X49" s="18">
        <f t="shared" si="120"/>
        <v>0</v>
      </c>
      <c r="Y49" s="18">
        <f t="shared" si="121"/>
        <v>10.685739999999999</v>
      </c>
      <c r="Z49" s="18">
        <f t="shared" si="121"/>
        <v>6.436175200000001</v>
      </c>
      <c r="AA49" s="18">
        <f t="shared" si="121"/>
        <v>150.99744000000004</v>
      </c>
      <c r="AB49" s="18">
        <f t="shared" si="121"/>
        <v>94.227349999999987</v>
      </c>
      <c r="AC49" s="18">
        <f t="shared" si="121"/>
        <v>22.76502</v>
      </c>
      <c r="AD49" s="18">
        <f t="shared" si="121"/>
        <v>507.6551</v>
      </c>
      <c r="AE49" s="18">
        <f t="shared" si="121"/>
        <v>2</v>
      </c>
      <c r="AF49" s="18">
        <f t="shared" si="121"/>
        <v>0</v>
      </c>
      <c r="AG49" s="18"/>
      <c r="AH49" s="57">
        <f>1.57*(1-AH364)</f>
        <v>0.91060000000000019</v>
      </c>
      <c r="AI49" s="57">
        <f>(2.16-1.57)*(1-AI364)</f>
        <v>0.34220000000000012</v>
      </c>
      <c r="AJ49" s="57">
        <f>(2.11-2.16)*(1-AJ364)</f>
        <v>-2.9000000000000158E-2</v>
      </c>
      <c r="AK49" s="57">
        <f>1.78-SUM(AH49:AJ49)</f>
        <v>0.55619999999999981</v>
      </c>
      <c r="AL49" s="57">
        <v>4</v>
      </c>
      <c r="AM49" s="57">
        <v>0</v>
      </c>
      <c r="AN49" s="57">
        <v>0</v>
      </c>
      <c r="AO49" s="57">
        <f>4-SUM(AL49:AN49)</f>
        <v>0</v>
      </c>
      <c r="AP49" s="57">
        <v>0</v>
      </c>
      <c r="AQ49" s="57">
        <f>1.828*(1.8/2.947)</f>
        <v>1.1165252799457077</v>
      </c>
      <c r="AR49" s="57">
        <f>(2.947-1.828)*(1.8/(2.947))</f>
        <v>0.68347472005429255</v>
      </c>
      <c r="AS49" s="57">
        <f>3.481-SUM(AP49:AR49)</f>
        <v>1.6809999999999996</v>
      </c>
      <c r="AT49" s="57">
        <v>0</v>
      </c>
      <c r="AU49" s="57">
        <v>0</v>
      </c>
      <c r="AV49" s="57">
        <v>0.34599999999999997</v>
      </c>
      <c r="AW49" s="57">
        <f>0.346-SUM(AT49:AV49)</f>
        <v>0</v>
      </c>
      <c r="AX49" s="57">
        <v>0</v>
      </c>
      <c r="AY49" s="57">
        <v>0</v>
      </c>
      <c r="AZ49" s="57">
        <v>0</v>
      </c>
      <c r="BA49" s="57">
        <v>0</v>
      </c>
      <c r="BB49" s="57">
        <v>3.6749999999999998</v>
      </c>
      <c r="BC49" s="57">
        <v>0</v>
      </c>
      <c r="BD49" s="57">
        <v>13.1404</v>
      </c>
      <c r="BE49" s="57">
        <v>6.6020000000000003</v>
      </c>
      <c r="BF49" s="57">
        <f>(0.071)+6.3</f>
        <v>6.3709999999999996</v>
      </c>
      <c r="BG49" s="57">
        <v>0</v>
      </c>
      <c r="BH49" s="57">
        <v>0.73199999999999998</v>
      </c>
      <c r="BI49" s="57">
        <v>0.75900000000000001</v>
      </c>
      <c r="BJ49" s="57">
        <v>1.754</v>
      </c>
      <c r="BK49" s="57">
        <v>5.9960000000000004</v>
      </c>
      <c r="BL49" s="57">
        <v>0</v>
      </c>
      <c r="BM49" s="57">
        <v>0</v>
      </c>
      <c r="BN49" s="57">
        <v>0</v>
      </c>
      <c r="BO49" s="57">
        <v>7.3999999999999996E-2</v>
      </c>
      <c r="BP49" s="57">
        <v>1.423</v>
      </c>
      <c r="BQ49" s="57">
        <f>(-0.01*50267)/10^3</f>
        <v>-0.50267000000000006</v>
      </c>
      <c r="BR49" s="57">
        <v>0</v>
      </c>
      <c r="BS49" s="57">
        <v>0.32400000000000001</v>
      </c>
      <c r="BT49" s="57">
        <v>15.468</v>
      </c>
      <c r="BU49" s="57">
        <f>(-0.01*50461)/10^3</f>
        <v>-0.50461</v>
      </c>
      <c r="BV49" s="57">
        <v>0</v>
      </c>
      <c r="BW49" s="57">
        <v>0</v>
      </c>
      <c r="BX49" s="57">
        <v>0</v>
      </c>
      <c r="BY49" s="57">
        <f>(0.06*50695)/10^3</f>
        <v>3.0416999999999996</v>
      </c>
      <c r="BZ49" s="57">
        <f>4.904*(1-BZ364)</f>
        <v>2.3048799999999998</v>
      </c>
      <c r="CA49" s="57">
        <f>7.072*(1-CA364)</f>
        <v>3.3238399999999997</v>
      </c>
      <c r="CB49" s="57">
        <v>0</v>
      </c>
      <c r="CC49" s="57">
        <f>13.442*(1-CC364)</f>
        <v>6.3177399999999997</v>
      </c>
      <c r="CD49" s="57">
        <v>16.059999999999999</v>
      </c>
      <c r="CE49" s="57">
        <f>-0.036*(1-CE364)</f>
        <v>-2.1239999999999998E-2</v>
      </c>
      <c r="CF49" s="57">
        <v>0</v>
      </c>
      <c r="CG49" s="57">
        <f>0.656*(1-CG364)</f>
        <v>0.38704</v>
      </c>
      <c r="CH49" s="57">
        <v>1.7210000000000001</v>
      </c>
      <c r="CI49" s="57">
        <v>0</v>
      </c>
      <c r="CJ49" s="57">
        <f>9.39*(1-CJ364)</f>
        <v>6.1035000000000004</v>
      </c>
      <c r="CK49" s="57">
        <f>7.756*(1-CK364)</f>
        <v>5.0414000000000003</v>
      </c>
      <c r="CL49" s="57">
        <f>26.337*(1-CL364)</f>
        <v>16.85568</v>
      </c>
      <c r="CM49" s="57">
        <f>(0.177*(1-CM364))+3.3088</f>
        <v>3.4220800000000002</v>
      </c>
      <c r="CN49" s="57">
        <f>(25.298*(1-CN364))+3.776</f>
        <v>19.966719999999999</v>
      </c>
      <c r="CO49" s="57">
        <f>(13.646*(1-CO364))+3.57824</f>
        <v>12.311679999999999</v>
      </c>
      <c r="CP49" s="57">
        <f>(0.13*(1-CP364))+2.9822</f>
        <v>3.0628000000000002</v>
      </c>
      <c r="CQ49" s="57">
        <f>(5.476*(1-CR364))+0</f>
        <v>3.3951199999999999</v>
      </c>
      <c r="CR49" s="57">
        <f>((16.388-11.129)*(1-CR364))+3.36412</f>
        <v>6.6247000000000016</v>
      </c>
      <c r="CS49" s="57">
        <v>5.6333200000000003</v>
      </c>
      <c r="CT49" s="57">
        <v>0.17174</v>
      </c>
      <c r="CU49" s="57">
        <v>0</v>
      </c>
      <c r="CV49" s="57">
        <v>0</v>
      </c>
      <c r="CW49" s="57">
        <v>0</v>
      </c>
      <c r="CX49" s="57">
        <v>0</v>
      </c>
      <c r="CY49" s="57">
        <f>-19.677</f>
        <v>-19.677</v>
      </c>
      <c r="CZ49" s="57">
        <v>0</v>
      </c>
      <c r="DA49" s="57">
        <v>0.246</v>
      </c>
      <c r="DB49" s="57">
        <v>0</v>
      </c>
      <c r="DC49" s="57">
        <f>-6.64*0.65</f>
        <v>-4.3159999999999998</v>
      </c>
      <c r="DD49" s="57">
        <f>-3.574*0.65</f>
        <v>-2.3231000000000002</v>
      </c>
      <c r="DE49" s="57">
        <v>0</v>
      </c>
      <c r="DF49" s="57">
        <v>0</v>
      </c>
      <c r="DG49" s="57">
        <v>0</v>
      </c>
      <c r="DH49" s="57">
        <v>0</v>
      </c>
      <c r="DI49" s="57">
        <v>0</v>
      </c>
      <c r="DJ49" s="57">
        <v>0</v>
      </c>
      <c r="DK49" s="57">
        <v>0</v>
      </c>
      <c r="DL49" s="57">
        <v>0</v>
      </c>
      <c r="DM49" s="57">
        <f>730*DM109/1000000*0.65</f>
        <v>10.685739999999999</v>
      </c>
      <c r="DN49" s="57">
        <f>422*DN109/1000000*0.65</f>
        <v>6.436175200000001</v>
      </c>
      <c r="DO49" s="57">
        <v>0</v>
      </c>
      <c r="DP49" s="57">
        <v>0</v>
      </c>
      <c r="DQ49" s="57">
        <v>0</v>
      </c>
      <c r="DR49" s="57">
        <f>23*0.65</f>
        <v>14.950000000000001</v>
      </c>
      <c r="DS49" s="57">
        <f>0.44*DS58+149.537-148.85</f>
        <v>48.369800000000026</v>
      </c>
      <c r="DT49" s="57">
        <f>0.55*DT58+0.01*DT58</f>
        <v>60.742640000000002</v>
      </c>
      <c r="DU49" s="57">
        <f>0.25*DU334</f>
        <v>26.934999999999999</v>
      </c>
      <c r="DV49" s="57">
        <f>0.17*DV58-0.05*DV58-0.05*DV58</f>
        <v>7.588630000000002</v>
      </c>
      <c r="DW49" s="57">
        <f>0.49*DW58-0.01*DW58</f>
        <v>52.063679999999998</v>
      </c>
      <c r="DX49" s="57">
        <f>(0.35-0.02-0.03)*DX58</f>
        <v>32.414099999999991</v>
      </c>
      <c r="DY49" s="57">
        <f>(0.18-0.14-0.02)*DY58</f>
        <v>2.1609399999999979</v>
      </c>
      <c r="DZ49" s="57">
        <f>+(0.08-0.01)*DZ58</f>
        <v>7.5649000000000006</v>
      </c>
      <c r="EA49" s="57">
        <f>0.04*EA58</f>
        <v>4.3426</v>
      </c>
      <c r="EB49" s="57">
        <f>(0.03+0.07-0.02)*EB58</f>
        <v>8.6857600000000001</v>
      </c>
      <c r="EC49" s="57">
        <f>0.03*EC58+0.03*EC58-0.04*EC58</f>
        <v>2.1717599999999999</v>
      </c>
      <c r="ED49" s="57">
        <f>4.55*ED58+0.03*ED58</f>
        <v>499.6551</v>
      </c>
      <c r="EE49" s="57">
        <v>4</v>
      </c>
      <c r="EF49" s="57">
        <v>2</v>
      </c>
      <c r="EG49" s="57">
        <v>2</v>
      </c>
      <c r="EH49" s="57">
        <v>2</v>
      </c>
      <c r="EI49" s="18">
        <v>0</v>
      </c>
      <c r="EJ49" s="18">
        <v>0</v>
      </c>
      <c r="EK49" s="18">
        <v>0</v>
      </c>
      <c r="EL49" s="18">
        <v>0</v>
      </c>
      <c r="EM49" s="18">
        <v>0</v>
      </c>
      <c r="EN49" s="18">
        <v>0</v>
      </c>
      <c r="EO49" s="18">
        <v>0</v>
      </c>
      <c r="EP49" s="18">
        <v>0</v>
      </c>
      <c r="EQ49" s="18"/>
      <c r="ER49" s="18"/>
      <c r="ES49" s="355">
        <f t="shared" si="18"/>
        <v>44</v>
      </c>
      <c r="ET49"/>
      <c r="EU49"/>
      <c r="EV49"/>
      <c r="EW49"/>
      <c r="EX49"/>
      <c r="EY49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</row>
    <row r="50" spans="1:257" s="4" customFormat="1" ht="11.45" customHeight="1" outlineLevel="1" collapsed="1">
      <c r="A50" s="15"/>
      <c r="B50" s="308" t="s">
        <v>141</v>
      </c>
      <c r="C50" s="127"/>
      <c r="D50" s="127"/>
      <c r="E50" s="127">
        <f t="shared" ref="E50:AF50" si="122">SUM(E42:E49)</f>
        <v>24.550000000000043</v>
      </c>
      <c r="F50" s="127">
        <f t="shared" si="122"/>
        <v>24.970999999999989</v>
      </c>
      <c r="G50" s="127">
        <f t="shared" si="122"/>
        <v>9.7509999999999906</v>
      </c>
      <c r="H50" s="127">
        <f t="shared" si="122"/>
        <v>72.566000000000003</v>
      </c>
      <c r="I50" s="127">
        <f t="shared" si="122"/>
        <v>84.189000000000007</v>
      </c>
      <c r="J50" s="127">
        <f t="shared" si="122"/>
        <v>101.15400000000005</v>
      </c>
      <c r="K50" s="127">
        <f t="shared" si="122"/>
        <v>42.788000000000025</v>
      </c>
      <c r="L50" s="127">
        <f t="shared" si="122"/>
        <v>82.300000000000011</v>
      </c>
      <c r="M50" s="127">
        <f t="shared" si="122"/>
        <v>144.25399999999999</v>
      </c>
      <c r="N50" s="127">
        <f t="shared" si="122"/>
        <v>63.517000000000024</v>
      </c>
      <c r="O50" s="127">
        <f t="shared" si="122"/>
        <v>17.872999999999976</v>
      </c>
      <c r="P50" s="127">
        <f t="shared" si="122"/>
        <v>4.3590000000000408</v>
      </c>
      <c r="Q50" s="127">
        <f t="shared" si="122"/>
        <v>127.60600000000012</v>
      </c>
      <c r="R50" s="127">
        <f t="shared" si="122"/>
        <v>293.858</v>
      </c>
      <c r="S50" s="127">
        <f t="shared" si="122"/>
        <v>449.26099999999957</v>
      </c>
      <c r="T50" s="127">
        <f t="shared" si="122"/>
        <v>461.73800000000006</v>
      </c>
      <c r="U50" s="127">
        <f t="shared" si="122"/>
        <v>353.54499999999996</v>
      </c>
      <c r="V50" s="127">
        <f t="shared" si="122"/>
        <v>156.804</v>
      </c>
      <c r="W50" s="127">
        <f t="shared" si="122"/>
        <v>434.18599999999992</v>
      </c>
      <c r="X50" s="127">
        <f t="shared" si="122"/>
        <v>581.04500000000019</v>
      </c>
      <c r="Y50" s="127">
        <f t="shared" si="122"/>
        <v>736.63899999999944</v>
      </c>
      <c r="Z50" s="127">
        <f t="shared" si="122"/>
        <v>708.71900000000051</v>
      </c>
      <c r="AA50" s="127">
        <f t="shared" si="122"/>
        <v>422.22493400000002</v>
      </c>
      <c r="AB50" s="127">
        <f t="shared" si="122"/>
        <v>-56.827999999999761</v>
      </c>
      <c r="AC50" s="127">
        <f t="shared" si="122"/>
        <v>-128.21239000000034</v>
      </c>
      <c r="AD50" s="127">
        <f t="shared" si="122"/>
        <v>529.9512454787947</v>
      </c>
      <c r="AE50" s="127">
        <f t="shared" si="122"/>
        <v>195.03085741030407</v>
      </c>
      <c r="AF50" s="127">
        <f t="shared" si="122"/>
        <v>253.83822227496847</v>
      </c>
      <c r="AG50" s="307"/>
      <c r="AH50" s="306">
        <f t="shared" ref="AH50:BM50" si="123">SUM(AH42:AH49)</f>
        <v>7.2189999999999985</v>
      </c>
      <c r="AI50" s="306">
        <f t="shared" si="123"/>
        <v>7.2680000000000016</v>
      </c>
      <c r="AJ50" s="306">
        <f t="shared" si="123"/>
        <v>4.9309999999999992</v>
      </c>
      <c r="AK50" s="306">
        <f t="shared" si="123"/>
        <v>5.1320000000000219</v>
      </c>
      <c r="AL50" s="306">
        <f t="shared" si="123"/>
        <v>11.253000000000004</v>
      </c>
      <c r="AM50" s="306">
        <f t="shared" si="123"/>
        <v>6.1549999999999931</v>
      </c>
      <c r="AN50" s="306">
        <f t="shared" si="123"/>
        <v>4.6600000000000099</v>
      </c>
      <c r="AO50" s="306">
        <f t="shared" si="123"/>
        <v>2.9029999999999707</v>
      </c>
      <c r="AP50" s="306">
        <f t="shared" si="123"/>
        <v>4.4160000000000075</v>
      </c>
      <c r="AQ50" s="306">
        <f t="shared" si="123"/>
        <v>5.8199999999999976</v>
      </c>
      <c r="AR50" s="306">
        <f t="shared" si="123"/>
        <v>4.583999999999997</v>
      </c>
      <c r="AS50" s="306">
        <f t="shared" si="123"/>
        <v>-5.0690000000000115</v>
      </c>
      <c r="AT50" s="306">
        <f t="shared" si="123"/>
        <v>11.093000000000009</v>
      </c>
      <c r="AU50" s="306">
        <f t="shared" si="123"/>
        <v>11.026999999999996</v>
      </c>
      <c r="AV50" s="306">
        <f t="shared" si="123"/>
        <v>13.158000000000001</v>
      </c>
      <c r="AW50" s="306">
        <f t="shared" si="123"/>
        <v>37.288000000000025</v>
      </c>
      <c r="AX50" s="306">
        <f t="shared" si="123"/>
        <v>20.125</v>
      </c>
      <c r="AY50" s="306">
        <f t="shared" si="123"/>
        <v>22.417999999999999</v>
      </c>
      <c r="AZ50" s="306">
        <f t="shared" si="123"/>
        <v>23.648000000000007</v>
      </c>
      <c r="BA50" s="306">
        <f t="shared" si="123"/>
        <v>17.998000000000058</v>
      </c>
      <c r="BB50" s="306">
        <f t="shared" si="123"/>
        <v>29.16500000000001</v>
      </c>
      <c r="BC50" s="306">
        <f t="shared" si="123"/>
        <v>19.337</v>
      </c>
      <c r="BD50" s="306">
        <f t="shared" si="123"/>
        <v>33.86099999999999</v>
      </c>
      <c r="BE50" s="306">
        <f t="shared" si="123"/>
        <v>18.791000000000128</v>
      </c>
      <c r="BF50" s="306">
        <f t="shared" si="123"/>
        <v>12.810999999999993</v>
      </c>
      <c r="BG50" s="306">
        <f t="shared" si="123"/>
        <v>7.352000000000003</v>
      </c>
      <c r="BH50" s="306">
        <f t="shared" si="123"/>
        <v>12.195999999999987</v>
      </c>
      <c r="BI50" s="306">
        <f t="shared" si="123"/>
        <v>10.429000000000061</v>
      </c>
      <c r="BJ50" s="306">
        <f t="shared" si="123"/>
        <v>20.460999999999991</v>
      </c>
      <c r="BK50" s="306">
        <f t="shared" si="123"/>
        <v>19.273000000000007</v>
      </c>
      <c r="BL50" s="306">
        <f t="shared" si="123"/>
        <v>18.556999999999995</v>
      </c>
      <c r="BM50" s="306">
        <f t="shared" si="123"/>
        <v>24.008999999999997</v>
      </c>
      <c r="BN50" s="306">
        <f t="shared" ref="BN50:CS50" si="124">SUM(BN42:BN49)</f>
        <v>33.839999999999989</v>
      </c>
      <c r="BO50" s="306">
        <f t="shared" si="124"/>
        <v>41.749000000000017</v>
      </c>
      <c r="BP50" s="306">
        <f t="shared" si="124"/>
        <v>40.437000000000019</v>
      </c>
      <c r="BQ50" s="306">
        <f t="shared" si="124"/>
        <v>28.227999999999991</v>
      </c>
      <c r="BR50" s="306">
        <f t="shared" si="124"/>
        <v>15.603999999999999</v>
      </c>
      <c r="BS50" s="306">
        <f t="shared" si="124"/>
        <v>10.872</v>
      </c>
      <c r="BT50" s="306">
        <f t="shared" si="124"/>
        <v>28.218</v>
      </c>
      <c r="BU50" s="306">
        <f t="shared" si="124"/>
        <v>8.8230000000000004</v>
      </c>
      <c r="BV50" s="306">
        <f t="shared" si="124"/>
        <v>0.60700000000000642</v>
      </c>
      <c r="BW50" s="306">
        <f t="shared" si="124"/>
        <v>2.5740000000000056</v>
      </c>
      <c r="BX50" s="306">
        <f t="shared" si="124"/>
        <v>8.1619999999999955</v>
      </c>
      <c r="BY50" s="306">
        <f t="shared" si="124"/>
        <v>6.5299999999999976</v>
      </c>
      <c r="BZ50" s="127">
        <f t="shared" si="124"/>
        <v>6.5879999999999894</v>
      </c>
      <c r="CA50" s="127">
        <f t="shared" si="124"/>
        <v>6.0479999999999956</v>
      </c>
      <c r="CB50" s="127">
        <f t="shared" si="124"/>
        <v>4.3470000000000049</v>
      </c>
      <c r="CC50" s="127">
        <f t="shared" si="124"/>
        <v>-12.623999999999981</v>
      </c>
      <c r="CD50" s="127">
        <f t="shared" si="124"/>
        <v>39.31</v>
      </c>
      <c r="CE50" s="127">
        <f t="shared" si="124"/>
        <v>22.350000000000012</v>
      </c>
      <c r="CF50" s="127">
        <f t="shared" si="124"/>
        <v>29.824999999999996</v>
      </c>
      <c r="CG50" s="127">
        <f t="shared" si="124"/>
        <v>36.121000000000016</v>
      </c>
      <c r="CH50" s="127">
        <f t="shared" si="124"/>
        <v>50.813999999999993</v>
      </c>
      <c r="CI50" s="127">
        <f t="shared" si="124"/>
        <v>64.572999999999979</v>
      </c>
      <c r="CJ50" s="127">
        <f t="shared" si="124"/>
        <v>79.975000000000037</v>
      </c>
      <c r="CK50" s="127">
        <f t="shared" si="124"/>
        <v>98.496000000000024</v>
      </c>
      <c r="CL50" s="127">
        <f t="shared" si="124"/>
        <v>110.78599999999997</v>
      </c>
      <c r="CM50" s="127">
        <f t="shared" si="124"/>
        <v>106.86099999999996</v>
      </c>
      <c r="CN50" s="127">
        <f t="shared" si="124"/>
        <v>115.20399999999994</v>
      </c>
      <c r="CO50" s="127">
        <f t="shared" si="124"/>
        <v>116.41000000000001</v>
      </c>
      <c r="CP50" s="127">
        <f t="shared" si="124"/>
        <v>107.83000000000008</v>
      </c>
      <c r="CQ50" s="127">
        <f t="shared" si="124"/>
        <v>102.05399999999995</v>
      </c>
      <c r="CR50" s="127">
        <f t="shared" si="124"/>
        <v>125.36900000000003</v>
      </c>
      <c r="CS50" s="127">
        <f t="shared" si="124"/>
        <v>126.48499999999994</v>
      </c>
      <c r="CT50" s="127">
        <f t="shared" ref="CT50:CW50" si="125">SUM(CT42:CT49)</f>
        <v>145.27499999999998</v>
      </c>
      <c r="CU50" s="127">
        <f t="shared" si="125"/>
        <v>103.738</v>
      </c>
      <c r="CV50" s="127">
        <f t="shared" si="125"/>
        <v>53.044000000000054</v>
      </c>
      <c r="CW50" s="127">
        <f t="shared" si="125"/>
        <v>51.488000000000035</v>
      </c>
      <c r="CX50" s="127">
        <v>63.235000000000099</v>
      </c>
      <c r="CY50" s="127">
        <f t="shared" ref="CY50:EP50" si="126">SUM(CY42:CY49)</f>
        <v>46.746999999999936</v>
      </c>
      <c r="CZ50" s="127">
        <f t="shared" si="126"/>
        <v>-36.715000000000003</v>
      </c>
      <c r="DA50" s="127">
        <f t="shared" si="126"/>
        <v>83.537000000000006</v>
      </c>
      <c r="DB50" s="127">
        <f t="shared" si="126"/>
        <v>104.14999999999992</v>
      </c>
      <c r="DC50" s="127">
        <f t="shared" si="126"/>
        <v>98.789999999999964</v>
      </c>
      <c r="DD50" s="127">
        <f t="shared" si="126"/>
        <v>109.82599999999991</v>
      </c>
      <c r="DE50" s="127">
        <f t="shared" si="126"/>
        <v>121.41999999999999</v>
      </c>
      <c r="DF50" s="127">
        <f t="shared" si="126"/>
        <v>144.28600000000003</v>
      </c>
      <c r="DG50" s="127">
        <f t="shared" si="126"/>
        <v>129.71899999999994</v>
      </c>
      <c r="DH50" s="127">
        <f t="shared" si="126"/>
        <v>149.92499999999984</v>
      </c>
      <c r="DI50" s="127">
        <f t="shared" si="126"/>
        <v>157.11500000000007</v>
      </c>
      <c r="DJ50" s="127">
        <f t="shared" si="126"/>
        <v>159.60299999999989</v>
      </c>
      <c r="DK50" s="127">
        <f t="shared" si="126"/>
        <v>151.08000000000004</v>
      </c>
      <c r="DL50" s="127">
        <f t="shared" si="126"/>
        <v>266.15899999999999</v>
      </c>
      <c r="DM50" s="127">
        <f t="shared" si="126"/>
        <v>159.79700000000003</v>
      </c>
      <c r="DN50" s="127">
        <f t="shared" si="126"/>
        <v>173.18199999999999</v>
      </c>
      <c r="DO50" s="127">
        <f t="shared" si="126"/>
        <v>174.57000000000011</v>
      </c>
      <c r="DP50" s="127">
        <f t="shared" si="126"/>
        <v>192.27899999999988</v>
      </c>
      <c r="DQ50" s="127">
        <f t="shared" si="126"/>
        <v>168.68799999999999</v>
      </c>
      <c r="DR50" s="127">
        <f t="shared" si="126"/>
        <v>203.04200000000006</v>
      </c>
      <c r="DS50" s="127">
        <f t="shared" si="126"/>
        <v>149.53693400000003</v>
      </c>
      <c r="DT50" s="127">
        <f t="shared" si="126"/>
        <v>90.859999999999985</v>
      </c>
      <c r="DU50" s="127">
        <f t="shared" si="126"/>
        <v>-21.214000000000087</v>
      </c>
      <c r="DV50" s="127">
        <f t="shared" si="126"/>
        <v>16.002000000000031</v>
      </c>
      <c r="DW50" s="127">
        <f t="shared" si="126"/>
        <v>21.204999999999981</v>
      </c>
      <c r="DX50" s="127">
        <f t="shared" si="126"/>
        <v>-21.199999999999939</v>
      </c>
      <c r="DY50" s="127">
        <f t="shared" si="126"/>
        <v>-72.834999999999994</v>
      </c>
      <c r="DZ50" s="127">
        <f t="shared" si="126"/>
        <v>-35.063389999999977</v>
      </c>
      <c r="EA50" s="127">
        <f t="shared" si="126"/>
        <v>-48.817999999999991</v>
      </c>
      <c r="EB50" s="127">
        <f t="shared" si="126"/>
        <v>-21.798999999999978</v>
      </c>
      <c r="EC50" s="127">
        <f t="shared" si="126"/>
        <v>-22.532000000000107</v>
      </c>
      <c r="ED50" s="127">
        <f t="shared" si="126"/>
        <v>500.10555399999993</v>
      </c>
      <c r="EE50" s="127">
        <f t="shared" si="126"/>
        <v>-2.8319768100834279</v>
      </c>
      <c r="EF50" s="127">
        <f t="shared" si="126"/>
        <v>7.2119359954392648</v>
      </c>
      <c r="EG50" s="127">
        <f t="shared" si="126"/>
        <v>25.465732293438641</v>
      </c>
      <c r="EH50" s="127">
        <f t="shared" si="126"/>
        <v>37.147071388719212</v>
      </c>
      <c r="EI50" s="127">
        <f t="shared" si="126"/>
        <v>46.271763375570721</v>
      </c>
      <c r="EJ50" s="127">
        <f t="shared" si="126"/>
        <v>52.936727550966552</v>
      </c>
      <c r="EK50" s="127">
        <f t="shared" si="126"/>
        <v>58.675295095047488</v>
      </c>
      <c r="EL50" s="127">
        <f t="shared" si="126"/>
        <v>67.134166645629847</v>
      </c>
      <c r="EM50" s="127">
        <f t="shared" si="126"/>
        <v>63.198940952978433</v>
      </c>
      <c r="EN50" s="127">
        <f t="shared" si="126"/>
        <v>61.512198204638338</v>
      </c>
      <c r="EO50" s="127">
        <f t="shared" si="126"/>
        <v>61.992916471721713</v>
      </c>
      <c r="EP50" s="127">
        <f t="shared" si="126"/>
        <v>60.291562378347123</v>
      </c>
      <c r="EQ50" s="305"/>
      <c r="ER50" s="305"/>
      <c r="ES50" s="355">
        <f t="shared" si="18"/>
        <v>45</v>
      </c>
      <c r="ET50"/>
      <c r="EU50"/>
      <c r="EV50"/>
      <c r="EW50"/>
      <c r="EX50"/>
      <c r="EY50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</row>
    <row r="51" spans="1:257" s="4" customFormat="1" ht="11.45" customHeight="1" outlineLevel="1">
      <c r="A51" s="15"/>
      <c r="B51" s="304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3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  <c r="AF51" s="301"/>
      <c r="AG51" s="302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/>
      <c r="BF51" s="301"/>
      <c r="BG51" s="301"/>
      <c r="BH51" s="301"/>
      <c r="BI51" s="301"/>
      <c r="BJ51" s="301"/>
      <c r="BK51" s="301"/>
      <c r="BL51" s="301"/>
      <c r="BM51" s="301"/>
      <c r="BN51" s="301"/>
      <c r="BO51" s="301"/>
      <c r="BP51" s="301"/>
      <c r="BQ51" s="301"/>
      <c r="BR51" s="301"/>
      <c r="BS51" s="301"/>
      <c r="BT51" s="301"/>
      <c r="BU51" s="301"/>
      <c r="BV51" s="301"/>
      <c r="BW51" s="301"/>
      <c r="BX51" s="301"/>
      <c r="BY51" s="301"/>
      <c r="BZ51" s="301"/>
      <c r="CA51" s="301"/>
      <c r="CB51" s="301"/>
      <c r="CC51" s="301"/>
      <c r="CD51" s="301"/>
      <c r="CE51" s="301"/>
      <c r="CF51" s="301"/>
      <c r="CG51" s="301"/>
      <c r="CH51" s="301"/>
      <c r="CI51" s="301"/>
      <c r="CJ51" s="301"/>
      <c r="CK51" s="301"/>
      <c r="CL51" s="301"/>
      <c r="CM51" s="301"/>
      <c r="CN51" s="301"/>
      <c r="CO51" s="301"/>
      <c r="CP51" s="301"/>
      <c r="CQ51" s="301"/>
      <c r="CR51" s="301"/>
      <c r="CS51" s="301"/>
      <c r="CT51" s="301"/>
      <c r="CU51" s="301"/>
      <c r="CV51" s="301"/>
      <c r="CW51" s="301"/>
      <c r="CX51" s="301"/>
      <c r="CY51" s="301"/>
      <c r="CZ51" s="301"/>
      <c r="DA51" s="301"/>
      <c r="DB51" s="301"/>
      <c r="DC51" s="301"/>
      <c r="DD51" s="301"/>
      <c r="DE51" s="301"/>
      <c r="DF51" s="301"/>
      <c r="DG51" s="301"/>
      <c r="DH51" s="301"/>
      <c r="DI51" s="301"/>
      <c r="DJ51" s="301"/>
      <c r="DK51" s="301"/>
      <c r="DL51" s="301"/>
      <c r="DM51" s="301"/>
      <c r="DN51" s="301"/>
      <c r="DO51" s="301"/>
      <c r="DP51" s="301"/>
      <c r="DQ51" s="301"/>
      <c r="DR51" s="301"/>
      <c r="DS51" s="301"/>
      <c r="DT51" s="301"/>
      <c r="DU51" s="301"/>
      <c r="DV51" s="301"/>
      <c r="DW51" s="301"/>
      <c r="DX51" s="301"/>
      <c r="DY51" s="301"/>
      <c r="DZ51" s="301"/>
      <c r="EA51" s="301"/>
      <c r="EB51" s="301"/>
      <c r="EC51" s="301"/>
      <c r="ED51" s="301"/>
      <c r="EE51" s="301"/>
      <c r="EF51" s="301"/>
      <c r="EG51" s="301"/>
      <c r="EH51" s="301"/>
      <c r="EI51" s="301"/>
      <c r="EJ51" s="301"/>
      <c r="EK51" s="301"/>
      <c r="EL51" s="301"/>
      <c r="EM51" s="301"/>
      <c r="EN51" s="301"/>
      <c r="EO51" s="301"/>
      <c r="EP51" s="301"/>
      <c r="EQ51" s="126"/>
      <c r="ER51" s="126"/>
      <c r="ES51" s="355">
        <f t="shared" si="18"/>
        <v>46</v>
      </c>
      <c r="ET51"/>
      <c r="EU51"/>
      <c r="EV51"/>
      <c r="EW51"/>
      <c r="EX51"/>
      <c r="EY5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</row>
    <row r="52" spans="1:257" s="4" customFormat="1" ht="11.45" customHeight="1" outlineLevel="1">
      <c r="A52" s="15"/>
      <c r="B52" s="47" t="s">
        <v>219</v>
      </c>
      <c r="C52" s="288"/>
      <c r="D52" s="288"/>
      <c r="E52" s="300">
        <f t="shared" ref="E52:V52" si="127">E42/E58</f>
        <v>0.23419179660180239</v>
      </c>
      <c r="F52" s="300">
        <f t="shared" si="127"/>
        <v>0.21472599934469189</v>
      </c>
      <c r="G52" s="300">
        <f t="shared" si="127"/>
        <v>0.16207817085099435</v>
      </c>
      <c r="H52" s="300">
        <f t="shared" si="127"/>
        <v>0.45646010530579184</v>
      </c>
      <c r="I52" s="300">
        <f t="shared" si="127"/>
        <v>0.83254880243666074</v>
      </c>
      <c r="J52" s="300">
        <f t="shared" si="127"/>
        <v>0.7686799169385945</v>
      </c>
      <c r="K52" s="300">
        <f t="shared" si="127"/>
        <v>0.35054298733364136</v>
      </c>
      <c r="L52" s="300">
        <f t="shared" si="127"/>
        <v>0.74497851503947254</v>
      </c>
      <c r="M52" s="300">
        <f t="shared" si="127"/>
        <v>1.4110500866619398</v>
      </c>
      <c r="N52" s="300">
        <f t="shared" si="127"/>
        <v>0.38155338166650138</v>
      </c>
      <c r="O52" s="300">
        <f t="shared" si="127"/>
        <v>0.14656593406593382</v>
      </c>
      <c r="P52" s="300">
        <f t="shared" si="127"/>
        <v>0.13866848307202054</v>
      </c>
      <c r="Q52" s="300">
        <f t="shared" si="127"/>
        <v>1.0000109545865135</v>
      </c>
      <c r="R52" s="300">
        <f t="shared" si="127"/>
        <v>2.6026929711285596</v>
      </c>
      <c r="S52" s="300">
        <f t="shared" si="127"/>
        <v>3.519697511604897</v>
      </c>
      <c r="T52" s="300">
        <f t="shared" si="127"/>
        <v>4.1371455686687213</v>
      </c>
      <c r="U52" s="300">
        <f t="shared" si="127"/>
        <v>3.2764693800994089</v>
      </c>
      <c r="V52" s="300">
        <f t="shared" si="127"/>
        <v>2.5543645971552951</v>
      </c>
      <c r="W52" s="300">
        <f t="shared" ref="W52:AF52" si="128">(W42-W100)/W58</f>
        <v>3.966532799708764</v>
      </c>
      <c r="X52" s="300">
        <f t="shared" si="128"/>
        <v>5.1468238638854871</v>
      </c>
      <c r="Y52" s="300">
        <f t="shared" si="128"/>
        <v>5.5318105238248734</v>
      </c>
      <c r="Z52" s="300">
        <f t="shared" si="128"/>
        <v>6.1219377713797183</v>
      </c>
      <c r="AA52" s="300">
        <f t="shared" si="128"/>
        <v>2.8811950846980543</v>
      </c>
      <c r="AB52" s="300">
        <f t="shared" si="128"/>
        <v>-1.0303717818134761</v>
      </c>
      <c r="AC52" s="300">
        <f t="shared" si="128"/>
        <v>-1.2778571445037434</v>
      </c>
      <c r="AD52" s="300">
        <f t="shared" si="128"/>
        <v>0.18430672585999661</v>
      </c>
      <c r="AE52" s="300">
        <f t="shared" si="128"/>
        <v>1.7424644308798487</v>
      </c>
      <c r="AF52" s="300">
        <f t="shared" si="128"/>
        <v>2.2906173325718067</v>
      </c>
      <c r="AG52" s="300"/>
      <c r="AH52" s="300">
        <f t="shared" ref="AH52:BM52" si="129">AH42/AH58</f>
        <v>6.5042041218944996E-2</v>
      </c>
      <c r="AI52" s="300">
        <f t="shared" si="129"/>
        <v>7.1346353426458647E-2</v>
      </c>
      <c r="AJ52" s="300">
        <f t="shared" si="129"/>
        <v>5.0934768006919227E-2</v>
      </c>
      <c r="AK52" s="300">
        <f t="shared" si="129"/>
        <v>4.6945711477759874E-2</v>
      </c>
      <c r="AL52" s="300">
        <f t="shared" si="129"/>
        <v>7.4411112934996762E-2</v>
      </c>
      <c r="AM52" s="300">
        <f t="shared" si="129"/>
        <v>6.3042854801704282E-2</v>
      </c>
      <c r="AN52" s="300">
        <f t="shared" si="129"/>
        <v>4.7663857294820491E-2</v>
      </c>
      <c r="AO52" s="300">
        <f t="shared" si="129"/>
        <v>2.968788349832252E-2</v>
      </c>
      <c r="AP52" s="300">
        <f t="shared" si="129"/>
        <v>4.5099881531108374E-2</v>
      </c>
      <c r="AQ52" s="300">
        <f t="shared" si="129"/>
        <v>4.8000517614955808E-2</v>
      </c>
      <c r="AR52" s="300">
        <f t="shared" si="129"/>
        <v>3.9683039107411631E-2</v>
      </c>
      <c r="AS52" s="300">
        <f t="shared" si="129"/>
        <v>2.9345395405570119E-2</v>
      </c>
      <c r="AT52" s="288">
        <f t="shared" si="129"/>
        <v>9.620777953908069E-2</v>
      </c>
      <c r="AU52" s="288">
        <f t="shared" si="129"/>
        <v>9.9391604137091819E-2</v>
      </c>
      <c r="AV52" s="288">
        <f t="shared" si="129"/>
        <v>0.12431798892616094</v>
      </c>
      <c r="AW52" s="288">
        <f t="shared" si="129"/>
        <v>0.13637465164182749</v>
      </c>
      <c r="AX52" s="300">
        <f t="shared" si="129"/>
        <v>0.19932057681641707</v>
      </c>
      <c r="AY52" s="300">
        <f t="shared" si="129"/>
        <v>0.22249349927549178</v>
      </c>
      <c r="AZ52" s="300">
        <f t="shared" si="129"/>
        <v>0.23399960419552748</v>
      </c>
      <c r="BA52" s="300">
        <f t="shared" si="129"/>
        <v>0.1769680045623494</v>
      </c>
      <c r="BB52" s="300">
        <f t="shared" si="129"/>
        <v>0.24957897622684377</v>
      </c>
      <c r="BC52" s="300">
        <f t="shared" si="129"/>
        <v>0.19104309510166176</v>
      </c>
      <c r="BD52" s="300">
        <f t="shared" si="129"/>
        <v>0.20499208547684994</v>
      </c>
      <c r="BE52" s="300">
        <f t="shared" si="129"/>
        <v>0.12178039764212339</v>
      </c>
      <c r="BF52" s="300">
        <f t="shared" si="129"/>
        <v>6.4835695876288596E-2</v>
      </c>
      <c r="BG52" s="300">
        <f t="shared" si="129"/>
        <v>7.4121869580997729E-2</v>
      </c>
      <c r="BH52" s="300">
        <f t="shared" si="129"/>
        <v>0.11479382372378975</v>
      </c>
      <c r="BI52" s="300">
        <f t="shared" si="129"/>
        <v>9.6551310981089725E-2</v>
      </c>
      <c r="BJ52" s="300">
        <f t="shared" si="129"/>
        <v>0.18795715778474389</v>
      </c>
      <c r="BK52" s="300">
        <f t="shared" si="129"/>
        <v>0.13322830537047448</v>
      </c>
      <c r="BL52" s="300">
        <f t="shared" si="129"/>
        <v>0.18473131980807131</v>
      </c>
      <c r="BM52" s="300">
        <f t="shared" si="129"/>
        <v>0.23856793656471706</v>
      </c>
      <c r="BN52" s="300">
        <f t="shared" ref="BN52:CW52" si="130">BN42/BN58</f>
        <v>0.33550792171481819</v>
      </c>
      <c r="BO52" s="300">
        <f t="shared" si="130"/>
        <v>0.40746788165587922</v>
      </c>
      <c r="BP52" s="300">
        <f t="shared" si="130"/>
        <v>0.38057983455595457</v>
      </c>
      <c r="BQ52" s="300">
        <f t="shared" si="130"/>
        <v>0.28601935663556594</v>
      </c>
      <c r="BR52" s="300">
        <f t="shared" si="130"/>
        <v>0.18098765925156754</v>
      </c>
      <c r="BS52" s="300">
        <f t="shared" si="130"/>
        <v>7.7638515865910668E-2</v>
      </c>
      <c r="BT52" s="300">
        <f t="shared" si="130"/>
        <v>7.0026100367777899E-2</v>
      </c>
      <c r="BU52" s="300">
        <f t="shared" si="130"/>
        <v>5.3542438715047269E-2</v>
      </c>
      <c r="BV52" s="300">
        <f t="shared" si="130"/>
        <v>6.0138308201399572E-3</v>
      </c>
      <c r="BW52" s="300">
        <f t="shared" si="130"/>
        <v>2.5465482102930464E-2</v>
      </c>
      <c r="BX52" s="300">
        <f t="shared" si="130"/>
        <v>8.0523273021447836E-2</v>
      </c>
      <c r="BY52" s="300">
        <f t="shared" si="130"/>
        <v>3.4404773646316181E-2</v>
      </c>
      <c r="BZ52" s="300">
        <f t="shared" si="130"/>
        <v>3.8181163281820411E-2</v>
      </c>
      <c r="CA52" s="300">
        <f t="shared" si="130"/>
        <v>2.3272793352061727E-2</v>
      </c>
      <c r="CB52" s="300">
        <f t="shared" si="130"/>
        <v>4.2247051886792501E-2</v>
      </c>
      <c r="CC52" s="300">
        <f t="shared" si="130"/>
        <v>3.4986636008097143E-2</v>
      </c>
      <c r="CD52" s="300">
        <f t="shared" si="130"/>
        <v>0.17315046043390045</v>
      </c>
      <c r="CE52" s="300">
        <f t="shared" si="130"/>
        <v>0.21003979495480923</v>
      </c>
      <c r="CF52" s="300">
        <f t="shared" si="130"/>
        <v>0.28207778160655483</v>
      </c>
      <c r="CG52" s="300">
        <f t="shared" si="130"/>
        <v>0.33223906346272353</v>
      </c>
      <c r="CH52" s="300">
        <f t="shared" si="130"/>
        <v>0.45643007167547295</v>
      </c>
      <c r="CI52" s="300">
        <f t="shared" si="130"/>
        <v>0.58669968147464024</v>
      </c>
      <c r="CJ52" s="300">
        <f t="shared" si="130"/>
        <v>0.68258252755616988</v>
      </c>
      <c r="CK52" s="300">
        <f t="shared" si="130"/>
        <v>0.87369038200723348</v>
      </c>
      <c r="CL52" s="300">
        <f t="shared" si="130"/>
        <v>0.89351836298388909</v>
      </c>
      <c r="CM52" s="300">
        <f t="shared" si="130"/>
        <v>0.7892998321123319</v>
      </c>
      <c r="CN52" s="300">
        <f t="shared" si="130"/>
        <v>0.86673288198038168</v>
      </c>
      <c r="CO52" s="300">
        <f t="shared" si="130"/>
        <v>0.97041991317370946</v>
      </c>
      <c r="CP52" s="300">
        <f t="shared" si="130"/>
        <v>0.987029872650666</v>
      </c>
      <c r="CQ52" s="300">
        <f t="shared" si="130"/>
        <v>0.9185819587142986</v>
      </c>
      <c r="CR52" s="300">
        <f t="shared" si="130"/>
        <v>1.1036037454657934</v>
      </c>
      <c r="CS52" s="300">
        <f t="shared" si="130"/>
        <v>1.126297110904007</v>
      </c>
      <c r="CT52" s="300">
        <f t="shared" si="130"/>
        <v>1.3580308368802321</v>
      </c>
      <c r="CU52" s="300">
        <f t="shared" si="130"/>
        <v>0.96272608544503013</v>
      </c>
      <c r="CV52" s="300">
        <f t="shared" si="130"/>
        <v>0.48406472025386416</v>
      </c>
      <c r="CW52" s="300">
        <f t="shared" si="130"/>
        <v>0.47419052878899959</v>
      </c>
      <c r="CX52" s="300">
        <f t="shared" ref="CX52:EP52" si="131">(CX42-CX100)/CX58</f>
        <v>0.584189373169959</v>
      </c>
      <c r="CY52" s="300">
        <f t="shared" si="131"/>
        <v>0.60889202113802943</v>
      </c>
      <c r="CZ52" s="300">
        <f t="shared" si="131"/>
        <v>0.5911930866311752</v>
      </c>
      <c r="DA52" s="300">
        <f t="shared" si="131"/>
        <v>0.76628430970913564</v>
      </c>
      <c r="DB52" s="300">
        <f t="shared" si="131"/>
        <v>0.94871815079924271</v>
      </c>
      <c r="DC52" s="300">
        <f t="shared" si="131"/>
        <v>0.92369584235001589</v>
      </c>
      <c r="DD52" s="300">
        <f t="shared" si="131"/>
        <v>1.0016036365641996</v>
      </c>
      <c r="DE52" s="300">
        <f t="shared" si="131"/>
        <v>1.092031310327076</v>
      </c>
      <c r="DF52" s="300">
        <f t="shared" si="131"/>
        <v>1.2940678199801452</v>
      </c>
      <c r="DG52" s="300">
        <f t="shared" si="131"/>
        <v>1.1349663432438872</v>
      </c>
      <c r="DH52" s="300">
        <f t="shared" si="131"/>
        <v>1.3601567904081149</v>
      </c>
      <c r="DI52" s="300">
        <f t="shared" si="131"/>
        <v>1.3593691052051629</v>
      </c>
      <c r="DJ52" s="300">
        <f t="shared" si="131"/>
        <v>1.3946286262242571</v>
      </c>
      <c r="DK52" s="300">
        <f t="shared" si="131"/>
        <v>1.3618981129274677</v>
      </c>
      <c r="DL52" s="300">
        <f t="shared" si="131"/>
        <v>1.4317733750208748</v>
      </c>
      <c r="DM52" s="300">
        <f t="shared" si="131"/>
        <v>1.3436497404147811</v>
      </c>
      <c r="DN52" s="300">
        <f t="shared" si="131"/>
        <v>1.4900856056070806</v>
      </c>
      <c r="DO52" s="300">
        <f t="shared" si="131"/>
        <v>1.427737186127741</v>
      </c>
      <c r="DP52" s="300">
        <f t="shared" si="131"/>
        <v>1.6091513016424934</v>
      </c>
      <c r="DQ52" s="300">
        <f t="shared" si="131"/>
        <v>1.5945013723696246</v>
      </c>
      <c r="DR52" s="300">
        <f t="shared" si="131"/>
        <v>1.6967112262616801</v>
      </c>
      <c r="DS52" s="300">
        <f t="shared" si="131"/>
        <v>0.95477746608840097</v>
      </c>
      <c r="DT52" s="300">
        <f t="shared" si="131"/>
        <v>0.27276327798725897</v>
      </c>
      <c r="DU52" s="300">
        <f t="shared" si="131"/>
        <v>-5.1395953220717328E-2</v>
      </c>
      <c r="DV52" s="300">
        <f t="shared" si="131"/>
        <v>4.4250016142571479E-2</v>
      </c>
      <c r="DW52" s="300">
        <f t="shared" si="131"/>
        <v>-0.27236184610845809</v>
      </c>
      <c r="DX52" s="300">
        <f t="shared" si="131"/>
        <v>-0.47264903236554401</v>
      </c>
      <c r="DY52" s="300">
        <f t="shared" si="131"/>
        <v>-0.33056493933195735</v>
      </c>
      <c r="DZ52" s="288">
        <f t="shared" si="131"/>
        <v>-0.40386777088923825</v>
      </c>
      <c r="EA52" s="288">
        <f t="shared" si="131"/>
        <v>-0.47058720582139729</v>
      </c>
      <c r="EB52" s="288">
        <f t="shared" si="131"/>
        <v>-0.25721069889105824</v>
      </c>
      <c r="EC52" s="288">
        <f t="shared" si="131"/>
        <v>-0.1466169374148166</v>
      </c>
      <c r="ED52" s="288">
        <f t="shared" si="131"/>
        <v>-1.3379128282690224E-2</v>
      </c>
      <c r="EE52" s="300">
        <f t="shared" si="131"/>
        <v>-6.2580610870831443E-2</v>
      </c>
      <c r="EF52" s="300">
        <f t="shared" si="131"/>
        <v>4.6938761373299026E-2</v>
      </c>
      <c r="EG52" s="300">
        <f t="shared" si="131"/>
        <v>0.21176207395963029</v>
      </c>
      <c r="EH52" s="300">
        <f t="shared" si="131"/>
        <v>0.31721042944277777</v>
      </c>
      <c r="EI52" s="300">
        <f t="shared" si="131"/>
        <v>0.4177409027016854</v>
      </c>
      <c r="EJ52" s="300">
        <f t="shared" si="131"/>
        <v>0.47786432972573423</v>
      </c>
      <c r="EK52" s="300">
        <f t="shared" si="131"/>
        <v>0.52961390430426591</v>
      </c>
      <c r="EL52" s="300">
        <f t="shared" si="131"/>
        <v>0.60590462968308745</v>
      </c>
      <c r="EM52" s="300">
        <f t="shared" si="131"/>
        <v>0.57033108411670019</v>
      </c>
      <c r="EN52" s="300">
        <f t="shared" si="131"/>
        <v>0.55505377587690086</v>
      </c>
      <c r="EO52" s="300">
        <f t="shared" si="131"/>
        <v>0.55933559152953771</v>
      </c>
      <c r="EP52" s="300">
        <f t="shared" si="131"/>
        <v>0.54393060758872303</v>
      </c>
      <c r="EQ52" s="81"/>
      <c r="ER52" s="81"/>
      <c r="ES52" s="355">
        <f t="shared" si="18"/>
        <v>47</v>
      </c>
      <c r="ET52"/>
      <c r="EU52"/>
      <c r="EV52"/>
      <c r="EW52"/>
      <c r="EX52"/>
      <c r="EY52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</row>
    <row r="53" spans="1:257" s="4" customFormat="1" ht="11.45" customHeight="1" outlineLevel="1">
      <c r="A53" s="15"/>
      <c r="B53" s="63" t="s">
        <v>218</v>
      </c>
      <c r="C53" s="20"/>
      <c r="D53" s="20"/>
      <c r="E53" s="53">
        <f t="shared" ref="E53:V53" si="132">E50/E58</f>
        <v>0.25249928004278649</v>
      </c>
      <c r="F53" s="53">
        <f t="shared" si="132"/>
        <v>0.25568274901703791</v>
      </c>
      <c r="G53" s="53">
        <f t="shared" si="132"/>
        <v>9.9354010433648415E-2</v>
      </c>
      <c r="H53" s="53">
        <f t="shared" si="132"/>
        <v>0.7347711624139327</v>
      </c>
      <c r="I53" s="53">
        <f t="shared" si="132"/>
        <v>0.83254880243666074</v>
      </c>
      <c r="J53" s="53">
        <f t="shared" si="132"/>
        <v>1.0002373183031747</v>
      </c>
      <c r="K53" s="53">
        <f t="shared" si="132"/>
        <v>0.42945179356444613</v>
      </c>
      <c r="L53" s="53">
        <f t="shared" si="132"/>
        <v>0.82242430298790858</v>
      </c>
      <c r="M53" s="53">
        <f t="shared" si="132"/>
        <v>1.4206058457417474</v>
      </c>
      <c r="N53" s="53">
        <f t="shared" si="132"/>
        <v>0.63081736021452006</v>
      </c>
      <c r="O53" s="53">
        <f t="shared" si="132"/>
        <v>0.17662463435844708</v>
      </c>
      <c r="P53" s="53">
        <f t="shared" si="132"/>
        <v>4.2875690988138031E-2</v>
      </c>
      <c r="Q53" s="53">
        <f t="shared" si="132"/>
        <v>1.2262026021947621</v>
      </c>
      <c r="R53" s="53">
        <f t="shared" si="132"/>
        <v>2.7698673780056744</v>
      </c>
      <c r="S53" s="53">
        <f t="shared" si="132"/>
        <v>4.2734666311543981</v>
      </c>
      <c r="T53" s="53">
        <f t="shared" si="132"/>
        <v>4.3386642110802081</v>
      </c>
      <c r="U53" s="53">
        <f t="shared" si="132"/>
        <v>3.3156241207915218</v>
      </c>
      <c r="V53" s="53">
        <f t="shared" si="132"/>
        <v>1.460101962427544</v>
      </c>
      <c r="W53" s="53">
        <f t="shared" ref="W53:AF53" si="133">(W50-W100)/W58</f>
        <v>3.989659295919707</v>
      </c>
      <c r="X53" s="53">
        <f t="shared" si="133"/>
        <v>5.3426654759185048</v>
      </c>
      <c r="Y53" s="53">
        <f t="shared" si="133"/>
        <v>6.8002533401694905</v>
      </c>
      <c r="Z53" s="53">
        <f t="shared" si="133"/>
        <v>6.4603810261711985</v>
      </c>
      <c r="AA53" s="53">
        <f t="shared" si="133"/>
        <v>3.8766000249179786</v>
      </c>
      <c r="AB53" s="53">
        <f t="shared" si="133"/>
        <v>-0.5421727652557089</v>
      </c>
      <c r="AC53" s="53">
        <f t="shared" si="133"/>
        <v>-1.211377632291754</v>
      </c>
      <c r="AD53" s="53">
        <f t="shared" si="133"/>
        <v>4.8070743991506495</v>
      </c>
      <c r="AE53" s="53">
        <f t="shared" si="133"/>
        <v>1.7606481072714859</v>
      </c>
      <c r="AF53" s="53">
        <f t="shared" si="133"/>
        <v>2.2906173325718067</v>
      </c>
      <c r="AG53" s="53"/>
      <c r="AH53" s="53">
        <f t="shared" ref="AH53:BM53" si="134">AH50/AH58</f>
        <v>7.4430679024723223E-2</v>
      </c>
      <c r="AI53" s="53">
        <f t="shared" si="134"/>
        <v>7.4871537830070389E-2</v>
      </c>
      <c r="AJ53" s="53">
        <f t="shared" si="134"/>
        <v>5.0636963919782001E-2</v>
      </c>
      <c r="AK53" s="53">
        <f t="shared" si="134"/>
        <v>5.2652080795459487E-2</v>
      </c>
      <c r="AL53" s="53">
        <f t="shared" si="134"/>
        <v>0.11544853906762972</v>
      </c>
      <c r="AM53" s="53">
        <f t="shared" si="134"/>
        <v>6.3042854801704282E-2</v>
      </c>
      <c r="AN53" s="53">
        <f t="shared" si="134"/>
        <v>4.7663857294820491E-2</v>
      </c>
      <c r="AO53" s="53">
        <f t="shared" si="134"/>
        <v>2.968788349832252E-2</v>
      </c>
      <c r="AP53" s="53">
        <f t="shared" si="134"/>
        <v>4.5099881531108374E-2</v>
      </c>
      <c r="AQ53" s="53">
        <f t="shared" si="134"/>
        <v>5.9395027962607642E-2</v>
      </c>
      <c r="AR53" s="53">
        <f t="shared" si="134"/>
        <v>4.6636552313514802E-2</v>
      </c>
      <c r="AS53" s="53">
        <f t="shared" si="134"/>
        <v>-5.1524700142305466E-2</v>
      </c>
      <c r="AT53" s="20">
        <f t="shared" si="134"/>
        <v>0.11271999349672812</v>
      </c>
      <c r="AU53" s="20">
        <f t="shared" si="134"/>
        <v>0.11181301967146619</v>
      </c>
      <c r="AV53" s="20">
        <f t="shared" si="134"/>
        <v>0.13294669199369522</v>
      </c>
      <c r="AW53" s="20">
        <f t="shared" si="134"/>
        <v>0.37650955208207143</v>
      </c>
      <c r="AX53" s="53">
        <f t="shared" si="134"/>
        <v>0.19932057681641707</v>
      </c>
      <c r="AY53" s="53">
        <f t="shared" si="134"/>
        <v>0.22249349927549178</v>
      </c>
      <c r="AZ53" s="53">
        <f t="shared" si="134"/>
        <v>0.23399960419552748</v>
      </c>
      <c r="BA53" s="53">
        <f t="shared" si="134"/>
        <v>0.1769680045623494</v>
      </c>
      <c r="BB53" s="53">
        <f t="shared" si="134"/>
        <v>0.2855618219559003</v>
      </c>
      <c r="BC53" s="53">
        <f t="shared" si="134"/>
        <v>0.19104309510166176</v>
      </c>
      <c r="BD53" s="53">
        <f t="shared" si="134"/>
        <v>0.33499208547684994</v>
      </c>
      <c r="BE53" s="53">
        <f t="shared" si="134"/>
        <v>0.18774103307023812</v>
      </c>
      <c r="BF53" s="53">
        <f t="shared" si="134"/>
        <v>0.12897672358247414</v>
      </c>
      <c r="BG53" s="53">
        <f t="shared" si="134"/>
        <v>7.4121869580997729E-2</v>
      </c>
      <c r="BH53" s="53">
        <f t="shared" si="134"/>
        <v>0.12212364568521807</v>
      </c>
      <c r="BI53" s="53">
        <f t="shared" si="134"/>
        <v>0.10412964035385568</v>
      </c>
      <c r="BJ53" s="53">
        <f t="shared" si="134"/>
        <v>0.20558033920102875</v>
      </c>
      <c r="BK53" s="53">
        <f t="shared" si="134"/>
        <v>0.19339527976238266</v>
      </c>
      <c r="BL53" s="53">
        <f t="shared" si="134"/>
        <v>0.18473131980807131</v>
      </c>
      <c r="BM53" s="53">
        <f t="shared" si="134"/>
        <v>0.23856793656471706</v>
      </c>
      <c r="BN53" s="53">
        <f t="shared" ref="BN53:CW53" si="135">BN50/BN58</f>
        <v>0.33550792171481819</v>
      </c>
      <c r="BO53" s="53">
        <f t="shared" si="135"/>
        <v>0.40819139991004921</v>
      </c>
      <c r="BP53" s="53">
        <f t="shared" si="135"/>
        <v>0.39446113625721885</v>
      </c>
      <c r="BQ53" s="53">
        <f t="shared" si="135"/>
        <v>0.28078063142817344</v>
      </c>
      <c r="BR53" s="53">
        <f t="shared" si="135"/>
        <v>0.15579695674747393</v>
      </c>
      <c r="BS53" s="53">
        <f t="shared" si="135"/>
        <v>0.1081468218442256</v>
      </c>
      <c r="BT53" s="53">
        <f t="shared" si="135"/>
        <v>0.27897734013524739</v>
      </c>
      <c r="BU53" s="53">
        <f t="shared" si="135"/>
        <v>8.7423951170210665E-2</v>
      </c>
      <c r="BV53" s="53">
        <f t="shared" si="135"/>
        <v>6.0138308201399572E-3</v>
      </c>
      <c r="BW53" s="53">
        <f t="shared" si="135"/>
        <v>2.5465482102930464E-2</v>
      </c>
      <c r="BX53" s="53">
        <f t="shared" si="135"/>
        <v>8.0523273021447836E-2</v>
      </c>
      <c r="BY53" s="53">
        <f t="shared" si="135"/>
        <v>6.440477364631618E-2</v>
      </c>
      <c r="BZ53" s="53">
        <f t="shared" si="135"/>
        <v>6.5012730179406605E-2</v>
      </c>
      <c r="CA53" s="53">
        <f t="shared" si="135"/>
        <v>5.9407107636092131E-2</v>
      </c>
      <c r="CB53" s="53">
        <f t="shared" si="135"/>
        <v>4.2718160377358538E-2</v>
      </c>
      <c r="CC53" s="53">
        <f t="shared" si="135"/>
        <v>-0.12404928954660673</v>
      </c>
      <c r="CD53" s="53">
        <f t="shared" si="135"/>
        <v>0.38346730138910567</v>
      </c>
      <c r="CE53" s="53">
        <f t="shared" si="135"/>
        <v>0.21535526391859872</v>
      </c>
      <c r="CF53" s="53">
        <f t="shared" si="135"/>
        <v>0.28548319166858105</v>
      </c>
      <c r="CG53" s="53">
        <f t="shared" si="135"/>
        <v>0.34239537418835031</v>
      </c>
      <c r="CH53" s="53">
        <f t="shared" si="135"/>
        <v>0.47859625328473332</v>
      </c>
      <c r="CI53" s="53">
        <f t="shared" si="135"/>
        <v>0.60852479408937532</v>
      </c>
      <c r="CJ53" s="53">
        <f t="shared" si="135"/>
        <v>0.7515105385316535</v>
      </c>
      <c r="CK53" s="53">
        <f t="shared" si="135"/>
        <v>0.92766726943942157</v>
      </c>
      <c r="CL53" s="53">
        <f t="shared" si="135"/>
        <v>1.0573604642284491</v>
      </c>
      <c r="CM53" s="53">
        <f t="shared" si="135"/>
        <v>1.0193547771672768</v>
      </c>
      <c r="CN53" s="53">
        <f t="shared" si="135"/>
        <v>1.0939200288663311</v>
      </c>
      <c r="CO53" s="53">
        <f t="shared" si="135"/>
        <v>1.1034332404405771</v>
      </c>
      <c r="CP53" s="53">
        <f t="shared" si="135"/>
        <v>1.0209723997538236</v>
      </c>
      <c r="CQ53" s="53">
        <f t="shared" si="135"/>
        <v>0.96195682910736113</v>
      </c>
      <c r="CR53" s="53">
        <f t="shared" si="135"/>
        <v>1.1750883408786288</v>
      </c>
      <c r="CS53" s="53">
        <f t="shared" si="135"/>
        <v>1.1787977632805213</v>
      </c>
      <c r="CT53" s="53">
        <f t="shared" si="135"/>
        <v>1.3649688530597286</v>
      </c>
      <c r="CU53" s="53">
        <f t="shared" si="135"/>
        <v>0.9746972216741363</v>
      </c>
      <c r="CV53" s="53">
        <f t="shared" si="135"/>
        <v>0.49653184060507966</v>
      </c>
      <c r="CW53" s="53">
        <f t="shared" si="135"/>
        <v>0.48196650722182216</v>
      </c>
      <c r="CX53" s="53">
        <f t="shared" ref="CX53:EP53" si="136">(CX50-CX100)/CX58</f>
        <v>0.58842014957384603</v>
      </c>
      <c r="CY53" s="53">
        <f t="shared" si="136"/>
        <v>0.43373897510327059</v>
      </c>
      <c r="CZ53" s="53">
        <f t="shared" si="136"/>
        <v>-0.34079148207438298</v>
      </c>
      <c r="DA53" s="53">
        <f t="shared" si="136"/>
        <v>0.77552977542735846</v>
      </c>
      <c r="DB53" s="53">
        <f t="shared" si="136"/>
        <v>0.96281014723880798</v>
      </c>
      <c r="DC53" s="53">
        <f t="shared" si="136"/>
        <v>0.90694783369400034</v>
      </c>
      <c r="DD53" s="53">
        <f t="shared" si="136"/>
        <v>1.00652669510222</v>
      </c>
      <c r="DE53" s="53">
        <f t="shared" si="136"/>
        <v>1.1129230938942103</v>
      </c>
      <c r="DF53" s="53">
        <f t="shared" si="136"/>
        <v>1.3219472735963529</v>
      </c>
      <c r="DG53" s="53">
        <f t="shared" si="136"/>
        <v>1.1847636690449546</v>
      </c>
      <c r="DH53" s="53">
        <f t="shared" si="136"/>
        <v>1.3771639382061318</v>
      </c>
      <c r="DI53" s="53">
        <f t="shared" si="136"/>
        <v>1.4612461012644049</v>
      </c>
      <c r="DJ53" s="53">
        <f t="shared" si="136"/>
        <v>1.4790991695527491</v>
      </c>
      <c r="DK53" s="53">
        <f t="shared" si="136"/>
        <v>1.3940585975915243</v>
      </c>
      <c r="DL53" s="53">
        <f t="shared" si="136"/>
        <v>2.4559590299296756</v>
      </c>
      <c r="DM53" s="53">
        <f t="shared" si="136"/>
        <v>1.4709458896693415</v>
      </c>
      <c r="DN53" s="53">
        <f t="shared" si="136"/>
        <v>1.5858791456754193</v>
      </c>
      <c r="DO53" s="53">
        <f t="shared" si="136"/>
        <v>1.5908820051154655</v>
      </c>
      <c r="DP53" s="53">
        <f t="shared" si="136"/>
        <v>1.7490506473898513</v>
      </c>
      <c r="DQ53" s="53">
        <f t="shared" si="136"/>
        <v>1.534345837145471</v>
      </c>
      <c r="DR53" s="53">
        <f t="shared" si="136"/>
        <v>1.8539272162656308</v>
      </c>
      <c r="DS53" s="53">
        <f t="shared" si="136"/>
        <v>1.3711260865553199</v>
      </c>
      <c r="DT53" s="53">
        <f t="shared" si="136"/>
        <v>0.83251435894126413</v>
      </c>
      <c r="DU53" s="53">
        <f t="shared" si="136"/>
        <v>-0.19145164284388425</v>
      </c>
      <c r="DV53" s="53">
        <f t="shared" si="136"/>
        <v>0.14520934608750224</v>
      </c>
      <c r="DW53" s="53">
        <f t="shared" si="136"/>
        <v>0.19104604207770159</v>
      </c>
      <c r="DX53" s="53">
        <f t="shared" si="136"/>
        <v>-0.2003850176312155</v>
      </c>
      <c r="DY53" s="53">
        <f t="shared" si="136"/>
        <v>-0.68025026146029044</v>
      </c>
      <c r="DZ53" s="20">
        <f t="shared" si="136"/>
        <v>-0.32857768113259905</v>
      </c>
      <c r="EA53" s="20">
        <f t="shared" si="136"/>
        <v>-0.4537650255607239</v>
      </c>
      <c r="EB53" s="20">
        <f t="shared" si="136"/>
        <v>-0.2049976052757615</v>
      </c>
      <c r="EC53" s="20">
        <f t="shared" si="136"/>
        <v>-0.22417762552031631</v>
      </c>
      <c r="ED53" s="20">
        <f t="shared" si="136"/>
        <v>4.5517077226270679</v>
      </c>
      <c r="EE53" s="53">
        <f t="shared" si="136"/>
        <v>-2.5833052475426006E-2</v>
      </c>
      <c r="EF53" s="53">
        <f t="shared" si="136"/>
        <v>6.5128802960925131E-2</v>
      </c>
      <c r="EG53" s="53">
        <f t="shared" si="136"/>
        <v>0.22995029672497985</v>
      </c>
      <c r="EH53" s="53">
        <f t="shared" si="136"/>
        <v>0.33539683356771488</v>
      </c>
      <c r="EI53" s="53">
        <f t="shared" si="136"/>
        <v>0.4177409027016854</v>
      </c>
      <c r="EJ53" s="53">
        <f t="shared" si="136"/>
        <v>0.47786432972573423</v>
      </c>
      <c r="EK53" s="53">
        <f t="shared" si="136"/>
        <v>0.52961390430426591</v>
      </c>
      <c r="EL53" s="53">
        <f t="shared" si="136"/>
        <v>0.60590462968308745</v>
      </c>
      <c r="EM53" s="53">
        <f t="shared" si="136"/>
        <v>0.57033108411670019</v>
      </c>
      <c r="EN53" s="53">
        <f t="shared" si="136"/>
        <v>0.55505377587690086</v>
      </c>
      <c r="EO53" s="53">
        <f t="shared" si="136"/>
        <v>0.55933559152953771</v>
      </c>
      <c r="EP53" s="53">
        <f t="shared" si="136"/>
        <v>0.54393060758872303</v>
      </c>
      <c r="EQ53" s="5"/>
      <c r="ER53" s="5"/>
      <c r="ES53" s="355">
        <f t="shared" si="18"/>
        <v>48</v>
      </c>
      <c r="ET53"/>
      <c r="EU53"/>
      <c r="EV53"/>
      <c r="EW53"/>
      <c r="EX53"/>
      <c r="EY53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</row>
    <row r="54" spans="1:257" s="4" customFormat="1" ht="11.45" customHeight="1" outlineLevel="1">
      <c r="A54" s="15"/>
      <c r="B54" s="63" t="s">
        <v>217</v>
      </c>
      <c r="C54" s="20"/>
      <c r="D54" s="20"/>
      <c r="E54" s="53">
        <f t="shared" ref="E54:AF54" si="137">(E42-E33)/E58</f>
        <v>0.73414037108651886</v>
      </c>
      <c r="F54" s="53">
        <f t="shared" si="137"/>
        <v>0.72738163499344677</v>
      </c>
      <c r="G54" s="53">
        <f t="shared" si="137"/>
        <v>0.71680388001304196</v>
      </c>
      <c r="H54" s="53">
        <f t="shared" si="137"/>
        <v>1.058343458890239</v>
      </c>
      <c r="I54" s="53">
        <f t="shared" si="137"/>
        <v>1.5415043215126283</v>
      </c>
      <c r="J54" s="53">
        <f t="shared" si="137"/>
        <v>1.6423079204983688</v>
      </c>
      <c r="K54" s="53">
        <f t="shared" si="137"/>
        <v>1.4462231768271876</v>
      </c>
      <c r="L54" s="53">
        <f t="shared" si="137"/>
        <v>1.8527131008294195</v>
      </c>
      <c r="M54" s="53">
        <f t="shared" si="137"/>
        <v>2.1527285708658317</v>
      </c>
      <c r="N54" s="53">
        <f t="shared" si="137"/>
        <v>0.99180266163472075</v>
      </c>
      <c r="O54" s="53">
        <f t="shared" si="137"/>
        <v>0.96197624318127894</v>
      </c>
      <c r="P54" s="53">
        <f t="shared" si="137"/>
        <v>1.0674450652135428</v>
      </c>
      <c r="Q54" s="53">
        <f t="shared" si="137"/>
        <v>1.9251353948455798</v>
      </c>
      <c r="R54" s="53">
        <f t="shared" si="137"/>
        <v>3.5602011480709956</v>
      </c>
      <c r="S54" s="53">
        <f t="shared" si="137"/>
        <v>4.9088802222053083</v>
      </c>
      <c r="T54" s="53">
        <f t="shared" si="137"/>
        <v>6.1175823122603932</v>
      </c>
      <c r="U54" s="53">
        <f t="shared" si="137"/>
        <v>5.4938284722873485</v>
      </c>
      <c r="V54" s="53">
        <f t="shared" si="137"/>
        <v>5.0410000698372803</v>
      </c>
      <c r="W54" s="53">
        <f t="shared" si="137"/>
        <v>6.8859200070043975</v>
      </c>
      <c r="X54" s="53">
        <f t="shared" si="137"/>
        <v>8.7897101820506265</v>
      </c>
      <c r="Y54" s="53">
        <f t="shared" si="137"/>
        <v>9.7955812556114097</v>
      </c>
      <c r="Z54" s="53">
        <f t="shared" si="137"/>
        <v>10.804593997382199</v>
      </c>
      <c r="AA54" s="53">
        <f t="shared" si="137"/>
        <v>8.1616469307049471</v>
      </c>
      <c r="AB54" s="53">
        <f t="shared" si="137"/>
        <v>4.1648731433428274</v>
      </c>
      <c r="AC54" s="53">
        <f t="shared" si="137"/>
        <v>3.7624705678949715</v>
      </c>
      <c r="AD54" s="53">
        <f t="shared" si="137"/>
        <v>5.1917253716170109</v>
      </c>
      <c r="AE54" s="53">
        <f t="shared" si="137"/>
        <v>6.7234055765693537</v>
      </c>
      <c r="AF54" s="53">
        <f t="shared" si="137"/>
        <v>7.1925428511074081</v>
      </c>
      <c r="AG54" s="241"/>
      <c r="AH54" s="53">
        <f t="shared" ref="AH54:BM54" si="138">(AH42-AH33)/AH58</f>
        <v>0.19756143691152953</v>
      </c>
      <c r="AI54" s="53">
        <f t="shared" si="138"/>
        <v>0.20322657182224305</v>
      </c>
      <c r="AJ54" s="53">
        <f t="shared" si="138"/>
        <v>0.17306525105254233</v>
      </c>
      <c r="AK54" s="53">
        <f t="shared" si="138"/>
        <v>0.1604267453200387</v>
      </c>
      <c r="AL54" s="53">
        <f t="shared" si="138"/>
        <v>0.19565618844386087</v>
      </c>
      <c r="AM54" s="53">
        <f t="shared" si="138"/>
        <v>0.20074360865290061</v>
      </c>
      <c r="AN54" s="53">
        <f t="shared" si="138"/>
        <v>0.17385033957941259</v>
      </c>
      <c r="AO54" s="53">
        <f t="shared" si="138"/>
        <v>0.15720363249611344</v>
      </c>
      <c r="AP54" s="53">
        <f t="shared" si="138"/>
        <v>0.18430082928224201</v>
      </c>
      <c r="AQ54" s="53">
        <f t="shared" si="138"/>
        <v>0.18254760501341274</v>
      </c>
      <c r="AR54" s="53">
        <f t="shared" si="138"/>
        <v>0.17999964676622415</v>
      </c>
      <c r="AS54" s="53">
        <f t="shared" si="138"/>
        <v>0.16999390119943061</v>
      </c>
      <c r="AT54" s="20">
        <f t="shared" si="138"/>
        <v>0.23412795187578761</v>
      </c>
      <c r="AU54" s="20">
        <f t="shared" si="138"/>
        <v>0.24573108902859453</v>
      </c>
      <c r="AV54" s="20">
        <f t="shared" si="138"/>
        <v>0.26701491330881461</v>
      </c>
      <c r="AW54" s="20">
        <f t="shared" si="138"/>
        <v>0.3111999676885176</v>
      </c>
      <c r="AX54" s="53">
        <f t="shared" si="138"/>
        <v>0.35255724586007448</v>
      </c>
      <c r="AY54" s="53">
        <f t="shared" si="138"/>
        <v>0.39497608130371781</v>
      </c>
      <c r="AZ54" s="53">
        <f t="shared" si="138"/>
        <v>0.41943399960419558</v>
      </c>
      <c r="BA54" s="53">
        <f t="shared" si="138"/>
        <v>0.37460423590489933</v>
      </c>
      <c r="BB54" s="53">
        <f t="shared" si="138"/>
        <v>0.43219559002075747</v>
      </c>
      <c r="BC54" s="53">
        <f t="shared" si="138"/>
        <v>0.38059436068683433</v>
      </c>
      <c r="BD54" s="53">
        <f t="shared" si="138"/>
        <v>0.41467748318163822</v>
      </c>
      <c r="BE54" s="53">
        <f t="shared" si="138"/>
        <v>0.41469677290438733</v>
      </c>
      <c r="BF54" s="53">
        <f t="shared" si="138"/>
        <v>0.3064493395618556</v>
      </c>
      <c r="BG54" s="53">
        <f t="shared" si="138"/>
        <v>0.41056377787635606</v>
      </c>
      <c r="BH54" s="53">
        <f t="shared" si="138"/>
        <v>0.36854384875733476</v>
      </c>
      <c r="BI54" s="53">
        <f t="shared" si="138"/>
        <v>0.36070451504682838</v>
      </c>
      <c r="BJ54" s="53">
        <f t="shared" si="138"/>
        <v>0.45057672212844618</v>
      </c>
      <c r="BK54" s="53">
        <f t="shared" si="138"/>
        <v>0.41120454363008752</v>
      </c>
      <c r="BL54" s="53">
        <f t="shared" si="138"/>
        <v>0.45064407589543465</v>
      </c>
      <c r="BM54" s="53">
        <f t="shared" si="138"/>
        <v>0.53963711520499202</v>
      </c>
      <c r="BN54" s="53">
        <f t="shared" ref="BN54:CS54" si="139">(BN42-BN33)/BN58</f>
        <v>0.51375146239416225</v>
      </c>
      <c r="BO54" s="53">
        <f t="shared" si="139"/>
        <v>0.63023328575060145</v>
      </c>
      <c r="BP54" s="53">
        <f t="shared" si="139"/>
        <v>0.58876034025284862</v>
      </c>
      <c r="BQ54" s="53">
        <f t="shared" si="139"/>
        <v>0.41741768953786768</v>
      </c>
      <c r="BR54" s="53">
        <f t="shared" si="139"/>
        <v>0.3191022005671153</v>
      </c>
      <c r="BS54" s="53">
        <f t="shared" si="139"/>
        <v>0.22730528200537151</v>
      </c>
      <c r="BT54" s="53">
        <f t="shared" si="139"/>
        <v>0.22076561078815202</v>
      </c>
      <c r="BU54" s="53">
        <f t="shared" si="139"/>
        <v>0.22516012365985613</v>
      </c>
      <c r="BV54" s="53">
        <f t="shared" si="139"/>
        <v>0.18668634949571014</v>
      </c>
      <c r="BW54" s="53">
        <f t="shared" si="139"/>
        <v>0.2227685549773443</v>
      </c>
      <c r="BX54" s="53">
        <f t="shared" si="139"/>
        <v>0.29280203626605628</v>
      </c>
      <c r="BY54" s="53">
        <f t="shared" si="139"/>
        <v>0.25944669099516715</v>
      </c>
      <c r="BZ54" s="53">
        <f t="shared" si="139"/>
        <v>0.25792971756764749</v>
      </c>
      <c r="CA54" s="53">
        <f t="shared" si="139"/>
        <v>0.25314136691354139</v>
      </c>
      <c r="CB54" s="53">
        <f t="shared" si="139"/>
        <v>0.27744752358490571</v>
      </c>
      <c r="CC54" s="53">
        <f t="shared" si="139"/>
        <v>0.27888931470235651</v>
      </c>
      <c r="CD54" s="53">
        <f t="shared" si="139"/>
        <v>0.40007023567972533</v>
      </c>
      <c r="CE54" s="53">
        <f t="shared" si="139"/>
        <v>0.44081199051858716</v>
      </c>
      <c r="CF54" s="53">
        <f t="shared" si="139"/>
        <v>0.50624310820124052</v>
      </c>
      <c r="CG54" s="53">
        <f t="shared" si="139"/>
        <v>0.57531219489075325</v>
      </c>
      <c r="CH54" s="53">
        <f t="shared" si="139"/>
        <v>0.67233241973006308</v>
      </c>
      <c r="CI54" s="53">
        <f t="shared" si="139"/>
        <v>0.80707588065665214</v>
      </c>
      <c r="CJ54" s="53">
        <f t="shared" si="139"/>
        <v>0.91821714167582902</v>
      </c>
      <c r="CK54" s="53">
        <f t="shared" si="139"/>
        <v>1.1581143572935506</v>
      </c>
      <c r="CL54" s="53">
        <f t="shared" si="139"/>
        <v>1.1812846453386268</v>
      </c>
      <c r="CM54" s="53">
        <f t="shared" si="139"/>
        <v>1.1036313339438337</v>
      </c>
      <c r="CN54" s="53">
        <f t="shared" si="139"/>
        <v>1.2287489673639524</v>
      </c>
      <c r="CO54" s="53">
        <f t="shared" si="139"/>
        <v>1.3952052171605149</v>
      </c>
      <c r="CP54" s="53">
        <f t="shared" si="139"/>
        <v>1.4034858684845912</v>
      </c>
      <c r="CQ54" s="53">
        <f t="shared" si="139"/>
        <v>1.4075253087001598</v>
      </c>
      <c r="CR54" s="53">
        <f t="shared" si="139"/>
        <v>1.5835969968787789</v>
      </c>
      <c r="CS54" s="53">
        <f t="shared" si="139"/>
        <v>1.7199597390493937</v>
      </c>
      <c r="CT54" s="53">
        <f t="shared" ref="CT54:DY54" si="140">(CT42-CT33)/CT58</f>
        <v>1.8726553353816087</v>
      </c>
      <c r="CU54" s="53">
        <f t="shared" si="140"/>
        <v>1.499346055190687</v>
      </c>
      <c r="CV54" s="53">
        <f t="shared" si="140"/>
        <v>1.0554732329236447</v>
      </c>
      <c r="CW54" s="53">
        <f t="shared" si="140"/>
        <v>1.0686826610751765</v>
      </c>
      <c r="CX54" s="53">
        <f t="shared" si="140"/>
        <v>1.1710802141032104</v>
      </c>
      <c r="CY54" s="53">
        <f t="shared" si="140"/>
        <v>1.2222112128316769</v>
      </c>
      <c r="CZ54" s="53">
        <f t="shared" si="140"/>
        <v>1.1971738766241016</v>
      </c>
      <c r="DA54" s="53">
        <f t="shared" si="140"/>
        <v>1.4504487728576216</v>
      </c>
      <c r="DB54" s="53">
        <f t="shared" si="140"/>
        <v>1.6301056076846041</v>
      </c>
      <c r="DC54" s="53">
        <f t="shared" si="140"/>
        <v>1.6277890326442284</v>
      </c>
      <c r="DD54" s="53">
        <f t="shared" si="140"/>
        <v>1.7318672782762159</v>
      </c>
      <c r="DE54" s="53">
        <f t="shared" si="140"/>
        <v>1.8952156606791564</v>
      </c>
      <c r="DF54" s="53">
        <f t="shared" si="140"/>
        <v>2.09160063609957</v>
      </c>
      <c r="DG54" s="53">
        <f t="shared" si="140"/>
        <v>1.9737624034775587</v>
      </c>
      <c r="DH54" s="53">
        <f t="shared" si="140"/>
        <v>2.2436061793866715</v>
      </c>
      <c r="DI54" s="53">
        <f t="shared" si="140"/>
        <v>2.4859309340156512</v>
      </c>
      <c r="DJ54" s="53">
        <f t="shared" si="140"/>
        <v>2.393855900644247</v>
      </c>
      <c r="DK54" s="53">
        <f t="shared" si="140"/>
        <v>2.4126189857680962</v>
      </c>
      <c r="DL54" s="53">
        <f t="shared" si="140"/>
        <v>2.5379559961405005</v>
      </c>
      <c r="DM54" s="53">
        <f t="shared" si="140"/>
        <v>2.4509542186068463</v>
      </c>
      <c r="DN54" s="53">
        <f t="shared" si="140"/>
        <v>2.6066112049513248</v>
      </c>
      <c r="DO54" s="53">
        <f t="shared" si="140"/>
        <v>2.5736562737782021</v>
      </c>
      <c r="DP54" s="53">
        <f t="shared" si="140"/>
        <v>2.7997264034405442</v>
      </c>
      <c r="DQ54" s="53">
        <f t="shared" si="140"/>
        <v>2.823732845379689</v>
      </c>
      <c r="DR54" s="53">
        <f t="shared" si="140"/>
        <v>2.9725672758009245</v>
      </c>
      <c r="DS54" s="53">
        <f t="shared" si="140"/>
        <v>2.280384183814709</v>
      </c>
      <c r="DT54" s="53">
        <f t="shared" si="140"/>
        <v>1.6081955213010166</v>
      </c>
      <c r="DU54" s="53">
        <f t="shared" si="140"/>
        <v>1.2924781882309255</v>
      </c>
      <c r="DV54" s="53">
        <f t="shared" si="140"/>
        <v>1.3576926269959138</v>
      </c>
      <c r="DW54" s="53">
        <f t="shared" si="140"/>
        <v>1.0368041598288864</v>
      </c>
      <c r="DX54" s="53">
        <f t="shared" si="140"/>
        <v>0.81513313650541031</v>
      </c>
      <c r="DY54" s="53">
        <f t="shared" si="140"/>
        <v>0.95420002406360216</v>
      </c>
      <c r="DZ54" s="53">
        <f t="shared" ref="DZ54:EP54" si="141">(DZ42-DZ33)/DZ58</f>
        <v>0.83878051263070263</v>
      </c>
      <c r="EA54" s="53">
        <f t="shared" si="141"/>
        <v>0.77495233270391006</v>
      </c>
      <c r="EB54" s="53">
        <f t="shared" si="141"/>
        <v>1.0029230372471727</v>
      </c>
      <c r="EC54" s="53">
        <f t="shared" si="141"/>
        <v>1.1453029800714618</v>
      </c>
      <c r="ED54" s="53">
        <f t="shared" si="141"/>
        <v>1.2662762179751585</v>
      </c>
      <c r="EE54" s="53">
        <f t="shared" si="141"/>
        <v>1.1879017857330794</v>
      </c>
      <c r="EF54" s="53">
        <f t="shared" si="141"/>
        <v>1.28152659251403</v>
      </c>
      <c r="EG54" s="53">
        <f t="shared" si="141"/>
        <v>1.4546585722633734</v>
      </c>
      <c r="EH54" s="53">
        <f t="shared" si="141"/>
        <v>1.5677166829888431</v>
      </c>
      <c r="EI54" s="53">
        <f t="shared" si="141"/>
        <v>1.6651444688161474</v>
      </c>
      <c r="EJ54" s="53">
        <f t="shared" si="141"/>
        <v>1.721848955843986</v>
      </c>
      <c r="EK54" s="53">
        <f t="shared" si="141"/>
        <v>1.7686624937262971</v>
      </c>
      <c r="EL54" s="53">
        <f t="shared" si="141"/>
        <v>1.8400639492108459</v>
      </c>
      <c r="EM54" s="53">
        <f t="shared" si="141"/>
        <v>1.7986839992190564</v>
      </c>
      <c r="EN54" s="53">
        <f t="shared" si="141"/>
        <v>1.7776321145824419</v>
      </c>
      <c r="EO54" s="53">
        <f t="shared" si="141"/>
        <v>1.7761734235367548</v>
      </c>
      <c r="EP54" s="53">
        <f t="shared" si="141"/>
        <v>1.7547898376011823</v>
      </c>
      <c r="EQ54" s="81"/>
      <c r="ER54" s="81"/>
      <c r="ES54" s="355">
        <f t="shared" si="18"/>
        <v>49</v>
      </c>
      <c r="ET54"/>
      <c r="EU54"/>
      <c r="EV54"/>
      <c r="EW54"/>
      <c r="EX54"/>
      <c r="EY54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</row>
    <row r="55" spans="1:257" s="4" customFormat="1" ht="11.45" customHeight="1" outlineLevel="1">
      <c r="A55" s="15"/>
      <c r="B55" s="299" t="s">
        <v>216</v>
      </c>
      <c r="C55" s="20"/>
      <c r="D55" s="20"/>
      <c r="E55" s="298">
        <f>SUM(AH55:AK55)</f>
        <v>0.12</v>
      </c>
      <c r="F55" s="298">
        <f>SUM(AL55:AO55)</f>
        <v>0.1225</v>
      </c>
      <c r="G55" s="298">
        <f>SUM(AP55:AS55)</f>
        <v>0.125</v>
      </c>
      <c r="H55" s="298">
        <f>SUM(AT55:AW55)</f>
        <v>0.12625</v>
      </c>
      <c r="I55" s="53">
        <f>SUM(AX55:BA55)</f>
        <v>0.13</v>
      </c>
      <c r="J55" s="53">
        <f>SUM(BB55:BE55)</f>
        <v>0.13750000000000001</v>
      </c>
      <c r="K55" s="53">
        <f>SUM(BF55:BI55)</f>
        <v>0.14000000000000001</v>
      </c>
      <c r="L55" s="53">
        <f>SUM(BJ55:BM55)</f>
        <v>0.14249999999999999</v>
      </c>
      <c r="M55" s="53">
        <f>SUM(BN55:BQ55)</f>
        <v>0.15</v>
      </c>
      <c r="N55" s="53">
        <f>SUM(BR55:BU55)</f>
        <v>0.1525</v>
      </c>
      <c r="O55" s="53">
        <f>SUM(BV55:BY55)</f>
        <v>0.16</v>
      </c>
      <c r="P55" s="53">
        <f>SUM(BZ55:CC55)</f>
        <v>0.16125</v>
      </c>
      <c r="Q55" s="53">
        <f>SUM(CD55:CG55)</f>
        <v>0.16500000000000001</v>
      </c>
      <c r="R55" s="53">
        <f>SUM(CH55:CK55)</f>
        <v>0.17249999999999999</v>
      </c>
      <c r="S55" s="53">
        <f>SUM(CL55:CO55)</f>
        <v>0.18</v>
      </c>
      <c r="T55" s="53">
        <f>SUM(CP55:CS55)</f>
        <v>0.185</v>
      </c>
      <c r="U55" s="53">
        <f>SUM(CT55:CW55)</f>
        <v>0.2</v>
      </c>
      <c r="V55" s="53">
        <f>SUM(CX55:DA55)</f>
        <v>0.22</v>
      </c>
      <c r="W55" s="53">
        <f t="shared" ref="W55:AF55" si="142">SUMIF($AH$5:$ER$5,W$5,$AH55:$ER55)</f>
        <v>0.26</v>
      </c>
      <c r="X55" s="53">
        <f t="shared" si="142"/>
        <v>0.28000000000000003</v>
      </c>
      <c r="Y55" s="53">
        <f t="shared" si="142"/>
        <v>1.22</v>
      </c>
      <c r="Z55" s="53">
        <f t="shared" si="142"/>
        <v>2.5</v>
      </c>
      <c r="AA55" s="53">
        <f t="shared" si="142"/>
        <v>2.75</v>
      </c>
      <c r="AB55" s="53">
        <f t="shared" si="142"/>
        <v>2.7750000000000004</v>
      </c>
      <c r="AC55" s="20">
        <f t="shared" si="142"/>
        <v>2.8</v>
      </c>
      <c r="AD55" s="53">
        <f t="shared" si="142"/>
        <v>2.8</v>
      </c>
      <c r="AE55" s="53">
        <f t="shared" si="142"/>
        <v>2.8</v>
      </c>
      <c r="AF55" s="53">
        <f t="shared" si="142"/>
        <v>2.8</v>
      </c>
      <c r="AG55" s="53"/>
      <c r="AH55" s="53">
        <f>0.12/4</f>
        <v>0.03</v>
      </c>
      <c r="AI55" s="53">
        <f>0.12/4</f>
        <v>0.03</v>
      </c>
      <c r="AJ55" s="53">
        <f>0.12/4</f>
        <v>0.03</v>
      </c>
      <c r="AK55" s="53">
        <f>0.48/4-SUM(AH55:AJ55)</f>
        <v>0.03</v>
      </c>
      <c r="AL55" s="53">
        <f>0.12/4</f>
        <v>0.03</v>
      </c>
      <c r="AM55" s="53">
        <f>0.12/4</f>
        <v>0.03</v>
      </c>
      <c r="AN55" s="53">
        <f>0.12/4</f>
        <v>0.03</v>
      </c>
      <c r="AO55" s="53">
        <f>0.49/4-SUM(AL55:AN55)</f>
        <v>3.2500000000000001E-2</v>
      </c>
      <c r="AP55" s="53">
        <f>0.125/4</f>
        <v>3.125E-2</v>
      </c>
      <c r="AQ55" s="53">
        <f>0.125/4</f>
        <v>3.125E-2</v>
      </c>
      <c r="AR55" s="53">
        <f>0.125/4</f>
        <v>3.125E-2</v>
      </c>
      <c r="AS55" s="53">
        <f>0.5/4-SUM(AP55:AR55)</f>
        <v>3.125E-2</v>
      </c>
      <c r="AT55" s="20">
        <f>0.125/4</f>
        <v>3.125E-2</v>
      </c>
      <c r="AU55" s="20">
        <f>0.125/4</f>
        <v>3.125E-2</v>
      </c>
      <c r="AV55" s="20">
        <f>0.125/4</f>
        <v>3.125E-2</v>
      </c>
      <c r="AW55" s="20">
        <f>0.2525/2-SUM(AT55:AV55)</f>
        <v>3.2500000000000001E-2</v>
      </c>
      <c r="AX55" s="53">
        <f>0.065/2</f>
        <v>3.2500000000000001E-2</v>
      </c>
      <c r="AY55" s="53">
        <f>0.065/2</f>
        <v>3.2500000000000001E-2</v>
      </c>
      <c r="AZ55" s="53">
        <f>0.065/2</f>
        <v>3.2500000000000001E-2</v>
      </c>
      <c r="BA55" s="53">
        <f>0.26/2-SUM(AX55:AZ55)</f>
        <v>3.2500000000000001E-2</v>
      </c>
      <c r="BB55" s="53">
        <f>0.07/2</f>
        <v>3.5000000000000003E-2</v>
      </c>
      <c r="BC55" s="53">
        <f>0.07/2</f>
        <v>3.5000000000000003E-2</v>
      </c>
      <c r="BD55" s="53">
        <f>0.07/2</f>
        <v>3.5000000000000003E-2</v>
      </c>
      <c r="BE55" s="53">
        <f>0.275/2-SUM(BB55:BD55)</f>
        <v>3.2500000000000001E-2</v>
      </c>
      <c r="BF55" s="53">
        <f>0.07/2</f>
        <v>3.5000000000000003E-2</v>
      </c>
      <c r="BG55" s="53">
        <f>0.07/2</f>
        <v>3.5000000000000003E-2</v>
      </c>
      <c r="BH55" s="53">
        <f>0.07/2</f>
        <v>3.5000000000000003E-2</v>
      </c>
      <c r="BI55" s="53">
        <f>0.28/2-SUM(BF55:BH55)</f>
        <v>3.5000000000000003E-2</v>
      </c>
      <c r="BJ55" s="53">
        <f>0.07/2</f>
        <v>3.5000000000000003E-2</v>
      </c>
      <c r="BK55" s="53">
        <f>0.07/2</f>
        <v>3.5000000000000003E-2</v>
      </c>
      <c r="BL55" s="53">
        <f>0.075/2</f>
        <v>3.7499999999999999E-2</v>
      </c>
      <c r="BM55" s="53">
        <f>(0.285/2)-SUM(BJ55:BL55)</f>
        <v>3.4999999999999976E-2</v>
      </c>
      <c r="BN55" s="53">
        <f>0.075/2</f>
        <v>3.7499999999999999E-2</v>
      </c>
      <c r="BO55" s="53">
        <f>0.075/2</f>
        <v>3.7499999999999999E-2</v>
      </c>
      <c r="BP55" s="53">
        <f>0.075/2</f>
        <v>3.7499999999999999E-2</v>
      </c>
      <c r="BQ55" s="53">
        <f>(0.3/2)-SUM(BN55:BP55)</f>
        <v>3.7500000000000006E-2</v>
      </c>
      <c r="BR55" s="53">
        <f>0.075/2</f>
        <v>3.7499999999999999E-2</v>
      </c>
      <c r="BS55" s="53">
        <f>0.075/2</f>
        <v>3.7499999999999999E-2</v>
      </c>
      <c r="BT55" s="53">
        <f>0.08/2</f>
        <v>0.04</v>
      </c>
      <c r="BU55" s="53">
        <f>(0.305/2)-SUM(BR55:BT55)</f>
        <v>3.7500000000000006E-2</v>
      </c>
      <c r="BV55" s="53">
        <f>0.08/2</f>
        <v>0.04</v>
      </c>
      <c r="BW55" s="53">
        <f>0.08/2</f>
        <v>0.04</v>
      </c>
      <c r="BX55" s="53">
        <f>0.08/2</f>
        <v>0.04</v>
      </c>
      <c r="BY55" s="53">
        <f>(0.32/2)-SUM(BV55:BX55)</f>
        <v>4.0000000000000008E-2</v>
      </c>
      <c r="BZ55" s="53">
        <f>0.08/2</f>
        <v>0.04</v>
      </c>
      <c r="CA55" s="53">
        <f>0.08/2</f>
        <v>0.04</v>
      </c>
      <c r="CB55" s="53">
        <f>0.0825/2</f>
        <v>4.1250000000000002E-2</v>
      </c>
      <c r="CC55" s="53">
        <f>0.3225/2-SUM(BZ55:CB55)</f>
        <v>4.0000000000000008E-2</v>
      </c>
      <c r="CD55" s="53">
        <f>0.0825/2</f>
        <v>4.1250000000000002E-2</v>
      </c>
      <c r="CE55" s="53">
        <f>0.0825/2</f>
        <v>4.1250000000000002E-2</v>
      </c>
      <c r="CF55" s="53">
        <v>4.1250000000000002E-2</v>
      </c>
      <c r="CG55" s="53">
        <f>0.165-SUM(CD55:CF55)</f>
        <v>4.1250000000000009E-2</v>
      </c>
      <c r="CH55" s="53">
        <v>4.1250000000000002E-2</v>
      </c>
      <c r="CI55" s="53">
        <v>4.1250000000000002E-2</v>
      </c>
      <c r="CJ55" s="53">
        <v>4.4999999999999998E-2</v>
      </c>
      <c r="CK55" s="53">
        <f>0.1725-SUM(CH55:CJ55)</f>
        <v>4.4999999999999984E-2</v>
      </c>
      <c r="CL55" s="53">
        <v>4.4999999999999998E-2</v>
      </c>
      <c r="CM55" s="53">
        <v>4.4999999999999998E-2</v>
      </c>
      <c r="CN55" s="53">
        <v>4.4999999999999998E-2</v>
      </c>
      <c r="CO55" s="53">
        <f>0.18-SUM(CL55:CN55)</f>
        <v>4.4999999999999984E-2</v>
      </c>
      <c r="CP55" s="53">
        <v>4.4999999999999998E-2</v>
      </c>
      <c r="CQ55" s="53">
        <v>4.4999999999999998E-2</v>
      </c>
      <c r="CR55" s="53">
        <v>0.05</v>
      </c>
      <c r="CS55" s="53">
        <f>0.185-SUM(CP55:CR55)</f>
        <v>4.4999999999999984E-2</v>
      </c>
      <c r="CT55" s="53">
        <v>0.05</v>
      </c>
      <c r="CU55" s="53">
        <v>0.05</v>
      </c>
      <c r="CV55" s="53">
        <v>0.05</v>
      </c>
      <c r="CW55" s="53">
        <v>0.05</v>
      </c>
      <c r="CX55" s="53">
        <v>0.05</v>
      </c>
      <c r="CY55" s="53">
        <v>0.05</v>
      </c>
      <c r="CZ55" s="53">
        <v>0.06</v>
      </c>
      <c r="DA55" s="53">
        <v>0.06</v>
      </c>
      <c r="DB55" s="53">
        <v>0.06</v>
      </c>
      <c r="DC55" s="53">
        <v>0.06</v>
      </c>
      <c r="DD55" s="53">
        <v>7.0000000000000007E-2</v>
      </c>
      <c r="DE55" s="53">
        <v>7.0000000000000007E-2</v>
      </c>
      <c r="DF55" s="53">
        <v>7.0000000000000007E-2</v>
      </c>
      <c r="DG55" s="53">
        <v>7.0000000000000007E-2</v>
      </c>
      <c r="DH55" s="53">
        <v>7.0000000000000007E-2</v>
      </c>
      <c r="DI55" s="53">
        <v>7.0000000000000007E-2</v>
      </c>
      <c r="DJ55" s="53">
        <v>7.0000000000000007E-2</v>
      </c>
      <c r="DK55" s="297">
        <v>0.15</v>
      </c>
      <c r="DL55" s="297">
        <v>0.5</v>
      </c>
      <c r="DM55" s="297">
        <v>0.5</v>
      </c>
      <c r="DN55" s="297">
        <v>0.5</v>
      </c>
      <c r="DO55" s="297">
        <v>0.625</v>
      </c>
      <c r="DP55" s="297">
        <v>0.6875</v>
      </c>
      <c r="DQ55" s="297">
        <v>0.6875</v>
      </c>
      <c r="DR55" s="297">
        <v>0.6875</v>
      </c>
      <c r="DS55" s="297">
        <v>0.6875</v>
      </c>
      <c r="DT55" s="297">
        <v>0.6875</v>
      </c>
      <c r="DU55" s="297">
        <v>0.6875</v>
      </c>
      <c r="DV55" s="297">
        <v>0.6875</v>
      </c>
      <c r="DW55" s="297">
        <v>0.6875</v>
      </c>
      <c r="DX55" s="297">
        <v>0.7</v>
      </c>
      <c r="DY55" s="297">
        <v>0.7</v>
      </c>
      <c r="DZ55" s="297">
        <v>0.7</v>
      </c>
      <c r="EA55" s="297">
        <v>0.7</v>
      </c>
      <c r="EB55" s="297">
        <v>0.7</v>
      </c>
      <c r="EC55" s="297">
        <f t="shared" ref="EC55:EP55" si="143">EB55</f>
        <v>0.7</v>
      </c>
      <c r="ED55" s="297">
        <f t="shared" si="143"/>
        <v>0.7</v>
      </c>
      <c r="EE55" s="297">
        <f t="shared" si="143"/>
        <v>0.7</v>
      </c>
      <c r="EF55" s="297">
        <f t="shared" si="143"/>
        <v>0.7</v>
      </c>
      <c r="EG55" s="297">
        <f t="shared" si="143"/>
        <v>0.7</v>
      </c>
      <c r="EH55" s="297">
        <f t="shared" si="143"/>
        <v>0.7</v>
      </c>
      <c r="EI55" s="297">
        <f t="shared" si="143"/>
        <v>0.7</v>
      </c>
      <c r="EJ55" s="297">
        <f t="shared" si="143"/>
        <v>0.7</v>
      </c>
      <c r="EK55" s="297">
        <f t="shared" si="143"/>
        <v>0.7</v>
      </c>
      <c r="EL55" s="297">
        <f t="shared" si="143"/>
        <v>0.7</v>
      </c>
      <c r="EM55" s="297">
        <f t="shared" si="143"/>
        <v>0.7</v>
      </c>
      <c r="EN55" s="297">
        <f t="shared" si="143"/>
        <v>0.7</v>
      </c>
      <c r="EO55" s="297">
        <f t="shared" si="143"/>
        <v>0.7</v>
      </c>
      <c r="EP55" s="297">
        <f t="shared" si="143"/>
        <v>0.7</v>
      </c>
      <c r="EQ55" s="167"/>
      <c r="ER55" s="167"/>
      <c r="ES55" s="355">
        <f t="shared" si="18"/>
        <v>50</v>
      </c>
      <c r="ET55"/>
      <c r="EU55"/>
      <c r="EV55"/>
      <c r="EW55"/>
      <c r="EX55"/>
      <c r="EY55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</row>
    <row r="56" spans="1:257" s="4" customFormat="1" ht="11.45" customHeight="1" outlineLevel="1">
      <c r="A56" s="15"/>
      <c r="B56" s="63" t="s">
        <v>215</v>
      </c>
      <c r="C56" s="222"/>
      <c r="D56" s="222"/>
      <c r="E56" s="25">
        <f t="shared" ref="E56:AF56" si="144">E55/E54</f>
        <v>0.1634564787962845</v>
      </c>
      <c r="F56" s="25">
        <f t="shared" si="144"/>
        <v>0.16841228057827393</v>
      </c>
      <c r="G56" s="25">
        <f t="shared" si="144"/>
        <v>0.17438521677327651</v>
      </c>
      <c r="H56" s="25">
        <f t="shared" si="144"/>
        <v>0.11929019727904173</v>
      </c>
      <c r="I56" s="25">
        <f t="shared" si="144"/>
        <v>8.4333205029509889E-2</v>
      </c>
      <c r="J56" s="25">
        <f t="shared" si="144"/>
        <v>8.3723641762791207E-2</v>
      </c>
      <c r="K56" s="25">
        <f t="shared" si="144"/>
        <v>9.6803869723026098E-2</v>
      </c>
      <c r="L56" s="25">
        <f t="shared" si="144"/>
        <v>7.6914229157340031E-2</v>
      </c>
      <c r="M56" s="25">
        <f t="shared" si="144"/>
        <v>6.9679012036185178E-2</v>
      </c>
      <c r="N56" s="25">
        <f t="shared" si="144"/>
        <v>0.15376042624108777</v>
      </c>
      <c r="O56" s="25">
        <f t="shared" si="144"/>
        <v>0.16632427373765082</v>
      </c>
      <c r="P56" s="25">
        <f t="shared" si="144"/>
        <v>0.15106163797547922</v>
      </c>
      <c r="Q56" s="25">
        <f t="shared" si="144"/>
        <v>8.5708257425309603E-2</v>
      </c>
      <c r="R56" s="25">
        <f t="shared" si="144"/>
        <v>4.8452318513931364E-2</v>
      </c>
      <c r="S56" s="25">
        <f t="shared" si="144"/>
        <v>3.6668240383167308E-2</v>
      </c>
      <c r="T56" s="25">
        <f t="shared" si="144"/>
        <v>3.024070467008463E-2</v>
      </c>
      <c r="U56" s="25">
        <f t="shared" si="144"/>
        <v>3.6404485689508659E-2</v>
      </c>
      <c r="V56" s="25">
        <f t="shared" si="144"/>
        <v>4.3642133892511814E-2</v>
      </c>
      <c r="W56" s="25">
        <f t="shared" si="144"/>
        <v>3.7758208015127463E-2</v>
      </c>
      <c r="X56" s="25">
        <f t="shared" si="144"/>
        <v>3.1855430293001585E-2</v>
      </c>
      <c r="Y56" s="25">
        <f t="shared" si="144"/>
        <v>0.12454595272752411</v>
      </c>
      <c r="Z56" s="25">
        <f t="shared" si="144"/>
        <v>0.23138305804047007</v>
      </c>
      <c r="AA56" s="25">
        <f t="shared" si="144"/>
        <v>0.33694179904477611</v>
      </c>
      <c r="AB56" s="25">
        <f t="shared" si="144"/>
        <v>0.66628680021997466</v>
      </c>
      <c r="AC56" s="25">
        <f t="shared" si="144"/>
        <v>0.74419186794238368</v>
      </c>
      <c r="AD56" s="25">
        <f t="shared" si="144"/>
        <v>0.53931974431997232</v>
      </c>
      <c r="AE56" s="25">
        <f t="shared" si="144"/>
        <v>0.41645561436273071</v>
      </c>
      <c r="AF56" s="25">
        <f t="shared" si="144"/>
        <v>0.38929208458853948</v>
      </c>
      <c r="AG56" s="25"/>
      <c r="AH56" s="25">
        <f t="shared" ref="AH56:BM56" si="145">AH55/AH54</f>
        <v>0.15185149728099201</v>
      </c>
      <c r="AI56" s="25">
        <f t="shared" si="145"/>
        <v>0.14761849167165114</v>
      </c>
      <c r="AJ56" s="25">
        <f t="shared" si="145"/>
        <v>0.17334502343796357</v>
      </c>
      <c r="AK56" s="25">
        <f t="shared" si="145"/>
        <v>0.18700123810498284</v>
      </c>
      <c r="AL56" s="25">
        <f t="shared" si="145"/>
        <v>0.15333018719521782</v>
      </c>
      <c r="AM56" s="25">
        <f t="shared" si="145"/>
        <v>0.14944435940609219</v>
      </c>
      <c r="AN56" s="25">
        <f t="shared" si="145"/>
        <v>0.17256221686179904</v>
      </c>
      <c r="AO56" s="25">
        <f t="shared" si="145"/>
        <v>0.20673822534478331</v>
      </c>
      <c r="AP56" s="25">
        <f t="shared" si="145"/>
        <v>0.1695597362296353</v>
      </c>
      <c r="AQ56" s="25">
        <f t="shared" si="145"/>
        <v>0.17118822236919456</v>
      </c>
      <c r="AR56" s="25">
        <f t="shared" si="145"/>
        <v>0.17361145180793697</v>
      </c>
      <c r="AS56" s="25">
        <f t="shared" si="145"/>
        <v>0.18383012437215995</v>
      </c>
      <c r="AT56" s="25">
        <f t="shared" si="145"/>
        <v>0.13347402456490598</v>
      </c>
      <c r="AU56" s="25">
        <f t="shared" si="145"/>
        <v>0.12717153585871094</v>
      </c>
      <c r="AV56" s="25">
        <f t="shared" si="145"/>
        <v>0.11703466152041474</v>
      </c>
      <c r="AW56" s="25">
        <f t="shared" si="145"/>
        <v>0.1044344581440622</v>
      </c>
      <c r="AX56" s="25">
        <f t="shared" si="145"/>
        <v>9.2183610978453248E-2</v>
      </c>
      <c r="AY56" s="25">
        <f t="shared" si="145"/>
        <v>8.2283463577656618E-2</v>
      </c>
      <c r="AZ56" s="25">
        <f t="shared" si="145"/>
        <v>7.7485373218835515E-2</v>
      </c>
      <c r="BA56" s="25">
        <f t="shared" si="145"/>
        <v>8.675822877841341E-2</v>
      </c>
      <c r="BB56" s="25">
        <f t="shared" si="145"/>
        <v>8.0981853605491497E-2</v>
      </c>
      <c r="BC56" s="25">
        <f t="shared" si="145"/>
        <v>9.1961425641824385E-2</v>
      </c>
      <c r="BD56" s="25">
        <f t="shared" si="145"/>
        <v>8.4402943057000288E-2</v>
      </c>
      <c r="BE56" s="25">
        <f t="shared" si="145"/>
        <v>7.8370515816609004E-2</v>
      </c>
      <c r="BF56" s="25">
        <f t="shared" si="145"/>
        <v>0.11421137356680577</v>
      </c>
      <c r="BG56" s="25">
        <f t="shared" si="145"/>
        <v>8.5248630994769536E-2</v>
      </c>
      <c r="BH56" s="25">
        <f t="shared" si="145"/>
        <v>9.4968346692025571E-2</v>
      </c>
      <c r="BI56" s="25">
        <f t="shared" si="145"/>
        <v>9.703233128494701E-2</v>
      </c>
      <c r="BJ56" s="25">
        <f t="shared" si="145"/>
        <v>7.767822499721265E-2</v>
      </c>
      <c r="BK56" s="25">
        <f t="shared" si="145"/>
        <v>8.5115791014910083E-2</v>
      </c>
      <c r="BL56" s="25">
        <f t="shared" si="145"/>
        <v>8.3214230488855526E-2</v>
      </c>
      <c r="BM56" s="25">
        <f t="shared" si="145"/>
        <v>6.4858400235692684E-2</v>
      </c>
      <c r="BN56" s="25">
        <f t="shared" ref="BN56:CS56" si="146">BN55/BN54</f>
        <v>7.2992492956115637E-2</v>
      </c>
      <c r="BO56" s="25">
        <f t="shared" si="146"/>
        <v>5.9501776322933943E-2</v>
      </c>
      <c r="BP56" s="25">
        <f t="shared" si="146"/>
        <v>6.3693148869190599E-2</v>
      </c>
      <c r="BQ56" s="25">
        <f t="shared" si="146"/>
        <v>8.9838070929665392E-2</v>
      </c>
      <c r="BR56" s="25">
        <f t="shared" si="146"/>
        <v>0.11751720901126407</v>
      </c>
      <c r="BS56" s="25">
        <f t="shared" si="146"/>
        <v>0.16497636864907445</v>
      </c>
      <c r="BT56" s="25">
        <f t="shared" si="146"/>
        <v>0.18118763994626064</v>
      </c>
      <c r="BU56" s="25">
        <f t="shared" si="146"/>
        <v>0.16654814089838721</v>
      </c>
      <c r="BV56" s="25">
        <f t="shared" si="146"/>
        <v>0.21426312158361188</v>
      </c>
      <c r="BW56" s="25">
        <f t="shared" si="146"/>
        <v>0.17955855575787177</v>
      </c>
      <c r="BX56" s="25">
        <f t="shared" si="146"/>
        <v>0.13661107180161058</v>
      </c>
      <c r="BY56" s="25">
        <f t="shared" si="146"/>
        <v>0.15417425385758768</v>
      </c>
      <c r="BZ56" s="25">
        <f t="shared" si="146"/>
        <v>0.15508100569880692</v>
      </c>
      <c r="CA56" s="25">
        <f t="shared" si="146"/>
        <v>0.15801447423510878</v>
      </c>
      <c r="CB56" s="25">
        <f t="shared" si="146"/>
        <v>0.14867676404895536</v>
      </c>
      <c r="CC56" s="25">
        <f t="shared" si="146"/>
        <v>0.14342607583474415</v>
      </c>
      <c r="CD56" s="25">
        <f t="shared" si="146"/>
        <v>0.10310689554276797</v>
      </c>
      <c r="CE56" s="25">
        <f t="shared" si="146"/>
        <v>9.3577309345582935E-2</v>
      </c>
      <c r="CF56" s="25">
        <f t="shared" si="146"/>
        <v>8.1482590738998079E-2</v>
      </c>
      <c r="CG56" s="25">
        <f t="shared" si="146"/>
        <v>7.1700200980153089E-2</v>
      </c>
      <c r="CH56" s="25">
        <f t="shared" si="146"/>
        <v>6.1353578660629807E-2</v>
      </c>
      <c r="CI56" s="25">
        <f t="shared" si="146"/>
        <v>5.1110435819787137E-2</v>
      </c>
      <c r="CJ56" s="25">
        <f t="shared" si="146"/>
        <v>4.9008015596257483E-2</v>
      </c>
      <c r="CK56" s="25">
        <f t="shared" si="146"/>
        <v>3.8856266409789189E-2</v>
      </c>
      <c r="CL56" s="25">
        <f t="shared" si="146"/>
        <v>3.8094120818018683E-2</v>
      </c>
      <c r="CM56" s="25">
        <f t="shared" si="146"/>
        <v>4.0774485660163534E-2</v>
      </c>
      <c r="CN56" s="25">
        <f t="shared" si="146"/>
        <v>3.6622614704237721E-2</v>
      </c>
      <c r="CO56" s="25">
        <f t="shared" si="146"/>
        <v>3.2253319760072861E-2</v>
      </c>
      <c r="CP56" s="25">
        <f t="shared" si="146"/>
        <v>3.2063023227008748E-2</v>
      </c>
      <c r="CQ56" s="25">
        <f t="shared" si="146"/>
        <v>3.1971005936338864E-2</v>
      </c>
      <c r="CR56" s="25">
        <f t="shared" si="146"/>
        <v>3.157368958046048E-2</v>
      </c>
      <c r="CS56" s="25">
        <f t="shared" si="146"/>
        <v>2.6163403118302689E-2</v>
      </c>
      <c r="CT56" s="25">
        <f t="shared" ref="CT56:DY56" si="147">CT55/CT54</f>
        <v>2.6700054759308409E-2</v>
      </c>
      <c r="CU56" s="25">
        <f t="shared" si="147"/>
        <v>3.3347871778434096E-2</v>
      </c>
      <c r="CV56" s="25">
        <f t="shared" si="147"/>
        <v>4.7372115597380679E-2</v>
      </c>
      <c r="CW56" s="25">
        <f t="shared" si="147"/>
        <v>4.6786573621112347E-2</v>
      </c>
      <c r="CX56" s="25">
        <f t="shared" si="147"/>
        <v>4.269562357715094E-2</v>
      </c>
      <c r="CY56" s="25">
        <f t="shared" si="147"/>
        <v>4.0909459408540058E-2</v>
      </c>
      <c r="CZ56" s="25">
        <f t="shared" si="147"/>
        <v>5.0118033120797281E-2</v>
      </c>
      <c r="DA56" s="25">
        <f t="shared" si="147"/>
        <v>4.1366507471884147E-2</v>
      </c>
      <c r="DB56" s="25">
        <f t="shared" si="147"/>
        <v>3.6807431197800597E-2</v>
      </c>
      <c r="DC56" s="25">
        <f t="shared" si="147"/>
        <v>3.6859813401331397E-2</v>
      </c>
      <c r="DD56" s="25">
        <f t="shared" si="147"/>
        <v>4.0418801647244755E-2</v>
      </c>
      <c r="DE56" s="25">
        <f t="shared" si="147"/>
        <v>3.6935110579930146E-2</v>
      </c>
      <c r="DF56" s="25">
        <f t="shared" si="147"/>
        <v>3.3467191963823667E-2</v>
      </c>
      <c r="DG56" s="25">
        <f t="shared" si="147"/>
        <v>3.5465261612374149E-2</v>
      </c>
      <c r="DH56" s="25">
        <f t="shared" si="147"/>
        <v>3.1199771440786332E-2</v>
      </c>
      <c r="DI56" s="25">
        <f t="shared" si="147"/>
        <v>2.8158465322656985E-2</v>
      </c>
      <c r="DJ56" s="25">
        <f t="shared" si="147"/>
        <v>2.9241526184245779E-2</v>
      </c>
      <c r="DK56" s="25">
        <f t="shared" si="147"/>
        <v>6.2173099393166335E-2</v>
      </c>
      <c r="DL56" s="25">
        <f t="shared" si="147"/>
        <v>0.19700893189651666</v>
      </c>
      <c r="DM56" s="25">
        <f t="shared" si="147"/>
        <v>0.20400217850017877</v>
      </c>
      <c r="DN56" s="25">
        <f t="shared" si="147"/>
        <v>0.19181993810593509</v>
      </c>
      <c r="DO56" s="25">
        <f t="shared" si="147"/>
        <v>0.24284517181561385</v>
      </c>
      <c r="DP56" s="25">
        <f t="shared" si="147"/>
        <v>0.24555970867551236</v>
      </c>
      <c r="DQ56" s="25">
        <f t="shared" si="147"/>
        <v>0.24347204131754763</v>
      </c>
      <c r="DR56" s="25">
        <f t="shared" si="147"/>
        <v>0.23128156109259493</v>
      </c>
      <c r="DS56" s="25">
        <f t="shared" si="147"/>
        <v>0.30148428711250103</v>
      </c>
      <c r="DT56" s="25">
        <f t="shared" si="147"/>
        <v>0.42749777057196275</v>
      </c>
      <c r="DU56" s="25">
        <f t="shared" si="147"/>
        <v>0.531923870174562</v>
      </c>
      <c r="DV56" s="25">
        <f t="shared" si="147"/>
        <v>0.50637381858748887</v>
      </c>
      <c r="DW56" s="25">
        <f t="shared" si="147"/>
        <v>0.66309533336890225</v>
      </c>
      <c r="DX56" s="25">
        <f t="shared" si="147"/>
        <v>0.85875542123216564</v>
      </c>
      <c r="DY56" s="25">
        <f t="shared" si="147"/>
        <v>0.7335988077415323</v>
      </c>
      <c r="DZ56" s="25">
        <f t="shared" ref="DZ56:EP56" si="148">DZ55/DZ54</f>
        <v>0.83454490115007618</v>
      </c>
      <c r="EA56" s="25">
        <f t="shared" si="148"/>
        <v>0.90328136384544888</v>
      </c>
      <c r="EB56" s="25">
        <f t="shared" si="148"/>
        <v>0.69795983739825429</v>
      </c>
      <c r="EC56" s="25">
        <f t="shared" ref="EC56:ED56" si="149">EC55/EC54</f>
        <v>0.61119198341413816</v>
      </c>
      <c r="ED56" s="25">
        <f t="shared" si="149"/>
        <v>0.55280197958652044</v>
      </c>
      <c r="EE56" s="25">
        <f t="shared" si="148"/>
        <v>0.58927430567672323</v>
      </c>
      <c r="EF56" s="25">
        <f t="shared" si="148"/>
        <v>0.54622354626818748</v>
      </c>
      <c r="EG56" s="25">
        <f t="shared" si="148"/>
        <v>0.48121257685288737</v>
      </c>
      <c r="EH56" s="25">
        <f t="shared" si="148"/>
        <v>0.44650924978705581</v>
      </c>
      <c r="EI56" s="25">
        <f t="shared" si="148"/>
        <v>0.42038394452204653</v>
      </c>
      <c r="EJ56" s="25">
        <f t="shared" si="148"/>
        <v>0.40653972441902497</v>
      </c>
      <c r="EK56" s="25">
        <f t="shared" si="148"/>
        <v>0.3957792979061871</v>
      </c>
      <c r="EL56" s="25">
        <f t="shared" si="148"/>
        <v>0.38042156105509878</v>
      </c>
      <c r="EM56" s="25">
        <f t="shared" si="148"/>
        <v>0.38917341806783318</v>
      </c>
      <c r="EN56" s="25">
        <f t="shared" si="148"/>
        <v>0.39378226476541067</v>
      </c>
      <c r="EO56" s="25">
        <f t="shared" si="148"/>
        <v>0.39410566036178207</v>
      </c>
      <c r="EP56" s="25">
        <f t="shared" si="148"/>
        <v>0.39890816837468579</v>
      </c>
      <c r="EQ56" s="81"/>
      <c r="ER56" s="81"/>
      <c r="ES56" s="355">
        <f t="shared" si="18"/>
        <v>51</v>
      </c>
      <c r="ET56"/>
      <c r="EU56"/>
      <c r="EV56"/>
      <c r="EW56"/>
      <c r="EX56"/>
      <c r="EY56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</row>
    <row r="57" spans="1:257" s="4" customFormat="1" ht="3" customHeight="1" outlineLevel="1">
      <c r="A57" s="15"/>
      <c r="B57" s="296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294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  <c r="BE57" s="45"/>
      <c r="BF57" s="45"/>
      <c r="BG57" s="45"/>
      <c r="BH57" s="45"/>
      <c r="BI57" s="4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  <c r="BV57" s="45"/>
      <c r="BW57" s="45"/>
      <c r="BX57" s="45"/>
      <c r="BY57" s="45"/>
      <c r="BZ57" s="45"/>
      <c r="CA57" s="45"/>
      <c r="CB57" s="45"/>
      <c r="CC57" s="45"/>
      <c r="CD57" s="45"/>
      <c r="CE57" s="45"/>
      <c r="CF57" s="45"/>
      <c r="CG57" s="45"/>
      <c r="CH57" s="45"/>
      <c r="CI57" s="45"/>
      <c r="CJ57" s="45"/>
      <c r="CK57" s="45"/>
      <c r="CL57" s="45"/>
      <c r="CM57" s="45"/>
      <c r="CN57" s="45"/>
      <c r="CO57" s="45"/>
      <c r="CP57" s="45"/>
      <c r="CQ57" s="45"/>
      <c r="CR57" s="45"/>
      <c r="CS57" s="45"/>
      <c r="CT57" s="295"/>
      <c r="CU57" s="295"/>
      <c r="CV57" s="295"/>
      <c r="CW57" s="295"/>
      <c r="CX57" s="295"/>
      <c r="CY57" s="295"/>
      <c r="CZ57" s="295"/>
      <c r="DA57" s="295"/>
      <c r="DB57" s="295"/>
      <c r="DC57" s="295"/>
      <c r="DD57" s="295"/>
      <c r="DE57" s="295"/>
      <c r="DF57" s="45"/>
      <c r="DG57" s="45"/>
      <c r="DH57" s="45"/>
      <c r="DI57" s="45"/>
      <c r="DJ57" s="45"/>
      <c r="DK57" s="45"/>
      <c r="DL57" s="45"/>
      <c r="DM57" s="45"/>
      <c r="DN57" s="45"/>
      <c r="DO57" s="45"/>
      <c r="DP57" s="45"/>
      <c r="DQ57" s="45"/>
      <c r="DR57" s="45"/>
      <c r="DS57" s="45"/>
      <c r="DT57" s="45"/>
      <c r="DU57" s="45"/>
      <c r="DV57" s="45"/>
      <c r="DW57" s="45"/>
      <c r="DX57" s="45"/>
      <c r="DY57" s="45"/>
      <c r="DZ57" s="45"/>
      <c r="EA57" s="45"/>
      <c r="EB57" s="45"/>
      <c r="EC57" s="45"/>
      <c r="ED57" s="45"/>
      <c r="EE57" s="45"/>
      <c r="EF57" s="45"/>
      <c r="EG57" s="45"/>
      <c r="EH57" s="45"/>
      <c r="EI57" s="45"/>
      <c r="EJ57" s="45"/>
      <c r="EK57" s="45"/>
      <c r="EL57" s="45"/>
      <c r="EM57" s="45"/>
      <c r="EN57" s="45"/>
      <c r="EO57" s="45"/>
      <c r="EP57" s="45"/>
      <c r="EQ57" s="294"/>
      <c r="ER57" s="294"/>
      <c r="ES57" s="355">
        <f t="shared" si="18"/>
        <v>52</v>
      </c>
      <c r="ET57"/>
      <c r="EU57"/>
      <c r="EV57"/>
      <c r="EW57"/>
      <c r="EX57"/>
      <c r="EY57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</row>
    <row r="58" spans="1:257" s="4" customFormat="1" ht="11.45" customHeight="1" outlineLevel="1">
      <c r="A58" s="15"/>
      <c r="B58" s="63" t="s">
        <v>214</v>
      </c>
      <c r="C58" s="62"/>
      <c r="D58" s="62"/>
      <c r="E58" s="61">
        <f>24.307*2*2</f>
        <v>97.227999999999994</v>
      </c>
      <c r="F58" s="61">
        <f>24.416*2*2</f>
        <v>97.664000000000001</v>
      </c>
      <c r="G58" s="61">
        <f>24.536*2*2</f>
        <v>98.144000000000005</v>
      </c>
      <c r="H58" s="61">
        <f>49.38*2</f>
        <v>98.76</v>
      </c>
      <c r="I58" s="61">
        <f>50.561*2</f>
        <v>101.122</v>
      </c>
      <c r="J58" s="61">
        <f>50.565*2</f>
        <v>101.13</v>
      </c>
      <c r="K58" s="61">
        <f>49.817*2</f>
        <v>99.634</v>
      </c>
      <c r="L58" s="61">
        <f>50.035*2</f>
        <v>100.07</v>
      </c>
      <c r="M58" s="61">
        <f>50.772*2</f>
        <v>101.544</v>
      </c>
      <c r="N58" s="61">
        <f>50.345*2</f>
        <v>100.69</v>
      </c>
      <c r="O58" s="61">
        <f>50.596*2</f>
        <v>101.19199999999999</v>
      </c>
      <c r="P58" s="61">
        <f>50.833*2</f>
        <v>101.666</v>
      </c>
      <c r="Q58" s="61">
        <v>104.066</v>
      </c>
      <c r="R58" s="61">
        <v>106.09099999999999</v>
      </c>
      <c r="S58" s="61">
        <v>105.128</v>
      </c>
      <c r="T58" s="61">
        <v>106.42400000000001</v>
      </c>
      <c r="U58" s="18">
        <f>AVERAGE(CT58:CW58)</f>
        <v>106.63</v>
      </c>
      <c r="V58" s="18">
        <f>AVERAGE(CX58:DA58)</f>
        <v>107.3925</v>
      </c>
      <c r="W58" s="18">
        <f t="shared" ref="W58:AF58" si="150">AVERAGEIF($AH$5:$ER$5,W$5,$AH58:$ER58)</f>
        <v>108.50324999999999</v>
      </c>
      <c r="X58" s="18">
        <f t="shared" si="150"/>
        <v>108.33525</v>
      </c>
      <c r="Y58" s="18">
        <f t="shared" si="150"/>
        <v>107.76025000000001</v>
      </c>
      <c r="Z58" s="18">
        <f t="shared" si="150"/>
        <v>109.06075</v>
      </c>
      <c r="AA58" s="18">
        <f t="shared" si="150"/>
        <v>108.35550000000001</v>
      </c>
      <c r="AB58" s="18">
        <f t="shared" si="150"/>
        <v>108.24225000000001</v>
      </c>
      <c r="AC58" s="18">
        <f t="shared" si="150"/>
        <v>108.44874999999999</v>
      </c>
      <c r="AD58" s="18">
        <f t="shared" si="150"/>
        <v>109.46432651671437</v>
      </c>
      <c r="AE58" s="18">
        <f t="shared" si="150"/>
        <v>109.98875897944561</v>
      </c>
      <c r="AF58" s="18">
        <f t="shared" si="150"/>
        <v>110.03276108280289</v>
      </c>
      <c r="AG58" s="18"/>
      <c r="AH58" s="61">
        <f>24.247394*2*2</f>
        <v>96.989576</v>
      </c>
      <c r="AI58" s="61">
        <f>24.268234*2*2</f>
        <v>97.072935999999999</v>
      </c>
      <c r="AJ58" s="61">
        <f>24.344864*2*2</f>
        <v>97.379456000000005</v>
      </c>
      <c r="AK58" s="61">
        <f>E58*4-SUM(AH58:AJ58)</f>
        <v>97.470032000000003</v>
      </c>
      <c r="AL58" s="61">
        <f>24.368*2*2</f>
        <v>97.471999999999994</v>
      </c>
      <c r="AM58" s="61">
        <f>24.408*2*2</f>
        <v>97.632000000000005</v>
      </c>
      <c r="AN58" s="61">
        <f>24.442*2*2</f>
        <v>97.768000000000001</v>
      </c>
      <c r="AO58" s="57">
        <f>F58*4-SUM(AL58:AN58)</f>
        <v>97.784000000000049</v>
      </c>
      <c r="AP58" s="61">
        <f>24.479*2*2</f>
        <v>97.915999999999997</v>
      </c>
      <c r="AQ58" s="61">
        <f>24.497*2*2</f>
        <v>97.988</v>
      </c>
      <c r="AR58" s="61">
        <f>24.573*2*2</f>
        <v>98.292000000000002</v>
      </c>
      <c r="AS58" s="57">
        <f>G58*4-SUM(AP58:AR58)</f>
        <v>98.38</v>
      </c>
      <c r="AT58" s="61">
        <f>24.603*2*2</f>
        <v>98.412000000000006</v>
      </c>
      <c r="AU58" s="61">
        <f>24.655*2*2</f>
        <v>98.62</v>
      </c>
      <c r="AV58" s="61">
        <f>24.743*2*2</f>
        <v>98.971999999999994</v>
      </c>
      <c r="AW58" s="57">
        <f>H58*4-SUM(AT58:AV58)</f>
        <v>99.036000000000001</v>
      </c>
      <c r="AX58" s="61">
        <f>50.484*2</f>
        <v>100.968</v>
      </c>
      <c r="AY58" s="61">
        <f>50.379*2</f>
        <v>100.758</v>
      </c>
      <c r="AZ58" s="61">
        <f>50.53*2</f>
        <v>101.06</v>
      </c>
      <c r="BA58" s="61">
        <f>I58*4-SUM(AX58:AZ58)</f>
        <v>101.702</v>
      </c>
      <c r="BB58" s="61">
        <f>51.066*2</f>
        <v>102.13200000000001</v>
      </c>
      <c r="BC58" s="61">
        <f>50.609*2</f>
        <v>101.218</v>
      </c>
      <c r="BD58" s="61">
        <f>50.54*2</f>
        <v>101.08</v>
      </c>
      <c r="BE58" s="61">
        <f>J58*4-SUM(BB58:BD58)</f>
        <v>100.08999999999997</v>
      </c>
      <c r="BF58" s="61">
        <f>49.664*2</f>
        <v>99.328000000000003</v>
      </c>
      <c r="BG58" s="61">
        <f>49.594*2</f>
        <v>99.188000000000002</v>
      </c>
      <c r="BH58" s="61">
        <f>49.933*2</f>
        <v>99.866</v>
      </c>
      <c r="BI58" s="61">
        <f>K58*4-SUM(BF58:BH58)</f>
        <v>100.154</v>
      </c>
      <c r="BJ58" s="61">
        <f>49.764*2</f>
        <v>99.528000000000006</v>
      </c>
      <c r="BK58" s="61">
        <f>49.828*2</f>
        <v>99.656000000000006</v>
      </c>
      <c r="BL58" s="61">
        <f>50.227*2</f>
        <v>100.45399999999999</v>
      </c>
      <c r="BM58" s="61">
        <f>50.319*2</f>
        <v>100.63800000000001</v>
      </c>
      <c r="BN58" s="61">
        <f>50.431*2</f>
        <v>100.86199999999999</v>
      </c>
      <c r="BO58" s="61">
        <f>51.139*2</f>
        <v>102.27800000000001</v>
      </c>
      <c r="BP58" s="61">
        <f>51.256*2</f>
        <v>102.512</v>
      </c>
      <c r="BQ58" s="61">
        <f>50.267*2</f>
        <v>100.53400000000001</v>
      </c>
      <c r="BR58" s="61">
        <f>50.078*2</f>
        <v>100.15600000000001</v>
      </c>
      <c r="BS58" s="61">
        <f>50.265*2</f>
        <v>100.53</v>
      </c>
      <c r="BT58" s="61">
        <f>50.574*2</f>
        <v>101.148</v>
      </c>
      <c r="BU58" s="61">
        <f>50.461*2</f>
        <v>100.922</v>
      </c>
      <c r="BV58" s="61">
        <f>50.467*2</f>
        <v>100.934</v>
      </c>
      <c r="BW58" s="61">
        <f>50.539*2</f>
        <v>101.078</v>
      </c>
      <c r="BX58" s="61">
        <f>50.681*2</f>
        <v>101.36199999999999</v>
      </c>
      <c r="BY58" s="61">
        <f>50.695*2</f>
        <v>101.39</v>
      </c>
      <c r="BZ58" s="61">
        <f>50.667*2</f>
        <v>101.334</v>
      </c>
      <c r="CA58" s="61">
        <f>50.903*2</f>
        <v>101.806</v>
      </c>
      <c r="CB58" s="61">
        <f>50.88*2</f>
        <v>101.76</v>
      </c>
      <c r="CC58" s="61">
        <f>50.883*2</f>
        <v>101.76600000000001</v>
      </c>
      <c r="CD58" s="61">
        <f>51.256*2</f>
        <v>102.512</v>
      </c>
      <c r="CE58" s="61">
        <f>51.891*2</f>
        <v>103.782</v>
      </c>
      <c r="CF58" s="61">
        <v>104.47199999999999</v>
      </c>
      <c r="CG58" s="61">
        <v>105.495</v>
      </c>
      <c r="CH58" s="61">
        <v>106.173</v>
      </c>
      <c r="CI58" s="61">
        <v>106.114</v>
      </c>
      <c r="CJ58" s="61">
        <v>106.419</v>
      </c>
      <c r="CK58" s="61">
        <v>106.176</v>
      </c>
      <c r="CL58" s="61">
        <v>104.776</v>
      </c>
      <c r="CM58" s="61">
        <v>104.83199999999999</v>
      </c>
      <c r="CN58" s="61">
        <v>105.313</v>
      </c>
      <c r="CO58" s="57">
        <v>105.498</v>
      </c>
      <c r="CP58" s="61">
        <v>105.61499999999999</v>
      </c>
      <c r="CQ58" s="61">
        <v>106.09</v>
      </c>
      <c r="CR58" s="61">
        <v>106.68899999999999</v>
      </c>
      <c r="CS58" s="61">
        <v>107.3</v>
      </c>
      <c r="CT58" s="61">
        <v>106.431</v>
      </c>
      <c r="CU58" s="61">
        <v>106.431</v>
      </c>
      <c r="CV58" s="61">
        <v>106.82899999999999</v>
      </c>
      <c r="CW58" s="61">
        <v>106.82899999999999</v>
      </c>
      <c r="CX58" s="61">
        <v>107.238</v>
      </c>
      <c r="CY58" s="61">
        <v>107.48399999999999</v>
      </c>
      <c r="CZ58" s="61">
        <v>107.444</v>
      </c>
      <c r="DA58" s="61">
        <v>107.404</v>
      </c>
      <c r="DB58" s="61">
        <v>107.852</v>
      </c>
      <c r="DC58" s="61">
        <v>108.595</v>
      </c>
      <c r="DD58" s="61">
        <v>108.78400000000001</v>
      </c>
      <c r="DE58" s="61">
        <v>108.782</v>
      </c>
      <c r="DF58" s="61">
        <v>108.788</v>
      </c>
      <c r="DG58" s="61">
        <v>109.042</v>
      </c>
      <c r="DH58" s="61">
        <v>108.425</v>
      </c>
      <c r="DI58" s="61">
        <v>107.086</v>
      </c>
      <c r="DJ58" s="61">
        <v>107.41200000000001</v>
      </c>
      <c r="DK58" s="61">
        <v>107.786</v>
      </c>
      <c r="DL58" s="61">
        <v>107.786</v>
      </c>
      <c r="DM58" s="61">
        <v>108.057</v>
      </c>
      <c r="DN58" s="61">
        <v>108.577</v>
      </c>
      <c r="DO58" s="61">
        <v>109.081</v>
      </c>
      <c r="DP58" s="61">
        <v>109.285</v>
      </c>
      <c r="DQ58" s="61">
        <v>109.3</v>
      </c>
      <c r="DR58" s="61">
        <v>108.843</v>
      </c>
      <c r="DS58" s="61">
        <v>108.37</v>
      </c>
      <c r="DT58" s="61">
        <v>108.46899999999999</v>
      </c>
      <c r="DU58" s="61">
        <v>107.74</v>
      </c>
      <c r="DV58" s="61">
        <v>108.40900000000001</v>
      </c>
      <c r="DW58" s="61">
        <v>108.46599999999999</v>
      </c>
      <c r="DX58" s="61">
        <v>108.047</v>
      </c>
      <c r="DY58" s="61">
        <v>108.047</v>
      </c>
      <c r="DZ58" s="61">
        <v>108.07</v>
      </c>
      <c r="EA58" s="61">
        <v>108.565</v>
      </c>
      <c r="EB58" s="61">
        <v>108.572</v>
      </c>
      <c r="EC58" s="61">
        <v>108.58799999999999</v>
      </c>
      <c r="ED58" s="61">
        <v>109.095</v>
      </c>
      <c r="EE58" s="62">
        <f t="shared" ref="EE58:EP58" si="151">EE335</f>
        <v>108.85076926635</v>
      </c>
      <c r="EF58" s="62">
        <f t="shared" si="151"/>
        <v>109.95027088670939</v>
      </c>
      <c r="EG58" s="62">
        <f t="shared" si="151"/>
        <v>109.96126591379806</v>
      </c>
      <c r="EH58" s="62">
        <f t="shared" si="151"/>
        <v>109.97226204038944</v>
      </c>
      <c r="EI58" s="62">
        <f t="shared" si="151"/>
        <v>109.98325926659346</v>
      </c>
      <c r="EJ58" s="62">
        <f t="shared" si="151"/>
        <v>109.99425759252013</v>
      </c>
      <c r="EK58" s="62">
        <f t="shared" si="151"/>
        <v>110.00525701827938</v>
      </c>
      <c r="EL58" s="62">
        <f t="shared" si="151"/>
        <v>110.01625754398121</v>
      </c>
      <c r="EM58" s="62">
        <f t="shared" si="151"/>
        <v>110.02725916973561</v>
      </c>
      <c r="EN58" s="62">
        <f t="shared" si="151"/>
        <v>110.03826189565258</v>
      </c>
      <c r="EO58" s="62">
        <f t="shared" si="151"/>
        <v>110.04926572184215</v>
      </c>
      <c r="EP58" s="62">
        <f t="shared" si="151"/>
        <v>110.06027064841433</v>
      </c>
      <c r="EQ58" s="18"/>
      <c r="ER58" s="18"/>
      <c r="ES58" s="355">
        <f t="shared" si="18"/>
        <v>53</v>
      </c>
      <c r="ET58"/>
      <c r="EU58"/>
      <c r="EV58"/>
      <c r="EW58"/>
      <c r="EX58"/>
      <c r="EY58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</row>
    <row r="59" spans="1:257" s="4" customFormat="1" ht="11.45" customHeight="1" outlineLevel="1">
      <c r="A59" s="15"/>
      <c r="B59" s="5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241"/>
      <c r="AB59" s="18"/>
      <c r="AC59" s="18"/>
      <c r="AD59" s="18"/>
      <c r="AE59" s="18"/>
      <c r="AF59" s="18"/>
      <c r="AG59" s="17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293"/>
      <c r="CV59" s="293"/>
      <c r="CW59" s="293"/>
      <c r="CX59" s="293"/>
      <c r="CY59" s="293"/>
      <c r="CZ59" s="293"/>
      <c r="DA59" s="293"/>
      <c r="DB59" s="293"/>
      <c r="DC59" s="293"/>
      <c r="DD59" s="293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355">
        <f t="shared" si="18"/>
        <v>54</v>
      </c>
      <c r="ET59"/>
      <c r="EU59"/>
      <c r="EV59"/>
      <c r="EW59"/>
      <c r="EX59"/>
      <c r="EY59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</row>
    <row r="60" spans="1:257" s="4" customFormat="1" ht="11.45" customHeight="1">
      <c r="A60" s="15" t="s">
        <v>0</v>
      </c>
      <c r="B60" s="343" t="s">
        <v>213</v>
      </c>
      <c r="C60" s="120">
        <f t="shared" ref="C60:AF60" si="152">C$7</f>
        <v>1991</v>
      </c>
      <c r="D60" s="120">
        <f t="shared" si="152"/>
        <v>1992</v>
      </c>
      <c r="E60" s="120">
        <f t="shared" si="152"/>
        <v>1993</v>
      </c>
      <c r="F60" s="120">
        <f t="shared" si="152"/>
        <v>1994</v>
      </c>
      <c r="G60" s="120">
        <f t="shared" si="152"/>
        <v>1995</v>
      </c>
      <c r="H60" s="120">
        <f t="shared" si="152"/>
        <v>1996</v>
      </c>
      <c r="I60" s="120">
        <f t="shared" si="152"/>
        <v>1997</v>
      </c>
      <c r="J60" s="120">
        <f t="shared" si="152"/>
        <v>1998</v>
      </c>
      <c r="K60" s="120">
        <f t="shared" si="152"/>
        <v>1999</v>
      </c>
      <c r="L60" s="120">
        <f t="shared" si="152"/>
        <v>2000</v>
      </c>
      <c r="M60" s="120">
        <f t="shared" si="152"/>
        <v>2001</v>
      </c>
      <c r="N60" s="120">
        <f t="shared" si="152"/>
        <v>2002</v>
      </c>
      <c r="O60" s="120">
        <f t="shared" si="152"/>
        <v>2003</v>
      </c>
      <c r="P60" s="120">
        <f t="shared" si="152"/>
        <v>2004</v>
      </c>
      <c r="Q60" s="120">
        <f t="shared" si="152"/>
        <v>2005</v>
      </c>
      <c r="R60" s="120">
        <f t="shared" si="152"/>
        <v>2006</v>
      </c>
      <c r="S60" s="120">
        <f t="shared" si="152"/>
        <v>2007</v>
      </c>
      <c r="T60" s="120">
        <f t="shared" si="152"/>
        <v>2008</v>
      </c>
      <c r="U60" s="120">
        <f t="shared" si="152"/>
        <v>2009</v>
      </c>
      <c r="V60" s="120">
        <f t="shared" si="152"/>
        <v>2010</v>
      </c>
      <c r="W60" s="120">
        <f t="shared" si="152"/>
        <v>2011</v>
      </c>
      <c r="X60" s="120">
        <f t="shared" si="152"/>
        <v>2012</v>
      </c>
      <c r="Y60" s="120">
        <f t="shared" si="152"/>
        <v>2013</v>
      </c>
      <c r="Z60" s="120">
        <f t="shared" si="152"/>
        <v>2014</v>
      </c>
      <c r="AA60" s="120">
        <f t="shared" si="152"/>
        <v>2015</v>
      </c>
      <c r="AB60" s="120">
        <f t="shared" si="152"/>
        <v>2016</v>
      </c>
      <c r="AC60" s="120">
        <f t="shared" si="152"/>
        <v>2017</v>
      </c>
      <c r="AD60" s="120" t="str">
        <f t="shared" si="152"/>
        <v>2018E</v>
      </c>
      <c r="AE60" s="120" t="str">
        <f t="shared" si="152"/>
        <v>2019E</v>
      </c>
      <c r="AF60" s="120" t="str">
        <f t="shared" si="152"/>
        <v>2020E</v>
      </c>
      <c r="AG60" s="17"/>
      <c r="AH60" s="119">
        <f t="shared" ref="AH60:BM60" si="153">AH$7</f>
        <v>33969</v>
      </c>
      <c r="AI60" s="119">
        <f t="shared" si="153"/>
        <v>34059</v>
      </c>
      <c r="AJ60" s="119">
        <f t="shared" si="153"/>
        <v>34150</v>
      </c>
      <c r="AK60" s="119">
        <f t="shared" si="153"/>
        <v>34242</v>
      </c>
      <c r="AL60" s="119">
        <f t="shared" si="153"/>
        <v>34334</v>
      </c>
      <c r="AM60" s="119">
        <f t="shared" si="153"/>
        <v>34424</v>
      </c>
      <c r="AN60" s="119">
        <f t="shared" si="153"/>
        <v>34515</v>
      </c>
      <c r="AO60" s="119">
        <f t="shared" si="153"/>
        <v>34607</v>
      </c>
      <c r="AP60" s="119">
        <f t="shared" si="153"/>
        <v>34699</v>
      </c>
      <c r="AQ60" s="119">
        <f t="shared" si="153"/>
        <v>34789</v>
      </c>
      <c r="AR60" s="119">
        <f t="shared" si="153"/>
        <v>34880</v>
      </c>
      <c r="AS60" s="119">
        <f t="shared" si="153"/>
        <v>34972</v>
      </c>
      <c r="AT60" s="119">
        <f t="shared" si="153"/>
        <v>35064</v>
      </c>
      <c r="AU60" s="119">
        <f t="shared" si="153"/>
        <v>35155</v>
      </c>
      <c r="AV60" s="119">
        <f t="shared" si="153"/>
        <v>35246</v>
      </c>
      <c r="AW60" s="119">
        <f t="shared" si="153"/>
        <v>35338</v>
      </c>
      <c r="AX60" s="119">
        <f t="shared" si="153"/>
        <v>35430</v>
      </c>
      <c r="AY60" s="119">
        <f t="shared" si="153"/>
        <v>35520</v>
      </c>
      <c r="AZ60" s="119">
        <f t="shared" si="153"/>
        <v>35611</v>
      </c>
      <c r="BA60" s="119">
        <f t="shared" si="153"/>
        <v>35703</v>
      </c>
      <c r="BB60" s="119">
        <f t="shared" si="153"/>
        <v>35795</v>
      </c>
      <c r="BC60" s="119">
        <f t="shared" si="153"/>
        <v>35885</v>
      </c>
      <c r="BD60" s="119">
        <f t="shared" si="153"/>
        <v>35976</v>
      </c>
      <c r="BE60" s="119">
        <f t="shared" si="153"/>
        <v>36068</v>
      </c>
      <c r="BF60" s="119">
        <f t="shared" si="153"/>
        <v>36160</v>
      </c>
      <c r="BG60" s="119">
        <f t="shared" si="153"/>
        <v>36250</v>
      </c>
      <c r="BH60" s="119">
        <f t="shared" si="153"/>
        <v>36341</v>
      </c>
      <c r="BI60" s="119">
        <f t="shared" si="153"/>
        <v>36433</v>
      </c>
      <c r="BJ60" s="119">
        <f t="shared" si="153"/>
        <v>36525</v>
      </c>
      <c r="BK60" s="119">
        <f t="shared" si="153"/>
        <v>36616</v>
      </c>
      <c r="BL60" s="119">
        <f t="shared" si="153"/>
        <v>36707</v>
      </c>
      <c r="BM60" s="119">
        <f t="shared" si="153"/>
        <v>36799</v>
      </c>
      <c r="BN60" s="119">
        <f t="shared" ref="BN60:CS60" si="154">BN$7</f>
        <v>36891</v>
      </c>
      <c r="BO60" s="119">
        <f t="shared" si="154"/>
        <v>36981</v>
      </c>
      <c r="BP60" s="119">
        <f t="shared" si="154"/>
        <v>37072</v>
      </c>
      <c r="BQ60" s="119">
        <f t="shared" si="154"/>
        <v>37164</v>
      </c>
      <c r="BR60" s="119">
        <f t="shared" si="154"/>
        <v>37256</v>
      </c>
      <c r="BS60" s="119">
        <f t="shared" si="154"/>
        <v>37346</v>
      </c>
      <c r="BT60" s="119">
        <f t="shared" si="154"/>
        <v>37437</v>
      </c>
      <c r="BU60" s="119">
        <f t="shared" si="154"/>
        <v>37529</v>
      </c>
      <c r="BV60" s="119">
        <f t="shared" si="154"/>
        <v>37621</v>
      </c>
      <c r="BW60" s="119">
        <f t="shared" si="154"/>
        <v>37711</v>
      </c>
      <c r="BX60" s="119">
        <f t="shared" si="154"/>
        <v>37802</v>
      </c>
      <c r="BY60" s="119">
        <f t="shared" si="154"/>
        <v>37894</v>
      </c>
      <c r="BZ60" s="119">
        <f t="shared" si="154"/>
        <v>37986</v>
      </c>
      <c r="CA60" s="119">
        <f t="shared" si="154"/>
        <v>38077</v>
      </c>
      <c r="CB60" s="119">
        <f t="shared" si="154"/>
        <v>38168</v>
      </c>
      <c r="CC60" s="119">
        <f t="shared" si="154"/>
        <v>38260</v>
      </c>
      <c r="CD60" s="119">
        <f t="shared" si="154"/>
        <v>38352</v>
      </c>
      <c r="CE60" s="119">
        <f t="shared" si="154"/>
        <v>38442</v>
      </c>
      <c r="CF60" s="119">
        <f t="shared" si="154"/>
        <v>38533</v>
      </c>
      <c r="CG60" s="119">
        <f t="shared" si="154"/>
        <v>38625</v>
      </c>
      <c r="CH60" s="119">
        <f t="shared" si="154"/>
        <v>38717</v>
      </c>
      <c r="CI60" s="119">
        <f t="shared" si="154"/>
        <v>38807</v>
      </c>
      <c r="CJ60" s="119">
        <f t="shared" si="154"/>
        <v>38898</v>
      </c>
      <c r="CK60" s="119">
        <f t="shared" si="154"/>
        <v>38990</v>
      </c>
      <c r="CL60" s="119">
        <f t="shared" si="154"/>
        <v>39082</v>
      </c>
      <c r="CM60" s="119">
        <f t="shared" si="154"/>
        <v>39172</v>
      </c>
      <c r="CN60" s="119">
        <f t="shared" si="154"/>
        <v>39263</v>
      </c>
      <c r="CO60" s="119">
        <f t="shared" si="154"/>
        <v>39355</v>
      </c>
      <c r="CP60" s="119">
        <f t="shared" si="154"/>
        <v>39447</v>
      </c>
      <c r="CQ60" s="119">
        <f t="shared" si="154"/>
        <v>39538</v>
      </c>
      <c r="CR60" s="119">
        <f t="shared" si="154"/>
        <v>39629</v>
      </c>
      <c r="CS60" s="119">
        <f t="shared" si="154"/>
        <v>39721</v>
      </c>
      <c r="CT60" s="119">
        <f t="shared" ref="CT60:DY60" si="155">CT$7</f>
        <v>39813</v>
      </c>
      <c r="CU60" s="119">
        <f t="shared" si="155"/>
        <v>39903</v>
      </c>
      <c r="CV60" s="119">
        <f t="shared" si="155"/>
        <v>39994</v>
      </c>
      <c r="CW60" s="119">
        <f t="shared" si="155"/>
        <v>40086</v>
      </c>
      <c r="CX60" s="119">
        <f t="shared" si="155"/>
        <v>40178</v>
      </c>
      <c r="CY60" s="119">
        <f t="shared" si="155"/>
        <v>40268</v>
      </c>
      <c r="CZ60" s="119">
        <f t="shared" si="155"/>
        <v>40359</v>
      </c>
      <c r="DA60" s="119">
        <f t="shared" si="155"/>
        <v>40451</v>
      </c>
      <c r="DB60" s="119">
        <f t="shared" si="155"/>
        <v>40543</v>
      </c>
      <c r="DC60" s="119">
        <f t="shared" si="155"/>
        <v>40633</v>
      </c>
      <c r="DD60" s="119">
        <f t="shared" si="155"/>
        <v>40724</v>
      </c>
      <c r="DE60" s="119">
        <f t="shared" si="155"/>
        <v>40816</v>
      </c>
      <c r="DF60" s="119">
        <f t="shared" si="155"/>
        <v>40908</v>
      </c>
      <c r="DG60" s="119">
        <f t="shared" si="155"/>
        <v>40999</v>
      </c>
      <c r="DH60" s="119">
        <f t="shared" si="155"/>
        <v>41090</v>
      </c>
      <c r="DI60" s="119">
        <f t="shared" si="155"/>
        <v>41182</v>
      </c>
      <c r="DJ60" s="119">
        <f t="shared" si="155"/>
        <v>41274</v>
      </c>
      <c r="DK60" s="119">
        <f t="shared" si="155"/>
        <v>41364</v>
      </c>
      <c r="DL60" s="119">
        <f t="shared" si="155"/>
        <v>41455</v>
      </c>
      <c r="DM60" s="119">
        <f t="shared" si="155"/>
        <v>41547</v>
      </c>
      <c r="DN60" s="119">
        <f t="shared" si="155"/>
        <v>41639</v>
      </c>
      <c r="DO60" s="119">
        <f t="shared" si="155"/>
        <v>41729</v>
      </c>
      <c r="DP60" s="119">
        <f t="shared" si="155"/>
        <v>41820</v>
      </c>
      <c r="DQ60" s="119">
        <f t="shared" si="155"/>
        <v>41912</v>
      </c>
      <c r="DR60" s="119">
        <f t="shared" si="155"/>
        <v>42004</v>
      </c>
      <c r="DS60" s="119">
        <f t="shared" si="155"/>
        <v>42094</v>
      </c>
      <c r="DT60" s="119">
        <f t="shared" si="155"/>
        <v>42185</v>
      </c>
      <c r="DU60" s="119">
        <f t="shared" si="155"/>
        <v>42277</v>
      </c>
      <c r="DV60" s="119">
        <f t="shared" si="155"/>
        <v>42369</v>
      </c>
      <c r="DW60" s="119">
        <f t="shared" si="155"/>
        <v>42460</v>
      </c>
      <c r="DX60" s="119">
        <f t="shared" si="155"/>
        <v>42551</v>
      </c>
      <c r="DY60" s="119">
        <f t="shared" si="155"/>
        <v>42643</v>
      </c>
      <c r="DZ60" s="119">
        <f t="shared" ref="DZ60:EP60" si="156">DZ$7</f>
        <v>42735</v>
      </c>
      <c r="EA60" s="119">
        <f t="shared" si="156"/>
        <v>42825</v>
      </c>
      <c r="EB60" s="119">
        <f t="shared" si="156"/>
        <v>42916</v>
      </c>
      <c r="EC60" s="119">
        <f t="shared" si="156"/>
        <v>43008</v>
      </c>
      <c r="ED60" s="119">
        <f t="shared" si="156"/>
        <v>43100</v>
      </c>
      <c r="EE60" s="119">
        <f t="shared" si="156"/>
        <v>43190</v>
      </c>
      <c r="EF60" s="119">
        <f t="shared" si="156"/>
        <v>43281</v>
      </c>
      <c r="EG60" s="119">
        <f t="shared" si="156"/>
        <v>43373</v>
      </c>
      <c r="EH60" s="119">
        <f t="shared" si="156"/>
        <v>43465</v>
      </c>
      <c r="EI60" s="119">
        <f t="shared" si="156"/>
        <v>43555</v>
      </c>
      <c r="EJ60" s="119">
        <f t="shared" si="156"/>
        <v>43646</v>
      </c>
      <c r="EK60" s="119">
        <f t="shared" si="156"/>
        <v>43738</v>
      </c>
      <c r="EL60" s="119">
        <f t="shared" si="156"/>
        <v>43830</v>
      </c>
      <c r="EM60" s="119">
        <f t="shared" si="156"/>
        <v>43921</v>
      </c>
      <c r="EN60" s="119">
        <f t="shared" si="156"/>
        <v>44012</v>
      </c>
      <c r="EO60" s="119">
        <f t="shared" si="156"/>
        <v>44104</v>
      </c>
      <c r="EP60" s="119">
        <f t="shared" si="156"/>
        <v>44196</v>
      </c>
      <c r="EQ60" s="18"/>
      <c r="ER60" s="18"/>
      <c r="ES60" s="355">
        <f t="shared" si="18"/>
        <v>55</v>
      </c>
      <c r="ET60"/>
      <c r="EU60"/>
      <c r="EV60"/>
      <c r="EW60"/>
      <c r="EX60"/>
      <c r="EY60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</row>
    <row r="61" spans="1:257" s="4" customFormat="1" ht="12.75" customHeight="1" outlineLevel="1">
      <c r="A61" s="15"/>
      <c r="B61" s="286" t="s">
        <v>212</v>
      </c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92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174"/>
      <c r="AB61" s="174"/>
      <c r="AC61" s="22"/>
      <c r="AD61" s="27"/>
      <c r="AE61" s="27"/>
      <c r="AF61" s="27"/>
      <c r="AG61" s="1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A61" s="291"/>
      <c r="EB61" s="291"/>
      <c r="EC61" s="291"/>
      <c r="ED61" s="291"/>
      <c r="EE61" s="291"/>
      <c r="EF61" s="291"/>
      <c r="EG61" s="291"/>
      <c r="EH61" s="291"/>
      <c r="EI61" s="291"/>
      <c r="EJ61" s="291"/>
      <c r="EK61" s="291"/>
      <c r="EL61" s="291"/>
      <c r="EM61" s="291"/>
      <c r="EN61" s="291"/>
      <c r="EO61" s="291"/>
      <c r="EP61" s="291"/>
      <c r="EQ61" s="20"/>
      <c r="ER61" s="20"/>
      <c r="ES61" s="355">
        <f t="shared" si="18"/>
        <v>56</v>
      </c>
      <c r="ET61"/>
      <c r="EU61"/>
      <c r="EV61"/>
      <c r="EW61"/>
      <c r="EX61"/>
      <c r="EY6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</row>
    <row r="62" spans="1:257" s="10" customFormat="1" ht="12.75" customHeight="1" outlineLevel="1">
      <c r="A62" s="9"/>
      <c r="B62" s="14" t="s">
        <v>210</v>
      </c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33">
        <f t="shared" ref="N62:AF62" si="157">N108</f>
        <v>47.961150684931503</v>
      </c>
      <c r="O62" s="33">
        <f t="shared" si="157"/>
        <v>61.884931506849313</v>
      </c>
      <c r="P62" s="33">
        <f t="shared" si="157"/>
        <v>75.060109289617486</v>
      </c>
      <c r="Q62" s="33">
        <f t="shared" si="157"/>
        <v>84.843835616438355</v>
      </c>
      <c r="R62" s="33">
        <f t="shared" si="157"/>
        <v>94.284931506849318</v>
      </c>
      <c r="S62" s="33">
        <f t="shared" si="157"/>
        <v>129.69315068493151</v>
      </c>
      <c r="T62" s="33">
        <f t="shared" si="157"/>
        <v>163.39890710382514</v>
      </c>
      <c r="U62" s="33">
        <f t="shared" si="157"/>
        <v>131.65753424657535</v>
      </c>
      <c r="V62" s="33">
        <f t="shared" si="157"/>
        <v>150.82465753424657</v>
      </c>
      <c r="W62" s="33">
        <f t="shared" si="157"/>
        <v>202.47945205479451</v>
      </c>
      <c r="X62" s="33">
        <f t="shared" si="157"/>
        <v>235.90163934426229</v>
      </c>
      <c r="Y62" s="33">
        <f t="shared" si="157"/>
        <v>242.79452054794521</v>
      </c>
      <c r="Z62" s="33">
        <f t="shared" si="157"/>
        <v>275.72054794520545</v>
      </c>
      <c r="AA62" s="33">
        <f t="shared" si="157"/>
        <v>207.85205479452054</v>
      </c>
      <c r="AB62" s="33">
        <f t="shared" si="157"/>
        <v>101.04918032786885</v>
      </c>
      <c r="AC62" s="33">
        <f t="shared" si="157"/>
        <v>156.49315068493149</v>
      </c>
      <c r="AD62" s="33">
        <f t="shared" si="157"/>
        <v>214.06445205479451</v>
      </c>
      <c r="AE62" s="33">
        <f t="shared" si="157"/>
        <v>242.50684931506851</v>
      </c>
      <c r="AF62" s="33">
        <f t="shared" si="157"/>
        <v>260.71232876712327</v>
      </c>
      <c r="AG62" s="41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33"/>
      <c r="BP62" s="33"/>
      <c r="BQ62" s="33">
        <f t="shared" ref="BQ62:CV62" si="158">BQ108</f>
        <v>49</v>
      </c>
      <c r="BR62" s="33">
        <f t="shared" si="158"/>
        <v>45.835000000000001</v>
      </c>
      <c r="BS62" s="33">
        <f t="shared" si="158"/>
        <v>44.277777777777779</v>
      </c>
      <c r="BT62" s="33">
        <f t="shared" si="158"/>
        <v>49.07692307692308</v>
      </c>
      <c r="BU62" s="33">
        <f t="shared" si="158"/>
        <v>52.586956521739133</v>
      </c>
      <c r="BV62" s="33">
        <f t="shared" si="158"/>
        <v>54.510869565217391</v>
      </c>
      <c r="BW62" s="33">
        <f t="shared" si="158"/>
        <v>59.522222222222226</v>
      </c>
      <c r="BX62" s="33">
        <f t="shared" si="158"/>
        <v>64.967032967032964</v>
      </c>
      <c r="BY62" s="33">
        <f t="shared" si="158"/>
        <v>68.521739130434781</v>
      </c>
      <c r="BZ62" s="33">
        <f t="shared" si="158"/>
        <v>68.260869565217391</v>
      </c>
      <c r="CA62" s="33">
        <f t="shared" si="158"/>
        <v>74.263736263736263</v>
      </c>
      <c r="CB62" s="33">
        <f t="shared" si="158"/>
        <v>77.703296703296701</v>
      </c>
      <c r="CC62" s="33">
        <f t="shared" si="158"/>
        <v>80.032608695652172</v>
      </c>
      <c r="CD62" s="33">
        <f t="shared" si="158"/>
        <v>82.478260869565219</v>
      </c>
      <c r="CE62" s="33">
        <f t="shared" si="158"/>
        <v>84.322222222222223</v>
      </c>
      <c r="CF62" s="33">
        <f t="shared" si="158"/>
        <v>85.681318681318686</v>
      </c>
      <c r="CG62" s="33">
        <f t="shared" si="158"/>
        <v>86.891304347826093</v>
      </c>
      <c r="CH62" s="33">
        <f t="shared" si="158"/>
        <v>87.336956521739125</v>
      </c>
      <c r="CI62" s="33">
        <f t="shared" si="158"/>
        <v>89.844444444444449</v>
      </c>
      <c r="CJ62" s="33">
        <f t="shared" si="158"/>
        <v>95.780219780219781</v>
      </c>
      <c r="CK62" s="33">
        <f t="shared" si="158"/>
        <v>104.09782608695652</v>
      </c>
      <c r="CL62" s="33">
        <f t="shared" si="158"/>
        <v>114.65217391304348</v>
      </c>
      <c r="CM62" s="33">
        <f t="shared" si="158"/>
        <v>123.95555555555555</v>
      </c>
      <c r="CN62" s="33">
        <f t="shared" si="158"/>
        <v>135.94505494505495</v>
      </c>
      <c r="CO62" s="33">
        <f t="shared" si="158"/>
        <v>144.16304347826087</v>
      </c>
      <c r="CP62" s="33">
        <f t="shared" si="158"/>
        <v>150.94565217391303</v>
      </c>
      <c r="CQ62" s="33">
        <f t="shared" si="158"/>
        <v>156.83516483516485</v>
      </c>
      <c r="CR62" s="33">
        <f t="shared" si="158"/>
        <v>167.72527472527472</v>
      </c>
      <c r="CS62" s="33">
        <f t="shared" si="158"/>
        <v>178.06521739130434</v>
      </c>
      <c r="CT62" s="33">
        <f t="shared" si="158"/>
        <v>177.41304347826087</v>
      </c>
      <c r="CU62" s="33">
        <f t="shared" si="158"/>
        <v>139.21111111111111</v>
      </c>
      <c r="CV62" s="33">
        <f t="shared" si="158"/>
        <v>102.21978021978022</v>
      </c>
      <c r="CW62" s="33">
        <f t="shared" ref="CW62:EB62" si="159">CW108</f>
        <v>107.6304347826087</v>
      </c>
      <c r="CX62" s="33">
        <f t="shared" si="159"/>
        <v>122.39130434782609</v>
      </c>
      <c r="CY62" s="33">
        <f t="shared" si="159"/>
        <v>145.71111111111111</v>
      </c>
      <c r="CZ62" s="33">
        <f t="shared" si="159"/>
        <v>157.95604395604394</v>
      </c>
      <c r="DA62" s="33">
        <f t="shared" si="159"/>
        <v>177.20652173913044</v>
      </c>
      <c r="DB62" s="33">
        <f t="shared" si="159"/>
        <v>187.4891304347826</v>
      </c>
      <c r="DC62" s="33">
        <f t="shared" si="159"/>
        <v>197.74444444444444</v>
      </c>
      <c r="DD62" s="33">
        <f t="shared" si="159"/>
        <v>207.82417582417582</v>
      </c>
      <c r="DE62" s="33">
        <f t="shared" si="159"/>
        <v>216.81521739130434</v>
      </c>
      <c r="DF62" s="33">
        <f t="shared" si="159"/>
        <v>227.91304347826087</v>
      </c>
      <c r="DG62" s="33">
        <f t="shared" si="159"/>
        <v>235.64835164835165</v>
      </c>
      <c r="DH62" s="33">
        <f t="shared" si="159"/>
        <v>241.50549450549451</v>
      </c>
      <c r="DI62" s="33">
        <f t="shared" si="159"/>
        <v>238.59782608695653</v>
      </c>
      <c r="DJ62" s="33">
        <f t="shared" si="159"/>
        <v>236.33695652173913</v>
      </c>
      <c r="DK62" s="33">
        <f t="shared" si="159"/>
        <v>242.74444444444444</v>
      </c>
      <c r="DL62" s="33">
        <f t="shared" si="159"/>
        <v>247.36263736263737</v>
      </c>
      <c r="DM62" s="33">
        <f t="shared" si="159"/>
        <v>244.78260869565219</v>
      </c>
      <c r="DN62" s="33">
        <f t="shared" si="159"/>
        <v>255.04347826086956</v>
      </c>
      <c r="DO62" s="33">
        <f t="shared" si="159"/>
        <v>270</v>
      </c>
      <c r="DP62" s="33">
        <f t="shared" si="159"/>
        <v>286.39560439560438</v>
      </c>
      <c r="DQ62" s="33">
        <f t="shared" si="159"/>
        <v>291.43478260869563</v>
      </c>
      <c r="DR62" s="33">
        <f t="shared" si="159"/>
        <v>297.33695652173913</v>
      </c>
      <c r="DS62" s="33">
        <f t="shared" si="159"/>
        <v>231.13333333333333</v>
      </c>
      <c r="DT62" s="33">
        <f t="shared" si="159"/>
        <v>156.25274725274724</v>
      </c>
      <c r="DU62" s="33">
        <f t="shared" si="159"/>
        <v>146.63043478260869</v>
      </c>
      <c r="DV62" s="33">
        <f t="shared" si="159"/>
        <v>129.83695652173913</v>
      </c>
      <c r="DW62" s="33">
        <f t="shared" si="159"/>
        <v>105.50549450549451</v>
      </c>
      <c r="DX62" s="33">
        <f t="shared" si="159"/>
        <v>82.230769230769226</v>
      </c>
      <c r="DY62" s="33">
        <f t="shared" si="159"/>
        <v>86.467391304347828</v>
      </c>
      <c r="DZ62" s="33">
        <f t="shared" si="159"/>
        <v>106.34782608695652</v>
      </c>
      <c r="EA62" s="33">
        <f t="shared" si="159"/>
        <v>146.28888888888889</v>
      </c>
      <c r="EB62" s="33">
        <f t="shared" si="159"/>
        <v>182.16483516483515</v>
      </c>
      <c r="EC62" s="33">
        <f t="shared" ref="EC62:ED62" si="160">EC108</f>
        <v>191.22826086956522</v>
      </c>
      <c r="ED62" s="33">
        <f t="shared" si="160"/>
        <v>199.58695652173913</v>
      </c>
      <c r="EE62" s="290">
        <f>+ED62*1.035</f>
        <v>206.57249999999999</v>
      </c>
      <c r="EF62" s="290">
        <v>220</v>
      </c>
      <c r="EG62" s="290">
        <v>230</v>
      </c>
      <c r="EH62" s="290">
        <v>235</v>
      </c>
      <c r="EI62" s="290">
        <v>240</v>
      </c>
      <c r="EJ62" s="290">
        <v>245</v>
      </c>
      <c r="EK62" s="290">
        <v>250</v>
      </c>
      <c r="EL62" s="290">
        <v>260</v>
      </c>
      <c r="EM62" s="290">
        <v>260</v>
      </c>
      <c r="EN62" s="290">
        <v>260</v>
      </c>
      <c r="EO62" s="290">
        <v>260</v>
      </c>
      <c r="EP62" s="290">
        <v>260</v>
      </c>
      <c r="EQ62" s="20"/>
      <c r="ER62" s="20"/>
      <c r="ES62" s="355">
        <f t="shared" si="18"/>
        <v>57</v>
      </c>
      <c r="ET62"/>
      <c r="EU62"/>
      <c r="EV62"/>
      <c r="EW62"/>
      <c r="EX62"/>
      <c r="EY62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</row>
    <row r="63" spans="1:257" s="10" customFormat="1" ht="12.75" customHeight="1" outlineLevel="1">
      <c r="A63" s="9"/>
      <c r="B63" s="14" t="s">
        <v>209</v>
      </c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33">
        <f t="shared" ref="N63:AF63" si="161">N112</f>
        <v>12397</v>
      </c>
      <c r="O63" s="33">
        <f t="shared" si="161"/>
        <v>11436</v>
      </c>
      <c r="P63" s="33">
        <f t="shared" si="161"/>
        <v>11635</v>
      </c>
      <c r="Q63" s="33">
        <f t="shared" si="161"/>
        <v>15941</v>
      </c>
      <c r="R63" s="33">
        <f t="shared" si="161"/>
        <v>22751</v>
      </c>
      <c r="S63" s="33">
        <f t="shared" si="161"/>
        <v>23573</v>
      </c>
      <c r="T63" s="33">
        <f t="shared" si="161"/>
        <v>24522</v>
      </c>
      <c r="U63" s="33">
        <f t="shared" si="161"/>
        <v>24686.934304442824</v>
      </c>
      <c r="V63" s="33">
        <f t="shared" si="161"/>
        <v>23164.723674411001</v>
      </c>
      <c r="W63" s="33">
        <f t="shared" si="161"/>
        <v>25809.210080508761</v>
      </c>
      <c r="X63" s="33">
        <f t="shared" si="161"/>
        <v>27737.315438962243</v>
      </c>
      <c r="Y63" s="33">
        <f t="shared" si="161"/>
        <v>28196.669656962313</v>
      </c>
      <c r="Z63" s="33">
        <f t="shared" si="161"/>
        <v>28194.372225203198</v>
      </c>
      <c r="AA63" s="33">
        <f t="shared" si="161"/>
        <v>27528.008343658552</v>
      </c>
      <c r="AB63" s="33">
        <f t="shared" si="161"/>
        <v>25448.108722690893</v>
      </c>
      <c r="AC63" s="33">
        <f t="shared" si="161"/>
        <v>22178.879096638655</v>
      </c>
      <c r="AD63" s="33">
        <f t="shared" si="161"/>
        <v>22286.630934032481</v>
      </c>
      <c r="AE63" s="33">
        <f t="shared" si="161"/>
        <v>23362.001186239624</v>
      </c>
      <c r="AF63" s="33">
        <f t="shared" si="161"/>
        <v>23259.615384615383</v>
      </c>
      <c r="AG63" s="41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33">
        <f t="shared" ref="BO63:CT63" si="162">BO112</f>
        <v>0</v>
      </c>
      <c r="BP63" s="33">
        <f t="shared" si="162"/>
        <v>0</v>
      </c>
      <c r="BQ63" s="33">
        <f t="shared" si="162"/>
        <v>0</v>
      </c>
      <c r="BR63" s="33">
        <f t="shared" si="162"/>
        <v>0</v>
      </c>
      <c r="BS63" s="33">
        <f t="shared" si="162"/>
        <v>12386</v>
      </c>
      <c r="BT63" s="33">
        <f t="shared" si="162"/>
        <v>11501</v>
      </c>
      <c r="BU63" s="33">
        <f t="shared" si="162"/>
        <v>11688</v>
      </c>
      <c r="BV63" s="33">
        <f t="shared" si="162"/>
        <v>11322</v>
      </c>
      <c r="BW63" s="33">
        <f t="shared" si="162"/>
        <v>11428</v>
      </c>
      <c r="BX63" s="33">
        <f t="shared" si="162"/>
        <v>11752</v>
      </c>
      <c r="BY63" s="33">
        <f t="shared" si="162"/>
        <v>11236</v>
      </c>
      <c r="BZ63" s="33">
        <f t="shared" si="162"/>
        <v>11255</v>
      </c>
      <c r="CA63" s="33">
        <f t="shared" si="162"/>
        <v>11218</v>
      </c>
      <c r="CB63" s="33">
        <f t="shared" si="162"/>
        <v>11537</v>
      </c>
      <c r="CC63" s="33">
        <f t="shared" si="162"/>
        <v>12437</v>
      </c>
      <c r="CD63" s="33">
        <f t="shared" si="162"/>
        <v>13363</v>
      </c>
      <c r="CE63" s="33">
        <f t="shared" si="162"/>
        <v>15018</v>
      </c>
      <c r="CF63" s="33">
        <f t="shared" si="162"/>
        <v>16658</v>
      </c>
      <c r="CG63" s="33">
        <f t="shared" si="162"/>
        <v>18563</v>
      </c>
      <c r="CH63" s="33">
        <f t="shared" si="162"/>
        <v>20198</v>
      </c>
      <c r="CI63" s="33">
        <f t="shared" si="162"/>
        <v>22593</v>
      </c>
      <c r="CJ63" s="33">
        <f t="shared" si="162"/>
        <v>23503</v>
      </c>
      <c r="CK63" s="33">
        <f t="shared" si="162"/>
        <v>24343</v>
      </c>
      <c r="CL63" s="33">
        <f t="shared" si="162"/>
        <v>24231</v>
      </c>
      <c r="CM63" s="33">
        <f t="shared" si="162"/>
        <v>23032</v>
      </c>
      <c r="CN63" s="33">
        <f t="shared" si="162"/>
        <v>23401</v>
      </c>
      <c r="CO63" s="33">
        <f t="shared" si="162"/>
        <v>23666</v>
      </c>
      <c r="CP63" s="33">
        <f t="shared" si="162"/>
        <v>24006</v>
      </c>
      <c r="CQ63" s="33">
        <f t="shared" si="162"/>
        <v>24415</v>
      </c>
      <c r="CR63" s="33">
        <f t="shared" si="162"/>
        <v>24543</v>
      </c>
      <c r="CS63" s="33">
        <f t="shared" si="162"/>
        <v>25034</v>
      </c>
      <c r="CT63" s="33">
        <f t="shared" si="162"/>
        <v>25966</v>
      </c>
      <c r="CU63" s="33">
        <f t="shared" ref="CU63:EB63" si="163">CU112</f>
        <v>24884</v>
      </c>
      <c r="CV63" s="33">
        <f t="shared" si="163"/>
        <v>23925</v>
      </c>
      <c r="CW63" s="33">
        <f t="shared" si="163"/>
        <v>23045</v>
      </c>
      <c r="CX63" s="33">
        <f t="shared" si="163"/>
        <v>22734</v>
      </c>
      <c r="CY63" s="33">
        <f t="shared" si="163"/>
        <v>22582</v>
      </c>
      <c r="CZ63" s="33">
        <f t="shared" si="163"/>
        <v>22990</v>
      </c>
      <c r="DA63" s="33">
        <f t="shared" si="163"/>
        <v>24085</v>
      </c>
      <c r="DB63" s="33">
        <f t="shared" si="163"/>
        <v>24952</v>
      </c>
      <c r="DC63" s="33">
        <f t="shared" si="163"/>
        <v>25640</v>
      </c>
      <c r="DD63" s="33">
        <f t="shared" si="163"/>
        <v>25970</v>
      </c>
      <c r="DE63" s="33">
        <f t="shared" si="163"/>
        <v>26549</v>
      </c>
      <c r="DF63" s="33">
        <f t="shared" si="163"/>
        <v>26861</v>
      </c>
      <c r="DG63" s="33">
        <f t="shared" si="163"/>
        <v>27625</v>
      </c>
      <c r="DH63" s="33">
        <f t="shared" si="163"/>
        <v>28096</v>
      </c>
      <c r="DI63" s="33">
        <f t="shared" si="163"/>
        <v>28325</v>
      </c>
      <c r="DJ63" s="33">
        <f t="shared" si="163"/>
        <v>28040</v>
      </c>
      <c r="DK63" s="33">
        <f t="shared" si="163"/>
        <v>28255</v>
      </c>
      <c r="DL63" s="33">
        <f t="shared" si="163"/>
        <v>28160</v>
      </c>
      <c r="DM63" s="33">
        <f t="shared" si="163"/>
        <v>28328</v>
      </c>
      <c r="DN63" s="33">
        <f t="shared" si="163"/>
        <v>28468</v>
      </c>
      <c r="DO63" s="33">
        <f t="shared" si="163"/>
        <v>28037</v>
      </c>
      <c r="DP63" s="33">
        <f t="shared" si="163"/>
        <v>28125.999999999993</v>
      </c>
      <c r="DQ63" s="33">
        <f t="shared" si="163"/>
        <v>28164</v>
      </c>
      <c r="DR63" s="33">
        <f t="shared" si="163"/>
        <v>28603</v>
      </c>
      <c r="DS63" s="33">
        <f t="shared" si="163"/>
        <v>27575</v>
      </c>
      <c r="DT63" s="33">
        <f t="shared" si="163"/>
        <v>26634</v>
      </c>
      <c r="DU63" s="33">
        <f t="shared" si="163"/>
        <v>26218</v>
      </c>
      <c r="DV63" s="33">
        <f t="shared" si="163"/>
        <v>26234</v>
      </c>
      <c r="DW63" s="33">
        <f t="shared" si="163"/>
        <v>25931</v>
      </c>
      <c r="DX63" s="33">
        <f t="shared" si="163"/>
        <v>24684</v>
      </c>
      <c r="DY63" s="33">
        <f t="shared" si="163"/>
        <v>24404</v>
      </c>
      <c r="DZ63" s="33">
        <f t="shared" si="163"/>
        <v>23891</v>
      </c>
      <c r="EA63" s="33">
        <f t="shared" si="163"/>
        <v>22201</v>
      </c>
      <c r="EB63" s="33">
        <f t="shared" si="163"/>
        <v>21676</v>
      </c>
      <c r="EC63" s="33">
        <f t="shared" ref="EC63:ED63" si="164">EC112</f>
        <v>21684</v>
      </c>
      <c r="ED63" s="33">
        <f t="shared" si="164"/>
        <v>22167</v>
      </c>
      <c r="EE63" s="290">
        <v>22250</v>
      </c>
      <c r="EF63" s="290">
        <v>22187.045454545456</v>
      </c>
      <c r="EG63" s="290">
        <v>22516.847826086956</v>
      </c>
      <c r="EH63" s="290">
        <v>22962.468085106382</v>
      </c>
      <c r="EI63" s="290">
        <v>23577.5</v>
      </c>
      <c r="EJ63" s="290">
        <v>23489.489795918369</v>
      </c>
      <c r="EK63" s="290">
        <v>23411.599999999999</v>
      </c>
      <c r="EL63" s="290">
        <v>23415.384615384617</v>
      </c>
      <c r="EM63" s="290">
        <v>23311.538461538461</v>
      </c>
      <c r="EN63" s="290">
        <v>23207.692307692309</v>
      </c>
      <c r="EO63" s="290">
        <v>23103.846153846152</v>
      </c>
      <c r="EP63" s="290">
        <v>23000</v>
      </c>
      <c r="EQ63" s="20"/>
      <c r="ER63" s="20"/>
      <c r="ES63" s="355">
        <f t="shared" si="18"/>
        <v>58</v>
      </c>
      <c r="ET63"/>
      <c r="EU63"/>
      <c r="EV63"/>
      <c r="EW63"/>
      <c r="EX63"/>
      <c r="EY63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</row>
    <row r="64" spans="1:257" s="10" customFormat="1" ht="12.75" customHeight="1" outlineLevel="1">
      <c r="A64" s="9"/>
      <c r="B64" s="14" t="s">
        <v>208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33">
        <f t="shared" ref="N64:AF64" si="165">N113</f>
        <v>8561</v>
      </c>
      <c r="O64" s="33">
        <f t="shared" si="165"/>
        <v>8221</v>
      </c>
      <c r="P64" s="33">
        <f t="shared" si="165"/>
        <v>8001</v>
      </c>
      <c r="Q64" s="33">
        <f t="shared" si="165"/>
        <v>8403</v>
      </c>
      <c r="R64" s="33">
        <f t="shared" si="165"/>
        <v>10250</v>
      </c>
      <c r="S64" s="33">
        <f t="shared" si="165"/>
        <v>11170</v>
      </c>
      <c r="T64" s="33">
        <f t="shared" si="165"/>
        <v>11393</v>
      </c>
      <c r="U64" s="33">
        <f t="shared" si="165"/>
        <v>12008.906461346374</v>
      </c>
      <c r="V64" s="33">
        <f t="shared" si="165"/>
        <v>12287.914842600498</v>
      </c>
      <c r="W64" s="33">
        <f t="shared" si="165"/>
        <v>12489.452675732358</v>
      </c>
      <c r="X64" s="33">
        <f t="shared" si="165"/>
        <v>13022.527217975443</v>
      </c>
      <c r="Y64" s="33">
        <f t="shared" si="165"/>
        <v>13027.454299255251</v>
      </c>
      <c r="Z64" s="33">
        <f t="shared" si="165"/>
        <v>13054.81031022079</v>
      </c>
      <c r="AA64" s="33">
        <f t="shared" si="165"/>
        <v>13482.930429968628</v>
      </c>
      <c r="AB64" s="33">
        <f t="shared" si="165"/>
        <v>13368.972961280553</v>
      </c>
      <c r="AC64" s="33">
        <f t="shared" si="165"/>
        <v>14611.646358543419</v>
      </c>
      <c r="AD64" s="33">
        <f t="shared" si="165"/>
        <v>13670.26762839639</v>
      </c>
      <c r="AE64" s="33">
        <f t="shared" si="165"/>
        <v>13500</v>
      </c>
      <c r="AF64" s="33">
        <f t="shared" si="165"/>
        <v>13500</v>
      </c>
      <c r="AG64" s="41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33">
        <f t="shared" ref="BO64:CT64" si="166">BO113</f>
        <v>0</v>
      </c>
      <c r="BP64" s="33">
        <f t="shared" si="166"/>
        <v>0</v>
      </c>
      <c r="BQ64" s="33">
        <f t="shared" si="166"/>
        <v>0</v>
      </c>
      <c r="BR64" s="33">
        <f t="shared" si="166"/>
        <v>0</v>
      </c>
      <c r="BS64" s="33">
        <f t="shared" si="166"/>
        <v>8841</v>
      </c>
      <c r="BT64" s="33">
        <f t="shared" si="166"/>
        <v>8111</v>
      </c>
      <c r="BU64" s="33">
        <f t="shared" si="166"/>
        <v>8564</v>
      </c>
      <c r="BV64" s="33">
        <f t="shared" si="166"/>
        <v>8693</v>
      </c>
      <c r="BW64" s="33">
        <f t="shared" si="166"/>
        <v>8390</v>
      </c>
      <c r="BX64" s="33">
        <f t="shared" si="166"/>
        <v>8080</v>
      </c>
      <c r="BY64" s="33">
        <f t="shared" si="166"/>
        <v>7837</v>
      </c>
      <c r="BZ64" s="33">
        <f t="shared" si="166"/>
        <v>7841</v>
      </c>
      <c r="CA64" s="33">
        <f t="shared" si="166"/>
        <v>8032</v>
      </c>
      <c r="CB64" s="33">
        <f t="shared" si="166"/>
        <v>7893</v>
      </c>
      <c r="CC64" s="33">
        <f t="shared" si="166"/>
        <v>8214</v>
      </c>
      <c r="CD64" s="33">
        <f t="shared" si="166"/>
        <v>7800</v>
      </c>
      <c r="CE64" s="33">
        <f t="shared" si="166"/>
        <v>8074</v>
      </c>
      <c r="CF64" s="33">
        <f t="shared" si="166"/>
        <v>8439</v>
      </c>
      <c r="CG64" s="33">
        <f t="shared" si="166"/>
        <v>9246</v>
      </c>
      <c r="CH64" s="33">
        <f t="shared" si="166"/>
        <v>9179</v>
      </c>
      <c r="CI64" s="33">
        <f t="shared" si="166"/>
        <v>10026</v>
      </c>
      <c r="CJ64" s="33">
        <f t="shared" si="166"/>
        <v>10565</v>
      </c>
      <c r="CK64" s="33">
        <f t="shared" si="166"/>
        <v>11055</v>
      </c>
      <c r="CL64" s="33">
        <f t="shared" si="166"/>
        <v>10717</v>
      </c>
      <c r="CM64" s="33">
        <f t="shared" si="166"/>
        <v>10774</v>
      </c>
      <c r="CN64" s="33">
        <f t="shared" si="166"/>
        <v>11619</v>
      </c>
      <c r="CO64" s="33">
        <f t="shared" si="166"/>
        <v>11445</v>
      </c>
      <c r="CP64" s="33">
        <f t="shared" si="166"/>
        <v>10895</v>
      </c>
      <c r="CQ64" s="33">
        <f t="shared" si="166"/>
        <v>11557</v>
      </c>
      <c r="CR64" s="33">
        <f t="shared" si="166"/>
        <v>11178</v>
      </c>
      <c r="CS64" s="33">
        <f t="shared" si="166"/>
        <v>11871</v>
      </c>
      <c r="CT64" s="33">
        <f t="shared" si="166"/>
        <v>12246</v>
      </c>
      <c r="CU64" s="33">
        <f t="shared" ref="CU64:EB64" si="167">CU113</f>
        <v>12030</v>
      </c>
      <c r="CV64" s="33">
        <f t="shared" si="167"/>
        <v>12273</v>
      </c>
      <c r="CW64" s="33">
        <f t="shared" si="167"/>
        <v>11344</v>
      </c>
      <c r="CX64" s="33">
        <f t="shared" si="167"/>
        <v>11083</v>
      </c>
      <c r="CY64" s="33">
        <f t="shared" si="167"/>
        <v>12095</v>
      </c>
      <c r="CZ64" s="33">
        <f t="shared" si="167"/>
        <v>12539</v>
      </c>
      <c r="DA64" s="33">
        <f t="shared" si="167"/>
        <v>13054</v>
      </c>
      <c r="DB64" s="33">
        <f t="shared" si="167"/>
        <v>11932</v>
      </c>
      <c r="DC64" s="33">
        <f t="shared" si="167"/>
        <v>12457</v>
      </c>
      <c r="DD64" s="33">
        <f t="shared" si="167"/>
        <v>12748</v>
      </c>
      <c r="DE64" s="33">
        <f t="shared" si="167"/>
        <v>12935</v>
      </c>
      <c r="DF64" s="33">
        <f t="shared" si="167"/>
        <v>12292</v>
      </c>
      <c r="DG64" s="33">
        <f t="shared" si="167"/>
        <v>13826</v>
      </c>
      <c r="DH64" s="33">
        <f t="shared" si="167"/>
        <v>13337</v>
      </c>
      <c r="DI64" s="33">
        <f t="shared" si="167"/>
        <v>12620</v>
      </c>
      <c r="DJ64" s="33">
        <f t="shared" si="167"/>
        <v>12634</v>
      </c>
      <c r="DK64" s="33">
        <f t="shared" si="167"/>
        <v>13085</v>
      </c>
      <c r="DL64" s="33">
        <f t="shared" si="167"/>
        <v>12746</v>
      </c>
      <c r="DM64" s="33">
        <f t="shared" si="167"/>
        <v>13638</v>
      </c>
      <c r="DN64" s="33">
        <f t="shared" si="167"/>
        <v>12934</v>
      </c>
      <c r="DO64" s="33">
        <f t="shared" si="167"/>
        <v>13080</v>
      </c>
      <c r="DP64" s="33">
        <f t="shared" si="167"/>
        <v>13035</v>
      </c>
      <c r="DQ64" s="33">
        <f t="shared" si="167"/>
        <v>13170</v>
      </c>
      <c r="DR64" s="33">
        <f t="shared" si="167"/>
        <v>13046</v>
      </c>
      <c r="DS64" s="33">
        <f t="shared" si="167"/>
        <v>13395</v>
      </c>
      <c r="DT64" s="33">
        <f t="shared" si="167"/>
        <v>14130</v>
      </c>
      <c r="DU64" s="33">
        <f t="shared" si="167"/>
        <v>13823</v>
      </c>
      <c r="DV64" s="33">
        <f t="shared" si="167"/>
        <v>12890</v>
      </c>
      <c r="DW64" s="33">
        <f t="shared" si="167"/>
        <v>14029</v>
      </c>
      <c r="DX64" s="33">
        <f t="shared" si="167"/>
        <v>13417</v>
      </c>
      <c r="DY64" s="33">
        <f t="shared" si="167"/>
        <v>13326</v>
      </c>
      <c r="DZ64" s="33">
        <f t="shared" si="167"/>
        <v>15064</v>
      </c>
      <c r="EA64" s="33">
        <f t="shared" si="167"/>
        <v>15612</v>
      </c>
      <c r="EB64" s="33">
        <f t="shared" si="167"/>
        <v>14256</v>
      </c>
      <c r="EC64" s="33">
        <f t="shared" ref="EC64:ED64" si="168">EC113</f>
        <v>13905</v>
      </c>
      <c r="ED64" s="33">
        <f t="shared" si="168"/>
        <v>13546</v>
      </c>
      <c r="EE64" s="290">
        <v>13900</v>
      </c>
      <c r="EF64" s="290">
        <v>13750</v>
      </c>
      <c r="EG64" s="290">
        <v>13500</v>
      </c>
      <c r="EH64" s="290">
        <v>13500</v>
      </c>
      <c r="EI64" s="290">
        <v>13500</v>
      </c>
      <c r="EJ64" s="290">
        <v>13500</v>
      </c>
      <c r="EK64" s="290">
        <v>13500</v>
      </c>
      <c r="EL64" s="290">
        <v>13500</v>
      </c>
      <c r="EM64" s="290">
        <v>13500</v>
      </c>
      <c r="EN64" s="290">
        <v>13500</v>
      </c>
      <c r="EO64" s="290">
        <v>13500</v>
      </c>
      <c r="EP64" s="290">
        <v>13500</v>
      </c>
      <c r="EQ64" s="20"/>
      <c r="ER64" s="20"/>
      <c r="ES64" s="355">
        <f t="shared" si="18"/>
        <v>59</v>
      </c>
      <c r="ET64"/>
      <c r="EU64"/>
      <c r="EV64"/>
      <c r="EW64"/>
      <c r="EX64"/>
      <c r="EY64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</row>
    <row r="65" spans="1:257" s="10" customFormat="1" ht="12.75" customHeight="1" outlineLevel="1">
      <c r="A65" s="9"/>
      <c r="B65" s="14" t="s">
        <v>207</v>
      </c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33">
        <f t="shared" ref="N65:AF65" si="169">N114</f>
        <v>3836</v>
      </c>
      <c r="O65" s="33">
        <f t="shared" si="169"/>
        <v>3215</v>
      </c>
      <c r="P65" s="33">
        <f t="shared" si="169"/>
        <v>3634</v>
      </c>
      <c r="Q65" s="33">
        <f t="shared" si="169"/>
        <v>7538</v>
      </c>
      <c r="R65" s="33">
        <f t="shared" si="169"/>
        <v>12501</v>
      </c>
      <c r="S65" s="33">
        <f t="shared" si="169"/>
        <v>12403</v>
      </c>
      <c r="T65" s="33">
        <f t="shared" si="169"/>
        <v>13129</v>
      </c>
      <c r="U65" s="33">
        <f t="shared" si="169"/>
        <v>12678.02784309645</v>
      </c>
      <c r="V65" s="33">
        <f t="shared" si="169"/>
        <v>10876.808831810504</v>
      </c>
      <c r="W65" s="33">
        <f t="shared" si="169"/>
        <v>13319.757404776403</v>
      </c>
      <c r="X65" s="33">
        <f t="shared" si="169"/>
        <v>14714.7882209868</v>
      </c>
      <c r="Y65" s="33">
        <f t="shared" si="169"/>
        <v>15169.215357707062</v>
      </c>
      <c r="Z65" s="33">
        <f t="shared" si="169"/>
        <v>15139.561914982409</v>
      </c>
      <c r="AA65" s="33">
        <f t="shared" si="169"/>
        <v>14045.077913689924</v>
      </c>
      <c r="AB65" s="33">
        <f t="shared" si="169"/>
        <v>12079.13576141034</v>
      </c>
      <c r="AC65" s="33">
        <f t="shared" si="169"/>
        <v>7567.2327380952356</v>
      </c>
      <c r="AD65" s="33">
        <f t="shared" si="169"/>
        <v>8616.3633056360904</v>
      </c>
      <c r="AE65" s="33">
        <f t="shared" si="169"/>
        <v>9862.0011862396241</v>
      </c>
      <c r="AF65" s="33">
        <f t="shared" si="169"/>
        <v>9759.6153846153829</v>
      </c>
      <c r="AG65" s="41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33">
        <f t="shared" ref="BO65:CT65" si="170">BO114</f>
        <v>4797</v>
      </c>
      <c r="BP65" s="33">
        <f t="shared" si="170"/>
        <v>7064</v>
      </c>
      <c r="BQ65" s="33">
        <f t="shared" si="170"/>
        <v>7412</v>
      </c>
      <c r="BR65" s="33">
        <f t="shared" si="170"/>
        <v>5917</v>
      </c>
      <c r="BS65" s="33">
        <f t="shared" si="170"/>
        <v>3545</v>
      </c>
      <c r="BT65" s="33">
        <f t="shared" si="170"/>
        <v>3390</v>
      </c>
      <c r="BU65" s="33">
        <f t="shared" si="170"/>
        <v>3124</v>
      </c>
      <c r="BV65" s="33">
        <f t="shared" si="170"/>
        <v>2629</v>
      </c>
      <c r="BW65" s="33">
        <f t="shared" si="170"/>
        <v>3038</v>
      </c>
      <c r="BX65" s="33">
        <f t="shared" si="170"/>
        <v>3672</v>
      </c>
      <c r="BY65" s="33">
        <f t="shared" si="170"/>
        <v>3399</v>
      </c>
      <c r="BZ65" s="33">
        <f t="shared" si="170"/>
        <v>3414</v>
      </c>
      <c r="CA65" s="33">
        <f t="shared" si="170"/>
        <v>3186</v>
      </c>
      <c r="CB65" s="33">
        <f t="shared" si="170"/>
        <v>3644</v>
      </c>
      <c r="CC65" s="33">
        <f t="shared" si="170"/>
        <v>4223</v>
      </c>
      <c r="CD65" s="33">
        <f t="shared" si="170"/>
        <v>5563</v>
      </c>
      <c r="CE65" s="33">
        <f t="shared" si="170"/>
        <v>6944</v>
      </c>
      <c r="CF65" s="33">
        <f t="shared" si="170"/>
        <v>8219</v>
      </c>
      <c r="CG65" s="33">
        <f t="shared" si="170"/>
        <v>9317</v>
      </c>
      <c r="CH65" s="33">
        <f t="shared" si="170"/>
        <v>11019</v>
      </c>
      <c r="CI65" s="33">
        <f t="shared" si="170"/>
        <v>12567</v>
      </c>
      <c r="CJ65" s="33">
        <f t="shared" si="170"/>
        <v>12938</v>
      </c>
      <c r="CK65" s="33">
        <f t="shared" si="170"/>
        <v>13288</v>
      </c>
      <c r="CL65" s="33">
        <f t="shared" si="170"/>
        <v>13514</v>
      </c>
      <c r="CM65" s="33">
        <f t="shared" si="170"/>
        <v>12258</v>
      </c>
      <c r="CN65" s="33">
        <f t="shared" si="170"/>
        <v>11782</v>
      </c>
      <c r="CO65" s="33">
        <f t="shared" si="170"/>
        <v>12221</v>
      </c>
      <c r="CP65" s="33">
        <f t="shared" si="170"/>
        <v>13111</v>
      </c>
      <c r="CQ65" s="33">
        <f t="shared" si="170"/>
        <v>12858</v>
      </c>
      <c r="CR65" s="33">
        <f t="shared" si="170"/>
        <v>13365</v>
      </c>
      <c r="CS65" s="33">
        <f t="shared" si="170"/>
        <v>13163</v>
      </c>
      <c r="CT65" s="33">
        <f t="shared" si="170"/>
        <v>13720</v>
      </c>
      <c r="CU65" s="33">
        <f t="shared" ref="CU65:EB65" si="171">CU114</f>
        <v>12854</v>
      </c>
      <c r="CV65" s="33">
        <f t="shared" si="171"/>
        <v>11652</v>
      </c>
      <c r="CW65" s="33">
        <f t="shared" si="171"/>
        <v>11701</v>
      </c>
      <c r="CX65" s="33">
        <f t="shared" si="171"/>
        <v>11651</v>
      </c>
      <c r="CY65" s="33">
        <f t="shared" si="171"/>
        <v>10487</v>
      </c>
      <c r="CZ65" s="33">
        <f t="shared" si="171"/>
        <v>10451</v>
      </c>
      <c r="DA65" s="33">
        <f t="shared" si="171"/>
        <v>11031</v>
      </c>
      <c r="DB65" s="33">
        <f t="shared" si="171"/>
        <v>13020</v>
      </c>
      <c r="DC65" s="33">
        <f t="shared" si="171"/>
        <v>13183</v>
      </c>
      <c r="DD65" s="33">
        <f t="shared" si="171"/>
        <v>13222</v>
      </c>
      <c r="DE65" s="33">
        <f t="shared" si="171"/>
        <v>13614</v>
      </c>
      <c r="DF65" s="33">
        <f t="shared" si="171"/>
        <v>14569</v>
      </c>
      <c r="DG65" s="33">
        <f t="shared" si="171"/>
        <v>13799</v>
      </c>
      <c r="DH65" s="33">
        <f t="shared" si="171"/>
        <v>14759</v>
      </c>
      <c r="DI65" s="33">
        <f t="shared" si="171"/>
        <v>15705</v>
      </c>
      <c r="DJ65" s="33">
        <f t="shared" si="171"/>
        <v>15406</v>
      </c>
      <c r="DK65" s="33">
        <f t="shared" si="171"/>
        <v>15170</v>
      </c>
      <c r="DL65" s="33">
        <f t="shared" si="171"/>
        <v>15414</v>
      </c>
      <c r="DM65" s="33">
        <f t="shared" si="171"/>
        <v>14690</v>
      </c>
      <c r="DN65" s="33">
        <f t="shared" si="171"/>
        <v>15534</v>
      </c>
      <c r="DO65" s="33">
        <f t="shared" si="171"/>
        <v>14957</v>
      </c>
      <c r="DP65" s="33">
        <f t="shared" si="171"/>
        <v>15090.999999999993</v>
      </c>
      <c r="DQ65" s="33">
        <f t="shared" si="171"/>
        <v>14994</v>
      </c>
      <c r="DR65" s="33">
        <f t="shared" si="171"/>
        <v>15557</v>
      </c>
      <c r="DS65" s="33">
        <f t="shared" si="171"/>
        <v>14180</v>
      </c>
      <c r="DT65" s="33">
        <f t="shared" si="171"/>
        <v>12504</v>
      </c>
      <c r="DU65" s="33">
        <f t="shared" si="171"/>
        <v>12395</v>
      </c>
      <c r="DV65" s="33">
        <f t="shared" si="171"/>
        <v>13344</v>
      </c>
      <c r="DW65" s="33">
        <f t="shared" si="171"/>
        <v>11902</v>
      </c>
      <c r="DX65" s="33">
        <f t="shared" si="171"/>
        <v>11267</v>
      </c>
      <c r="DY65" s="33">
        <f t="shared" si="171"/>
        <v>11078</v>
      </c>
      <c r="DZ65" s="33">
        <f t="shared" si="171"/>
        <v>8827</v>
      </c>
      <c r="EA65" s="33">
        <f t="shared" si="171"/>
        <v>6589</v>
      </c>
      <c r="EB65" s="33">
        <f t="shared" si="171"/>
        <v>7420</v>
      </c>
      <c r="EC65" s="33">
        <f t="shared" ref="EC65:ED65" si="172">EC114</f>
        <v>7779</v>
      </c>
      <c r="ED65" s="33">
        <f t="shared" si="172"/>
        <v>8621</v>
      </c>
      <c r="EE65" s="33">
        <f t="shared" ref="EE65:EP65" si="173">EE63-EE64</f>
        <v>8350</v>
      </c>
      <c r="EF65" s="33">
        <f t="shared" si="173"/>
        <v>8437.0454545454559</v>
      </c>
      <c r="EG65" s="33">
        <f t="shared" si="173"/>
        <v>9016.847826086956</v>
      </c>
      <c r="EH65" s="33">
        <f t="shared" si="173"/>
        <v>9462.4680851063822</v>
      </c>
      <c r="EI65" s="33">
        <f t="shared" si="173"/>
        <v>10077.5</v>
      </c>
      <c r="EJ65" s="33">
        <f t="shared" si="173"/>
        <v>9989.4897959183691</v>
      </c>
      <c r="EK65" s="33">
        <f t="shared" si="173"/>
        <v>9911.5999999999985</v>
      </c>
      <c r="EL65" s="33">
        <f t="shared" si="173"/>
        <v>9915.3846153846171</v>
      </c>
      <c r="EM65" s="33">
        <f t="shared" si="173"/>
        <v>9811.538461538461</v>
      </c>
      <c r="EN65" s="33">
        <f t="shared" si="173"/>
        <v>9707.6923076923085</v>
      </c>
      <c r="EO65" s="33">
        <f t="shared" si="173"/>
        <v>9603.8461538461524</v>
      </c>
      <c r="EP65" s="33">
        <f t="shared" si="173"/>
        <v>9500</v>
      </c>
      <c r="EQ65" s="20"/>
      <c r="ER65" s="20"/>
      <c r="ES65" s="355">
        <f t="shared" si="18"/>
        <v>60</v>
      </c>
      <c r="ET65"/>
      <c r="EU65"/>
      <c r="EV65"/>
      <c r="EW65"/>
      <c r="EX65"/>
      <c r="EY65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</row>
    <row r="66" spans="1:257" s="10" customFormat="1" ht="12.75" customHeight="1" outlineLevel="1">
      <c r="A66" s="9"/>
      <c r="B66" s="14" t="s">
        <v>206</v>
      </c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163">
        <f t="shared" ref="N66:AF66" si="174">N110</f>
        <v>0.84</v>
      </c>
      <c r="O66" s="163">
        <f t="shared" si="174"/>
        <v>0.80999999999999994</v>
      </c>
      <c r="P66" s="163">
        <f t="shared" si="174"/>
        <v>0.87</v>
      </c>
      <c r="Q66" s="163">
        <f t="shared" si="174"/>
        <v>0.94</v>
      </c>
      <c r="R66" s="163">
        <f t="shared" si="174"/>
        <v>0.99</v>
      </c>
      <c r="S66" s="163">
        <f t="shared" si="174"/>
        <v>0.96999999999999986</v>
      </c>
      <c r="T66" s="163">
        <f t="shared" si="174"/>
        <v>0.96</v>
      </c>
      <c r="U66" s="163">
        <f t="shared" si="174"/>
        <v>0.67845300882902138</v>
      </c>
      <c r="V66" s="163">
        <f t="shared" si="174"/>
        <v>0.72729827799943947</v>
      </c>
      <c r="W66" s="163">
        <f t="shared" si="174"/>
        <v>0.85802456402479899</v>
      </c>
      <c r="X66" s="163">
        <f t="shared" si="174"/>
        <v>0.88617560281361218</v>
      </c>
      <c r="Y66" s="163">
        <f t="shared" si="174"/>
        <v>0.81990551472501549</v>
      </c>
      <c r="Z66" s="163">
        <f t="shared" si="174"/>
        <v>0.85927712643616816</v>
      </c>
      <c r="AA66" s="163">
        <f t="shared" si="174"/>
        <v>0.616314469368482</v>
      </c>
      <c r="AB66" s="163">
        <f t="shared" si="174"/>
        <v>0.29173346900864339</v>
      </c>
      <c r="AC66" s="163">
        <f t="shared" si="174"/>
        <v>0.44744288973532947</v>
      </c>
      <c r="AD66" s="163">
        <f t="shared" si="174"/>
        <v>0.61161272015655577</v>
      </c>
      <c r="AE66" s="163">
        <f t="shared" si="174"/>
        <v>0.69287671232876713</v>
      </c>
      <c r="AF66" s="163">
        <f t="shared" si="174"/>
        <v>0.7448923679060665</v>
      </c>
      <c r="AG66" s="41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163">
        <f t="shared" ref="BO66:CT66" si="175">BO110</f>
        <v>0.96</v>
      </c>
      <c r="BP66" s="163">
        <f t="shared" si="175"/>
        <v>0.98</v>
      </c>
      <c r="BQ66" s="163">
        <f t="shared" si="175"/>
        <v>1</v>
      </c>
      <c r="BR66" s="163">
        <f t="shared" si="175"/>
        <v>0.89</v>
      </c>
      <c r="BS66" s="163">
        <f t="shared" si="175"/>
        <v>0.76</v>
      </c>
      <c r="BT66" s="163">
        <f t="shared" si="175"/>
        <v>0.84</v>
      </c>
      <c r="BU66" s="163">
        <f t="shared" si="175"/>
        <v>0.85</v>
      </c>
      <c r="BV66" s="163">
        <f t="shared" si="175"/>
        <v>0.79</v>
      </c>
      <c r="BW66" s="163">
        <f t="shared" si="175"/>
        <v>0.8</v>
      </c>
      <c r="BX66" s="163">
        <f t="shared" si="175"/>
        <v>0.82</v>
      </c>
      <c r="BY66" s="163">
        <f t="shared" si="175"/>
        <v>0.83</v>
      </c>
      <c r="BZ66" s="163">
        <f t="shared" si="175"/>
        <v>0.81</v>
      </c>
      <c r="CA66" s="163">
        <f t="shared" si="175"/>
        <v>0.86</v>
      </c>
      <c r="CB66" s="163">
        <f t="shared" si="175"/>
        <v>0.89</v>
      </c>
      <c r="CC66" s="163">
        <f t="shared" si="175"/>
        <v>0.92</v>
      </c>
      <c r="CD66" s="163">
        <f t="shared" si="175"/>
        <v>0.92</v>
      </c>
      <c r="CE66" s="163">
        <f t="shared" si="175"/>
        <v>0.94</v>
      </c>
      <c r="CF66" s="163">
        <f t="shared" si="175"/>
        <v>0.94</v>
      </c>
      <c r="CG66" s="163">
        <f t="shared" si="175"/>
        <v>0.95</v>
      </c>
      <c r="CH66" s="163">
        <f t="shared" si="175"/>
        <v>0.97</v>
      </c>
      <c r="CI66" s="163">
        <f t="shared" si="175"/>
        <v>0.98</v>
      </c>
      <c r="CJ66" s="163">
        <f t="shared" si="175"/>
        <v>1</v>
      </c>
      <c r="CK66" s="163">
        <f t="shared" si="175"/>
        <v>0.99</v>
      </c>
      <c r="CL66" s="163">
        <f t="shared" si="175"/>
        <v>0.98</v>
      </c>
      <c r="CM66" s="163">
        <f t="shared" si="175"/>
        <v>0.97</v>
      </c>
      <c r="CN66" s="163">
        <f t="shared" si="175"/>
        <v>0.96</v>
      </c>
      <c r="CO66" s="163">
        <f t="shared" si="175"/>
        <v>0.95</v>
      </c>
      <c r="CP66" s="163">
        <f t="shared" si="175"/>
        <v>0.95</v>
      </c>
      <c r="CQ66" s="163">
        <f t="shared" si="175"/>
        <v>0.94</v>
      </c>
      <c r="CR66" s="163">
        <f t="shared" si="175"/>
        <v>0.96</v>
      </c>
      <c r="CS66" s="163">
        <f t="shared" si="175"/>
        <v>0.98</v>
      </c>
      <c r="CT66" s="163">
        <f t="shared" si="175"/>
        <v>0.95</v>
      </c>
      <c r="CU66" s="163">
        <f t="shared" ref="CU66:DZ66" si="176">CU110</f>
        <v>0.72</v>
      </c>
      <c r="CV66" s="163">
        <f t="shared" si="176"/>
        <v>0.51</v>
      </c>
      <c r="CW66" s="163">
        <f t="shared" si="176"/>
        <v>0.55000000000000004</v>
      </c>
      <c r="CX66" s="163">
        <f t="shared" si="176"/>
        <v>0.62</v>
      </c>
      <c r="CY66" s="163">
        <f t="shared" si="176"/>
        <v>0.7</v>
      </c>
      <c r="CZ66" s="163">
        <f t="shared" si="176"/>
        <v>0.76</v>
      </c>
      <c r="DA66" s="163">
        <f t="shared" si="176"/>
        <v>0.82</v>
      </c>
      <c r="DB66" s="163">
        <f t="shared" si="176"/>
        <v>0.84</v>
      </c>
      <c r="DC66" s="163">
        <f t="shared" si="176"/>
        <v>0.85</v>
      </c>
      <c r="DD66" s="163">
        <f t="shared" si="176"/>
        <v>0.87</v>
      </c>
      <c r="DE66" s="163">
        <f t="shared" si="176"/>
        <v>0.87</v>
      </c>
      <c r="DF66" s="163">
        <f t="shared" si="176"/>
        <v>0.91</v>
      </c>
      <c r="DG66" s="163">
        <f t="shared" si="176"/>
        <v>0.91</v>
      </c>
      <c r="DH66" s="163">
        <f t="shared" si="176"/>
        <v>0.89</v>
      </c>
      <c r="DI66" s="163">
        <f t="shared" si="176"/>
        <v>0.84</v>
      </c>
      <c r="DJ66" s="163">
        <f t="shared" si="176"/>
        <v>0.82</v>
      </c>
      <c r="DK66" s="163">
        <f t="shared" si="176"/>
        <v>0.82</v>
      </c>
      <c r="DL66" s="163">
        <f t="shared" si="176"/>
        <v>0.83</v>
      </c>
      <c r="DM66" s="163">
        <f t="shared" si="176"/>
        <v>0.82</v>
      </c>
      <c r="DN66" s="163">
        <f t="shared" si="176"/>
        <v>0.86</v>
      </c>
      <c r="DO66" s="163">
        <f t="shared" si="176"/>
        <v>0.86</v>
      </c>
      <c r="DP66" s="163">
        <f t="shared" si="176"/>
        <v>0.88</v>
      </c>
      <c r="DQ66" s="163">
        <f t="shared" si="176"/>
        <v>0.87</v>
      </c>
      <c r="DR66" s="163">
        <f t="shared" si="176"/>
        <v>0.89</v>
      </c>
      <c r="DS66" s="163">
        <f t="shared" si="176"/>
        <v>0.68</v>
      </c>
      <c r="DT66" s="163">
        <f t="shared" si="176"/>
        <v>0.47</v>
      </c>
      <c r="DU66" s="163">
        <f t="shared" si="176"/>
        <v>0.43</v>
      </c>
      <c r="DV66" s="163">
        <f t="shared" si="176"/>
        <v>0.39</v>
      </c>
      <c r="DW66" s="163">
        <f t="shared" si="176"/>
        <v>0.31</v>
      </c>
      <c r="DX66" s="163">
        <f t="shared" si="176"/>
        <v>0.24</v>
      </c>
      <c r="DY66" s="163">
        <f t="shared" si="176"/>
        <v>0.25</v>
      </c>
      <c r="DZ66" s="163">
        <f t="shared" si="176"/>
        <v>0.31</v>
      </c>
      <c r="EA66" s="163">
        <f t="shared" ref="EA66:EP66" si="177">EA110</f>
        <v>0.42</v>
      </c>
      <c r="EB66" s="163">
        <f t="shared" si="177"/>
        <v>0.52</v>
      </c>
      <c r="EC66" s="163">
        <f t="shared" ref="EC66:ED66" si="178">EC110</f>
        <v>0.55000000000000004</v>
      </c>
      <c r="ED66" s="163">
        <f t="shared" si="178"/>
        <v>0.56999999999999995</v>
      </c>
      <c r="EE66" s="163">
        <f t="shared" si="177"/>
        <v>0.59020714285714282</v>
      </c>
      <c r="EF66" s="163">
        <f t="shared" si="177"/>
        <v>0.62857142857142856</v>
      </c>
      <c r="EG66" s="163">
        <f t="shared" si="177"/>
        <v>0.65714285714285714</v>
      </c>
      <c r="EH66" s="163">
        <f t="shared" si="177"/>
        <v>0.67142857142857137</v>
      </c>
      <c r="EI66" s="163">
        <f t="shared" si="177"/>
        <v>0.68571428571428572</v>
      </c>
      <c r="EJ66" s="163">
        <f t="shared" si="177"/>
        <v>0.7</v>
      </c>
      <c r="EK66" s="163">
        <f t="shared" si="177"/>
        <v>0.7142857142857143</v>
      </c>
      <c r="EL66" s="163">
        <f t="shared" si="177"/>
        <v>0.74285714285714288</v>
      </c>
      <c r="EM66" s="163">
        <f t="shared" si="177"/>
        <v>0.74285714285714288</v>
      </c>
      <c r="EN66" s="163">
        <f t="shared" si="177"/>
        <v>0.74285714285714288</v>
      </c>
      <c r="EO66" s="163">
        <f t="shared" si="177"/>
        <v>0.74285714285714288</v>
      </c>
      <c r="EP66" s="163">
        <f t="shared" si="177"/>
        <v>0.74285714285714288</v>
      </c>
      <c r="EQ66" s="20"/>
      <c r="ER66" s="20"/>
      <c r="ES66" s="355">
        <f t="shared" si="18"/>
        <v>61</v>
      </c>
      <c r="ET66"/>
      <c r="EU66"/>
      <c r="EV66"/>
      <c r="EW66"/>
      <c r="EX66"/>
      <c r="EY66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</row>
    <row r="67" spans="1:257" s="4" customFormat="1" ht="12.75" customHeight="1" outlineLevel="1">
      <c r="A67" s="15"/>
      <c r="B67" s="286" t="s">
        <v>211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92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174"/>
      <c r="AB67" s="174"/>
      <c r="AC67" s="22"/>
      <c r="AD67" s="27"/>
      <c r="AE67" s="27"/>
      <c r="AF67" s="27"/>
      <c r="AG67" s="1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91"/>
      <c r="DF67" s="291"/>
      <c r="DG67" s="291"/>
      <c r="DH67" s="291"/>
      <c r="DI67" s="291"/>
      <c r="DJ67" s="291"/>
      <c r="DK67" s="291"/>
      <c r="DL67" s="291"/>
      <c r="DM67" s="291"/>
      <c r="DN67" s="291"/>
      <c r="DO67" s="291"/>
      <c r="DP67" s="291"/>
      <c r="DQ67" s="291"/>
      <c r="DR67" s="291"/>
      <c r="DS67" s="291"/>
      <c r="DT67" s="291"/>
      <c r="DU67" s="291"/>
      <c r="DV67" s="291"/>
      <c r="DW67" s="291"/>
      <c r="DX67" s="291"/>
      <c r="DY67" s="291"/>
      <c r="DZ67" s="291"/>
      <c r="EA67" s="291"/>
      <c r="EB67" s="291"/>
      <c r="EC67" s="291"/>
      <c r="ED67" s="291"/>
      <c r="EE67" s="291"/>
      <c r="EF67" s="291"/>
      <c r="EG67" s="291"/>
      <c r="EH67" s="291"/>
      <c r="EI67" s="291"/>
      <c r="EJ67" s="291"/>
      <c r="EK67" s="291"/>
      <c r="EL67" s="291"/>
      <c r="EM67" s="291"/>
      <c r="EN67" s="291"/>
      <c r="EO67" s="291"/>
      <c r="EP67" s="291"/>
      <c r="EQ67" s="20"/>
      <c r="ER67" s="20"/>
      <c r="ES67" s="355">
        <f t="shared" si="18"/>
        <v>62</v>
      </c>
      <c r="ET67"/>
      <c r="EU67"/>
      <c r="EV67"/>
      <c r="EW67"/>
      <c r="EX67"/>
      <c r="EY67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</row>
    <row r="68" spans="1:257" s="10" customFormat="1" ht="12.75" customHeight="1" outlineLevel="1">
      <c r="A68" s="9"/>
      <c r="B68" s="14" t="s">
        <v>210</v>
      </c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33">
        <f t="shared" ref="N68:AF68" si="179">N145</f>
        <v>9.0027397260273965</v>
      </c>
      <c r="O68" s="33">
        <f t="shared" si="179"/>
        <v>6.117808219178082</v>
      </c>
      <c r="P68" s="33">
        <f t="shared" si="179"/>
        <v>5.7049180327868854</v>
      </c>
      <c r="Q68" s="33">
        <f t="shared" si="179"/>
        <v>5.8136986301369866</v>
      </c>
      <c r="R68" s="33">
        <f t="shared" si="179"/>
        <v>7.515068493150685</v>
      </c>
      <c r="S68" s="33">
        <f t="shared" si="179"/>
        <v>5.8657534246575347</v>
      </c>
      <c r="T68" s="33">
        <f t="shared" si="179"/>
        <v>6.6721311475409832</v>
      </c>
      <c r="U68" s="33">
        <f t="shared" si="179"/>
        <v>8.0493150684931507</v>
      </c>
      <c r="V68" s="33">
        <f t="shared" si="179"/>
        <v>7.2383561643835614</v>
      </c>
      <c r="W68" s="33">
        <f t="shared" si="179"/>
        <v>6.9698630136986299</v>
      </c>
      <c r="X68" s="33">
        <f t="shared" si="179"/>
        <v>7.1721311475409832</v>
      </c>
      <c r="Y68" s="33">
        <f t="shared" si="179"/>
        <v>8</v>
      </c>
      <c r="Z68" s="33">
        <f t="shared" si="179"/>
        <v>8</v>
      </c>
      <c r="AA68" s="33">
        <f t="shared" si="179"/>
        <v>8.4027397260273968</v>
      </c>
      <c r="AB68" s="33">
        <f t="shared" si="179"/>
        <v>7.3989071038251364</v>
      </c>
      <c r="AC68" s="33">
        <f t="shared" si="179"/>
        <v>6.2356164383561641</v>
      </c>
      <c r="AD68" s="33">
        <f t="shared" si="179"/>
        <v>5</v>
      </c>
      <c r="AE68" s="33">
        <f t="shared" si="179"/>
        <v>5.7506849315068491</v>
      </c>
      <c r="AF68" s="33">
        <f t="shared" si="179"/>
        <v>7.0191780821917806</v>
      </c>
      <c r="AG68" s="41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33">
        <f t="shared" ref="BO68:CT68" si="180">BO145</f>
        <v>10</v>
      </c>
      <c r="BP68" s="33">
        <f t="shared" si="180"/>
        <v>10</v>
      </c>
      <c r="BQ68" s="33">
        <f t="shared" si="180"/>
        <v>10</v>
      </c>
      <c r="BR68" s="33">
        <f t="shared" si="180"/>
        <v>10</v>
      </c>
      <c r="BS68" s="33">
        <f t="shared" si="180"/>
        <v>8.9333333333333336</v>
      </c>
      <c r="BT68" s="33">
        <f t="shared" si="180"/>
        <v>9.219780219780219</v>
      </c>
      <c r="BU68" s="33">
        <f t="shared" si="180"/>
        <v>7.8586956521739131</v>
      </c>
      <c r="BV68" s="33">
        <f t="shared" si="180"/>
        <v>6.2173913043478262</v>
      </c>
      <c r="BW68" s="33">
        <f t="shared" si="180"/>
        <v>6</v>
      </c>
      <c r="BX68" s="33">
        <f t="shared" si="180"/>
        <v>6.5054945054945055</v>
      </c>
      <c r="BY68" s="33">
        <f t="shared" si="180"/>
        <v>5.75</v>
      </c>
      <c r="BZ68" s="33">
        <f t="shared" si="180"/>
        <v>5</v>
      </c>
      <c r="CA68" s="33">
        <f t="shared" si="180"/>
        <v>5</v>
      </c>
      <c r="CB68" s="33">
        <f t="shared" si="180"/>
        <v>6.2857142857142856</v>
      </c>
      <c r="CC68" s="33">
        <f t="shared" si="180"/>
        <v>6.5326086956521738</v>
      </c>
      <c r="CD68" s="33">
        <f t="shared" si="180"/>
        <v>6.1195652173913047</v>
      </c>
      <c r="CE68" s="33">
        <f t="shared" si="180"/>
        <v>5</v>
      </c>
      <c r="CF68" s="33">
        <f t="shared" si="180"/>
        <v>5</v>
      </c>
      <c r="CG68" s="33">
        <f t="shared" si="180"/>
        <v>7.1086956521739131</v>
      </c>
      <c r="CH68" s="33">
        <f t="shared" si="180"/>
        <v>7</v>
      </c>
      <c r="CI68" s="33">
        <f t="shared" si="180"/>
        <v>7.7666666666666666</v>
      </c>
      <c r="CJ68" s="33">
        <f t="shared" si="180"/>
        <v>8</v>
      </c>
      <c r="CK68" s="33">
        <f t="shared" si="180"/>
        <v>7.3043478260869561</v>
      </c>
      <c r="CL68" s="33">
        <f t="shared" si="180"/>
        <v>6.3913043478260869</v>
      </c>
      <c r="CM68" s="33">
        <f t="shared" si="180"/>
        <v>5.8</v>
      </c>
      <c r="CN68" s="33">
        <f t="shared" si="180"/>
        <v>6</v>
      </c>
      <c r="CO68" s="33">
        <f t="shared" si="180"/>
        <v>5.2717391304347823</v>
      </c>
      <c r="CP68" s="33">
        <f t="shared" si="180"/>
        <v>5</v>
      </c>
      <c r="CQ68" s="33">
        <f t="shared" si="180"/>
        <v>5.6483516483516487</v>
      </c>
      <c r="CR68" s="33">
        <f t="shared" si="180"/>
        <v>8.0439560439560438</v>
      </c>
      <c r="CS68" s="33">
        <f t="shared" si="180"/>
        <v>8</v>
      </c>
      <c r="CT68" s="33">
        <f t="shared" si="180"/>
        <v>7.9891304347826084</v>
      </c>
      <c r="CU68" s="33">
        <f t="shared" ref="CU68:EB68" si="181">CU145</f>
        <v>8.844444444444445</v>
      </c>
      <c r="CV68" s="33">
        <f t="shared" si="181"/>
        <v>8.384615384615385</v>
      </c>
      <c r="CW68" s="33">
        <f t="shared" si="181"/>
        <v>7</v>
      </c>
      <c r="CX68" s="33">
        <f t="shared" si="181"/>
        <v>7.6086956521739131</v>
      </c>
      <c r="CY68" s="33">
        <f t="shared" si="181"/>
        <v>7.333333333333333</v>
      </c>
      <c r="CZ68" s="33">
        <f t="shared" si="181"/>
        <v>7.0109890109890109</v>
      </c>
      <c r="DA68" s="33">
        <f t="shared" si="181"/>
        <v>7</v>
      </c>
      <c r="DB68" s="33">
        <f t="shared" si="181"/>
        <v>6.3804347826086953</v>
      </c>
      <c r="DC68" s="33">
        <f t="shared" si="181"/>
        <v>6.8666666666666663</v>
      </c>
      <c r="DD68" s="33">
        <f t="shared" si="181"/>
        <v>7.0109890109890109</v>
      </c>
      <c r="DE68" s="33">
        <f t="shared" si="181"/>
        <v>7.6195652173913047</v>
      </c>
      <c r="DF68" s="33">
        <f t="shared" si="181"/>
        <v>7.5760869565217392</v>
      </c>
      <c r="DG68" s="33">
        <f t="shared" si="181"/>
        <v>6.8901098901098905</v>
      </c>
      <c r="DH68" s="33">
        <f t="shared" si="181"/>
        <v>6.6593406593406597</v>
      </c>
      <c r="DI68" s="33">
        <f t="shared" si="181"/>
        <v>7.5543478260869561</v>
      </c>
      <c r="DJ68" s="33">
        <f t="shared" si="181"/>
        <v>8</v>
      </c>
      <c r="DK68" s="33">
        <f t="shared" si="181"/>
        <v>8</v>
      </c>
      <c r="DL68" s="33">
        <f t="shared" si="181"/>
        <v>8</v>
      </c>
      <c r="DM68" s="33">
        <f t="shared" si="181"/>
        <v>8</v>
      </c>
      <c r="DN68" s="33">
        <f t="shared" si="181"/>
        <v>8</v>
      </c>
      <c r="DO68" s="33">
        <f t="shared" si="181"/>
        <v>8</v>
      </c>
      <c r="DP68" s="33">
        <f t="shared" si="181"/>
        <v>8</v>
      </c>
      <c r="DQ68" s="33">
        <f t="shared" si="181"/>
        <v>8</v>
      </c>
      <c r="DR68" s="33">
        <f t="shared" si="181"/>
        <v>8.7934782608695645</v>
      </c>
      <c r="DS68" s="33">
        <f t="shared" si="181"/>
        <v>8.8222222222222229</v>
      </c>
      <c r="DT68" s="33">
        <f t="shared" si="181"/>
        <v>8</v>
      </c>
      <c r="DU68" s="33">
        <f t="shared" si="181"/>
        <v>8</v>
      </c>
      <c r="DV68" s="33">
        <f t="shared" si="181"/>
        <v>8</v>
      </c>
      <c r="DW68" s="33">
        <f t="shared" si="181"/>
        <v>7.5934065934065931</v>
      </c>
      <c r="DX68" s="33">
        <f t="shared" si="181"/>
        <v>7</v>
      </c>
      <c r="DY68" s="33">
        <f t="shared" si="181"/>
        <v>7</v>
      </c>
      <c r="DZ68" s="33">
        <f t="shared" si="181"/>
        <v>7</v>
      </c>
      <c r="EA68" s="33">
        <f t="shared" si="181"/>
        <v>6.6111111111111107</v>
      </c>
      <c r="EB68" s="33">
        <f t="shared" si="181"/>
        <v>6</v>
      </c>
      <c r="EC68" s="33">
        <f t="shared" ref="EC68:ED68" si="182">EC145</f>
        <v>5.3369565217391308</v>
      </c>
      <c r="ED68" s="33">
        <f t="shared" si="182"/>
        <v>5</v>
      </c>
      <c r="EE68" s="368">
        <v>5</v>
      </c>
      <c r="EF68" s="368">
        <v>5</v>
      </c>
      <c r="EG68" s="368">
        <v>5</v>
      </c>
      <c r="EH68" s="368">
        <v>5</v>
      </c>
      <c r="EI68" s="368">
        <v>5.5</v>
      </c>
      <c r="EJ68" s="368">
        <v>6</v>
      </c>
      <c r="EK68" s="368">
        <v>6.5</v>
      </c>
      <c r="EL68" s="368">
        <v>7</v>
      </c>
      <c r="EM68" s="368">
        <v>7</v>
      </c>
      <c r="EN68" s="368">
        <v>7</v>
      </c>
      <c r="EO68" s="368">
        <v>7</v>
      </c>
      <c r="EP68" s="368">
        <v>7</v>
      </c>
      <c r="EQ68" s="20"/>
      <c r="ER68" s="20"/>
      <c r="ES68" s="355">
        <f t="shared" si="18"/>
        <v>63</v>
      </c>
      <c r="ET68"/>
      <c r="EU68"/>
      <c r="EV68"/>
      <c r="EW68"/>
      <c r="EX68"/>
      <c r="EY68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</row>
    <row r="69" spans="1:257" s="10" customFormat="1" ht="12.75" customHeight="1" outlineLevel="1">
      <c r="A69" s="9"/>
      <c r="B69" s="14" t="s">
        <v>209</v>
      </c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33">
        <f t="shared" ref="N69:AF69" si="183">N149</f>
        <v>30424</v>
      </c>
      <c r="O69" s="33">
        <f t="shared" si="183"/>
        <v>38239</v>
      </c>
      <c r="P69" s="33">
        <f t="shared" si="183"/>
        <v>29070</v>
      </c>
      <c r="Q69" s="33">
        <f t="shared" si="183"/>
        <v>29228</v>
      </c>
      <c r="R69" s="33">
        <f t="shared" si="183"/>
        <v>38728</v>
      </c>
      <c r="S69" s="33">
        <f t="shared" si="183"/>
        <v>34469</v>
      </c>
      <c r="T69" s="33">
        <f t="shared" si="183"/>
        <v>47743</v>
      </c>
      <c r="U69" s="33">
        <f t="shared" si="183"/>
        <v>48676.878148400283</v>
      </c>
      <c r="V69" s="33">
        <f t="shared" si="183"/>
        <v>47534.243754731258</v>
      </c>
      <c r="W69" s="33">
        <f t="shared" si="183"/>
        <v>51794.496069182387</v>
      </c>
      <c r="X69" s="33">
        <f t="shared" si="183"/>
        <v>52098.117333333343</v>
      </c>
      <c r="Y69" s="33">
        <f t="shared" si="183"/>
        <v>61068.800000000003</v>
      </c>
      <c r="Z69" s="33">
        <f t="shared" si="183"/>
        <v>63094.24931506849</v>
      </c>
      <c r="AA69" s="33">
        <f t="shared" si="183"/>
        <v>44125.069122921414</v>
      </c>
      <c r="AB69" s="33">
        <f t="shared" si="183"/>
        <v>26972.612998522894</v>
      </c>
      <c r="AC69" s="33">
        <f t="shared" si="183"/>
        <v>34331.576889279437</v>
      </c>
      <c r="AD69" s="33">
        <f t="shared" si="183"/>
        <v>34646.553424657533</v>
      </c>
      <c r="AE69" s="33">
        <f t="shared" si="183"/>
        <v>40000.000000000007</v>
      </c>
      <c r="AF69" s="33">
        <f t="shared" si="183"/>
        <v>40000</v>
      </c>
      <c r="AG69" s="41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33">
        <f t="shared" ref="BO69:CT69" si="184">BO149</f>
        <v>0</v>
      </c>
      <c r="BP69" s="33">
        <f t="shared" si="184"/>
        <v>0</v>
      </c>
      <c r="BQ69" s="33">
        <f t="shared" si="184"/>
        <v>0</v>
      </c>
      <c r="BR69" s="33">
        <f t="shared" si="184"/>
        <v>0</v>
      </c>
      <c r="BS69" s="33">
        <f t="shared" si="184"/>
        <v>30624</v>
      </c>
      <c r="BT69" s="33">
        <f t="shared" si="184"/>
        <v>29136</v>
      </c>
      <c r="BU69" s="33">
        <f t="shared" si="184"/>
        <v>31651</v>
      </c>
      <c r="BV69" s="33">
        <f t="shared" si="184"/>
        <v>36080</v>
      </c>
      <c r="BW69" s="33">
        <f t="shared" si="184"/>
        <v>38146</v>
      </c>
      <c r="BX69" s="33">
        <f t="shared" si="184"/>
        <v>41058</v>
      </c>
      <c r="BY69" s="33">
        <f t="shared" si="184"/>
        <v>37514</v>
      </c>
      <c r="BZ69" s="33">
        <f t="shared" si="184"/>
        <v>32570</v>
      </c>
      <c r="CA69" s="33">
        <f t="shared" si="184"/>
        <v>28644</v>
      </c>
      <c r="CB69" s="33">
        <f t="shared" si="184"/>
        <v>27955</v>
      </c>
      <c r="CC69" s="33">
        <f t="shared" si="184"/>
        <v>27777</v>
      </c>
      <c r="CD69" s="33">
        <f t="shared" si="184"/>
        <v>25793</v>
      </c>
      <c r="CE69" s="33">
        <f t="shared" si="184"/>
        <v>29297</v>
      </c>
      <c r="CF69" s="33">
        <f t="shared" si="184"/>
        <v>32614</v>
      </c>
      <c r="CG69" s="33">
        <f t="shared" si="184"/>
        <v>29782</v>
      </c>
      <c r="CH69" s="33">
        <f t="shared" si="184"/>
        <v>36339</v>
      </c>
      <c r="CI69" s="33">
        <f t="shared" si="184"/>
        <v>39707</v>
      </c>
      <c r="CJ69" s="33">
        <f t="shared" si="184"/>
        <v>39931</v>
      </c>
      <c r="CK69" s="33">
        <f t="shared" si="184"/>
        <v>38695</v>
      </c>
      <c r="CL69" s="33">
        <f t="shared" si="184"/>
        <v>38824</v>
      </c>
      <c r="CM69" s="33">
        <f t="shared" si="184"/>
        <v>29603</v>
      </c>
      <c r="CN69" s="33">
        <f t="shared" si="184"/>
        <v>30263</v>
      </c>
      <c r="CO69" s="33">
        <f t="shared" si="184"/>
        <v>39160</v>
      </c>
      <c r="CP69" s="33">
        <f t="shared" si="184"/>
        <v>41833</v>
      </c>
      <c r="CQ69" s="33">
        <f t="shared" si="184"/>
        <v>41209</v>
      </c>
      <c r="CR69" s="33">
        <f t="shared" si="184"/>
        <v>51309</v>
      </c>
      <c r="CS69" s="33">
        <f t="shared" si="184"/>
        <v>52452</v>
      </c>
      <c r="CT69" s="33">
        <f t="shared" si="184"/>
        <v>53057</v>
      </c>
      <c r="CU69" s="33">
        <f t="shared" ref="CU69:EB69" si="185">CU149</f>
        <v>48562</v>
      </c>
      <c r="CV69" s="33">
        <f t="shared" si="185"/>
        <v>45531</v>
      </c>
      <c r="CW69" s="33">
        <f t="shared" si="185"/>
        <v>47547</v>
      </c>
      <c r="CX69" s="33">
        <f t="shared" si="185"/>
        <v>52960</v>
      </c>
      <c r="CY69" s="33">
        <f t="shared" si="185"/>
        <v>48225</v>
      </c>
      <c r="CZ69" s="33">
        <f t="shared" si="185"/>
        <v>46138</v>
      </c>
      <c r="DA69" s="33">
        <f t="shared" si="185"/>
        <v>42312</v>
      </c>
      <c r="DB69" s="33">
        <f t="shared" si="185"/>
        <v>45350</v>
      </c>
      <c r="DC69" s="33">
        <f t="shared" si="185"/>
        <v>52507</v>
      </c>
      <c r="DD69" s="33">
        <f t="shared" si="185"/>
        <v>54417</v>
      </c>
      <c r="DE69" s="33">
        <f t="shared" si="185"/>
        <v>54176</v>
      </c>
      <c r="DF69" s="33">
        <f t="shared" si="185"/>
        <v>53644</v>
      </c>
      <c r="DG69" s="33">
        <f t="shared" si="185"/>
        <v>49514</v>
      </c>
      <c r="DH69" s="33">
        <f t="shared" si="185"/>
        <v>41617</v>
      </c>
      <c r="DI69" s="33">
        <f t="shared" si="185"/>
        <v>62018</v>
      </c>
      <c r="DJ69" s="33">
        <f t="shared" si="185"/>
        <v>61936</v>
      </c>
      <c r="DK69" s="33">
        <f t="shared" si="185"/>
        <v>60536</v>
      </c>
      <c r="DL69" s="33">
        <f t="shared" si="185"/>
        <v>61380</v>
      </c>
      <c r="DM69" s="33">
        <f t="shared" si="185"/>
        <v>60415</v>
      </c>
      <c r="DN69" s="33">
        <f t="shared" si="185"/>
        <v>62306</v>
      </c>
      <c r="DO69" s="33">
        <f t="shared" si="185"/>
        <v>64242</v>
      </c>
      <c r="DP69" s="33">
        <f t="shared" si="185"/>
        <v>64019</v>
      </c>
      <c r="DQ69" s="33">
        <f t="shared" si="185"/>
        <v>61845</v>
      </c>
      <c r="DR69" s="33">
        <f t="shared" si="185"/>
        <v>55341</v>
      </c>
      <c r="DS69" s="33">
        <f t="shared" si="185"/>
        <v>49783</v>
      </c>
      <c r="DT69" s="33">
        <f t="shared" si="185"/>
        <v>38333</v>
      </c>
      <c r="DU69" s="33">
        <f t="shared" si="185"/>
        <v>31422</v>
      </c>
      <c r="DV69" s="33">
        <f t="shared" si="185"/>
        <v>27539</v>
      </c>
      <c r="DW69" s="33">
        <f t="shared" si="185"/>
        <v>28004</v>
      </c>
      <c r="DX69" s="33">
        <f t="shared" si="185"/>
        <v>25568</v>
      </c>
      <c r="DY69" s="33">
        <f t="shared" si="185"/>
        <v>26608</v>
      </c>
      <c r="DZ69" s="33">
        <f t="shared" si="185"/>
        <v>31317</v>
      </c>
      <c r="EA69" s="33">
        <f t="shared" si="185"/>
        <v>36006</v>
      </c>
      <c r="EB69" s="33">
        <f t="shared" si="185"/>
        <v>35644</v>
      </c>
      <c r="EC69" s="33">
        <f t="shared" ref="EC69:ED69" si="186">EC149</f>
        <v>34797</v>
      </c>
      <c r="ED69" s="33">
        <f t="shared" si="186"/>
        <v>35776</v>
      </c>
      <c r="EE69" s="290">
        <f>11500+EE70</f>
        <v>33500</v>
      </c>
      <c r="EF69" s="290">
        <v>31400</v>
      </c>
      <c r="EG69" s="290">
        <v>37850</v>
      </c>
      <c r="EH69" s="290">
        <v>40000</v>
      </c>
      <c r="EI69" s="290">
        <v>40000</v>
      </c>
      <c r="EJ69" s="290">
        <v>40000</v>
      </c>
      <c r="EK69" s="290">
        <v>40000</v>
      </c>
      <c r="EL69" s="290">
        <v>40000</v>
      </c>
      <c r="EM69" s="290">
        <v>40000</v>
      </c>
      <c r="EN69" s="290">
        <v>40000</v>
      </c>
      <c r="EO69" s="290">
        <v>40000</v>
      </c>
      <c r="EP69" s="290">
        <v>40000</v>
      </c>
      <c r="EQ69" s="20"/>
      <c r="ER69" s="20"/>
      <c r="ES69" s="355">
        <f t="shared" si="18"/>
        <v>64</v>
      </c>
      <c r="ET69"/>
      <c r="EU69"/>
      <c r="EV69"/>
      <c r="EW69"/>
      <c r="EX69"/>
      <c r="EY69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</row>
    <row r="70" spans="1:257" s="10" customFormat="1" ht="12.75" customHeight="1" outlineLevel="1">
      <c r="A70" s="9"/>
      <c r="B70" s="14" t="s">
        <v>208</v>
      </c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33">
        <f t="shared" ref="N70:AF70" si="187">N150</f>
        <v>16263</v>
      </c>
      <c r="O70" s="33">
        <f t="shared" si="187"/>
        <v>17822</v>
      </c>
      <c r="P70" s="33">
        <f t="shared" si="187"/>
        <v>16509</v>
      </c>
      <c r="Q70" s="33">
        <f t="shared" si="187"/>
        <v>15967</v>
      </c>
      <c r="R70" s="33">
        <f t="shared" si="187"/>
        <v>24041</v>
      </c>
      <c r="S70" s="33">
        <f t="shared" si="187"/>
        <v>21564</v>
      </c>
      <c r="T70" s="33">
        <f t="shared" si="187"/>
        <v>29655</v>
      </c>
      <c r="U70" s="33">
        <f t="shared" si="187"/>
        <v>27374.176991150449</v>
      </c>
      <c r="V70" s="33">
        <f t="shared" si="187"/>
        <v>24653.29750189251</v>
      </c>
      <c r="W70" s="33">
        <f t="shared" si="187"/>
        <v>29379.856132075467</v>
      </c>
      <c r="X70" s="33">
        <f t="shared" si="187"/>
        <v>32203.963428571427</v>
      </c>
      <c r="Y70" s="33">
        <f t="shared" si="187"/>
        <v>37653.884931506851</v>
      </c>
      <c r="Z70" s="33">
        <f t="shared" si="187"/>
        <v>37652.739726027394</v>
      </c>
      <c r="AA70" s="33">
        <f t="shared" si="187"/>
        <v>27246.119660906425</v>
      </c>
      <c r="AB70" s="33">
        <f t="shared" si="187"/>
        <v>18774.21935007385</v>
      </c>
      <c r="AC70" s="33">
        <f t="shared" si="187"/>
        <v>23171.738137082604</v>
      </c>
      <c r="AD70" s="33">
        <f t="shared" si="187"/>
        <v>22607.923287671238</v>
      </c>
      <c r="AE70" s="33">
        <f t="shared" si="187"/>
        <v>24999.999999999996</v>
      </c>
      <c r="AF70" s="33">
        <f t="shared" si="187"/>
        <v>25000.000000000007</v>
      </c>
      <c r="AG70" s="41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33">
        <f t="shared" ref="BO70:CT70" si="188">BO150</f>
        <v>0</v>
      </c>
      <c r="BP70" s="33">
        <f t="shared" si="188"/>
        <v>0</v>
      </c>
      <c r="BQ70" s="33">
        <f t="shared" si="188"/>
        <v>0</v>
      </c>
      <c r="BR70" s="33">
        <f t="shared" si="188"/>
        <v>0</v>
      </c>
      <c r="BS70" s="33">
        <f t="shared" si="188"/>
        <v>17555</v>
      </c>
      <c r="BT70" s="33">
        <f t="shared" si="188"/>
        <v>16101</v>
      </c>
      <c r="BU70" s="33">
        <f t="shared" si="188"/>
        <v>15714</v>
      </c>
      <c r="BV70" s="33">
        <f t="shared" si="188"/>
        <v>17852</v>
      </c>
      <c r="BW70" s="33">
        <f t="shared" si="188"/>
        <v>17794</v>
      </c>
      <c r="BX70" s="33">
        <f t="shared" si="188"/>
        <v>18496</v>
      </c>
      <c r="BY70" s="33">
        <f t="shared" si="188"/>
        <v>17067</v>
      </c>
      <c r="BZ70" s="33">
        <f t="shared" si="188"/>
        <v>17584</v>
      </c>
      <c r="CA70" s="33">
        <f t="shared" si="188"/>
        <v>14481</v>
      </c>
      <c r="CB70" s="33">
        <f t="shared" si="188"/>
        <v>16347</v>
      </c>
      <c r="CC70" s="33">
        <f t="shared" si="188"/>
        <v>17377</v>
      </c>
      <c r="CD70" s="33">
        <f t="shared" si="188"/>
        <v>14251</v>
      </c>
      <c r="CE70" s="33">
        <f t="shared" si="188"/>
        <v>14928</v>
      </c>
      <c r="CF70" s="33">
        <f t="shared" si="188"/>
        <v>16426</v>
      </c>
      <c r="CG70" s="33">
        <f t="shared" si="188"/>
        <v>17838</v>
      </c>
      <c r="CH70" s="33">
        <f t="shared" si="188"/>
        <v>22986</v>
      </c>
      <c r="CI70" s="33">
        <f t="shared" si="188"/>
        <v>23642</v>
      </c>
      <c r="CJ70" s="33">
        <f t="shared" si="188"/>
        <v>25210</v>
      </c>
      <c r="CK70" s="33">
        <f t="shared" si="188"/>
        <v>24198</v>
      </c>
      <c r="CL70" s="33">
        <f t="shared" si="188"/>
        <v>23901</v>
      </c>
      <c r="CM70" s="33">
        <f t="shared" si="188"/>
        <v>19885</v>
      </c>
      <c r="CN70" s="33">
        <f t="shared" si="188"/>
        <v>21734</v>
      </c>
      <c r="CO70" s="33">
        <f t="shared" si="188"/>
        <v>20347</v>
      </c>
      <c r="CP70" s="33">
        <f t="shared" si="188"/>
        <v>27160</v>
      </c>
      <c r="CQ70" s="33">
        <f t="shared" si="188"/>
        <v>29144</v>
      </c>
      <c r="CR70" s="33">
        <f t="shared" si="188"/>
        <v>31181</v>
      </c>
      <c r="CS70" s="33">
        <f t="shared" si="188"/>
        <v>30054</v>
      </c>
      <c r="CT70" s="33">
        <f t="shared" si="188"/>
        <v>29468</v>
      </c>
      <c r="CU70" s="33">
        <f t="shared" ref="CU70:EB70" si="189">CU150</f>
        <v>26232</v>
      </c>
      <c r="CV70" s="33">
        <f t="shared" si="189"/>
        <v>26976</v>
      </c>
      <c r="CW70" s="33">
        <f t="shared" si="189"/>
        <v>26868</v>
      </c>
      <c r="CX70" s="33">
        <f t="shared" si="189"/>
        <v>28024</v>
      </c>
      <c r="CY70" s="33">
        <f t="shared" si="189"/>
        <v>25202</v>
      </c>
      <c r="CZ70" s="33">
        <f t="shared" si="189"/>
        <v>25356</v>
      </c>
      <c r="DA70" s="33">
        <f t="shared" si="189"/>
        <v>19731</v>
      </c>
      <c r="DB70" s="33">
        <f t="shared" si="189"/>
        <v>27285</v>
      </c>
      <c r="DC70" s="33">
        <f t="shared" si="189"/>
        <v>28760</v>
      </c>
      <c r="DD70" s="33">
        <f t="shared" si="189"/>
        <v>28597</v>
      </c>
      <c r="DE70" s="33">
        <f t="shared" si="189"/>
        <v>32393</v>
      </c>
      <c r="DF70" s="33">
        <f t="shared" si="189"/>
        <v>31473</v>
      </c>
      <c r="DG70" s="33">
        <f t="shared" si="189"/>
        <v>28953</v>
      </c>
      <c r="DH70" s="33">
        <f t="shared" si="189"/>
        <v>28972</v>
      </c>
      <c r="DI70" s="33">
        <f t="shared" si="189"/>
        <v>38688</v>
      </c>
      <c r="DJ70" s="33">
        <f t="shared" si="189"/>
        <v>36154</v>
      </c>
      <c r="DK70" s="33">
        <f t="shared" si="189"/>
        <v>35698</v>
      </c>
      <c r="DL70" s="33">
        <f t="shared" si="189"/>
        <v>36272</v>
      </c>
      <c r="DM70" s="33">
        <f t="shared" si="189"/>
        <v>42434</v>
      </c>
      <c r="DN70" s="33">
        <f t="shared" si="189"/>
        <v>34857</v>
      </c>
      <c r="DO70" s="33">
        <f t="shared" si="189"/>
        <v>36577</v>
      </c>
      <c r="DP70" s="33">
        <f t="shared" si="189"/>
        <v>39716</v>
      </c>
      <c r="DQ70" s="33">
        <f t="shared" si="189"/>
        <v>39460</v>
      </c>
      <c r="DR70" s="33">
        <f t="shared" si="189"/>
        <v>34609</v>
      </c>
      <c r="DS70" s="33">
        <f t="shared" si="189"/>
        <v>31112</v>
      </c>
      <c r="DT70" s="33">
        <f t="shared" si="189"/>
        <v>24068</v>
      </c>
      <c r="DU70" s="33">
        <f t="shared" si="189"/>
        <v>18126</v>
      </c>
      <c r="DV70" s="33">
        <f t="shared" si="189"/>
        <v>19619</v>
      </c>
      <c r="DW70" s="33">
        <f t="shared" si="189"/>
        <v>20121</v>
      </c>
      <c r="DX70" s="33">
        <f t="shared" si="189"/>
        <v>17587</v>
      </c>
      <c r="DY70" s="33">
        <f t="shared" si="189"/>
        <v>17538</v>
      </c>
      <c r="DZ70" s="33">
        <f t="shared" si="189"/>
        <v>20839</v>
      </c>
      <c r="EA70" s="33">
        <f t="shared" si="189"/>
        <v>25189</v>
      </c>
      <c r="EB70" s="33">
        <f t="shared" si="189"/>
        <v>24141</v>
      </c>
      <c r="EC70" s="33">
        <f t="shared" ref="EC70:ED70" si="190">EC150</f>
        <v>22709</v>
      </c>
      <c r="ED70" s="33">
        <f t="shared" si="190"/>
        <v>23401</v>
      </c>
      <c r="EE70" s="290">
        <v>22000</v>
      </c>
      <c r="EF70" s="290">
        <v>21000</v>
      </c>
      <c r="EG70" s="290">
        <v>24000</v>
      </c>
      <c r="EH70" s="290">
        <v>25000</v>
      </c>
      <c r="EI70" s="290">
        <v>25000</v>
      </c>
      <c r="EJ70" s="290">
        <v>25000</v>
      </c>
      <c r="EK70" s="290">
        <v>25000</v>
      </c>
      <c r="EL70" s="290">
        <v>25000</v>
      </c>
      <c r="EM70" s="290">
        <v>25000</v>
      </c>
      <c r="EN70" s="290">
        <v>25000</v>
      </c>
      <c r="EO70" s="290">
        <v>25000</v>
      </c>
      <c r="EP70" s="290">
        <v>25000</v>
      </c>
      <c r="EQ70" s="20"/>
      <c r="ER70" s="20"/>
      <c r="ES70" s="355">
        <f t="shared" si="18"/>
        <v>65</v>
      </c>
      <c r="ET70"/>
      <c r="EU70"/>
      <c r="EV70"/>
      <c r="EW70"/>
      <c r="EX70"/>
      <c r="EY70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</row>
    <row r="71" spans="1:257" s="10" customFormat="1" ht="12.75" customHeight="1" outlineLevel="1">
      <c r="A71" s="9"/>
      <c r="B71" s="14" t="s">
        <v>207</v>
      </c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33">
        <f t="shared" ref="N71:AF71" si="191">N151</f>
        <v>14161</v>
      </c>
      <c r="O71" s="33">
        <f t="shared" si="191"/>
        <v>20417</v>
      </c>
      <c r="P71" s="33">
        <f t="shared" si="191"/>
        <v>12561</v>
      </c>
      <c r="Q71" s="33">
        <f t="shared" si="191"/>
        <v>13261</v>
      </c>
      <c r="R71" s="33">
        <f t="shared" si="191"/>
        <v>14687</v>
      </c>
      <c r="S71" s="33">
        <f t="shared" si="191"/>
        <v>12905</v>
      </c>
      <c r="T71" s="33">
        <f t="shared" si="191"/>
        <v>18088</v>
      </c>
      <c r="U71" s="33">
        <f t="shared" si="191"/>
        <v>21302.701157249834</v>
      </c>
      <c r="V71" s="33">
        <f t="shared" si="191"/>
        <v>22880.946252838748</v>
      </c>
      <c r="W71" s="33">
        <f t="shared" si="191"/>
        <v>22414.63993710692</v>
      </c>
      <c r="X71" s="33">
        <f t="shared" si="191"/>
        <v>19894.153904761915</v>
      </c>
      <c r="Y71" s="33">
        <f t="shared" si="191"/>
        <v>23414.915068493152</v>
      </c>
      <c r="Z71" s="33">
        <f t="shared" si="191"/>
        <v>25441.509589041096</v>
      </c>
      <c r="AA71" s="33">
        <f t="shared" si="191"/>
        <v>16878.949462014989</v>
      </c>
      <c r="AB71" s="33">
        <f t="shared" si="191"/>
        <v>8198.3936484490441</v>
      </c>
      <c r="AC71" s="33">
        <f t="shared" si="191"/>
        <v>11159.838752196833</v>
      </c>
      <c r="AD71" s="33">
        <f t="shared" si="191"/>
        <v>12038.630136986296</v>
      </c>
      <c r="AE71" s="33">
        <f t="shared" si="191"/>
        <v>15000.000000000011</v>
      </c>
      <c r="AF71" s="33">
        <f t="shared" si="191"/>
        <v>14999.999999999993</v>
      </c>
      <c r="AG71" s="41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33"/>
      <c r="BP71" s="33"/>
      <c r="BQ71" s="33"/>
      <c r="BR71" s="33"/>
      <c r="BS71" s="33">
        <f t="shared" ref="BS71:CX71" si="192">BS151</f>
        <v>13069</v>
      </c>
      <c r="BT71" s="33">
        <f t="shared" si="192"/>
        <v>13035</v>
      </c>
      <c r="BU71" s="33">
        <f t="shared" si="192"/>
        <v>15937</v>
      </c>
      <c r="BV71" s="33">
        <f t="shared" si="192"/>
        <v>18228</v>
      </c>
      <c r="BW71" s="33">
        <f t="shared" si="192"/>
        <v>20352</v>
      </c>
      <c r="BX71" s="33">
        <f t="shared" si="192"/>
        <v>22562</v>
      </c>
      <c r="BY71" s="33">
        <f t="shared" si="192"/>
        <v>20447</v>
      </c>
      <c r="BZ71" s="33">
        <f t="shared" si="192"/>
        <v>14986</v>
      </c>
      <c r="CA71" s="33">
        <f t="shared" si="192"/>
        <v>14163</v>
      </c>
      <c r="CB71" s="33">
        <f t="shared" si="192"/>
        <v>11608</v>
      </c>
      <c r="CC71" s="33">
        <f t="shared" si="192"/>
        <v>10400</v>
      </c>
      <c r="CD71" s="33">
        <f t="shared" si="192"/>
        <v>11542</v>
      </c>
      <c r="CE71" s="33">
        <f t="shared" si="192"/>
        <v>14369</v>
      </c>
      <c r="CF71" s="33">
        <f t="shared" si="192"/>
        <v>16188</v>
      </c>
      <c r="CG71" s="33">
        <f t="shared" si="192"/>
        <v>11944</v>
      </c>
      <c r="CH71" s="33">
        <f t="shared" si="192"/>
        <v>13353</v>
      </c>
      <c r="CI71" s="33">
        <f t="shared" si="192"/>
        <v>16065</v>
      </c>
      <c r="CJ71" s="33">
        <f t="shared" si="192"/>
        <v>14721</v>
      </c>
      <c r="CK71" s="33">
        <f t="shared" si="192"/>
        <v>14497</v>
      </c>
      <c r="CL71" s="33">
        <f t="shared" si="192"/>
        <v>14923</v>
      </c>
      <c r="CM71" s="33">
        <f t="shared" si="192"/>
        <v>9718</v>
      </c>
      <c r="CN71" s="33">
        <f t="shared" si="192"/>
        <v>8529</v>
      </c>
      <c r="CO71" s="33">
        <f t="shared" si="192"/>
        <v>18813</v>
      </c>
      <c r="CP71" s="33">
        <f t="shared" si="192"/>
        <v>14673</v>
      </c>
      <c r="CQ71" s="33">
        <f t="shared" si="192"/>
        <v>12065</v>
      </c>
      <c r="CR71" s="33">
        <f t="shared" si="192"/>
        <v>20128</v>
      </c>
      <c r="CS71" s="33">
        <f t="shared" si="192"/>
        <v>22398</v>
      </c>
      <c r="CT71" s="33">
        <f t="shared" si="192"/>
        <v>23589</v>
      </c>
      <c r="CU71" s="33">
        <f t="shared" si="192"/>
        <v>22330</v>
      </c>
      <c r="CV71" s="33">
        <f t="shared" si="192"/>
        <v>18555</v>
      </c>
      <c r="CW71" s="33">
        <f t="shared" si="192"/>
        <v>20679</v>
      </c>
      <c r="CX71" s="33">
        <f t="shared" si="192"/>
        <v>24936</v>
      </c>
      <c r="CY71" s="33">
        <f t="shared" ref="CY71:EB71" si="193">CY151</f>
        <v>23023</v>
      </c>
      <c r="CZ71" s="33">
        <f t="shared" si="193"/>
        <v>20782</v>
      </c>
      <c r="DA71" s="33">
        <f t="shared" si="193"/>
        <v>22581</v>
      </c>
      <c r="DB71" s="33">
        <f t="shared" si="193"/>
        <v>18065</v>
      </c>
      <c r="DC71" s="33">
        <f t="shared" si="193"/>
        <v>23747</v>
      </c>
      <c r="DD71" s="33">
        <f t="shared" si="193"/>
        <v>25820</v>
      </c>
      <c r="DE71" s="33">
        <f t="shared" si="193"/>
        <v>21783</v>
      </c>
      <c r="DF71" s="33">
        <f t="shared" si="193"/>
        <v>22171</v>
      </c>
      <c r="DG71" s="33">
        <f t="shared" si="193"/>
        <v>20561</v>
      </c>
      <c r="DH71" s="33">
        <f t="shared" si="193"/>
        <v>12645</v>
      </c>
      <c r="DI71" s="33">
        <f t="shared" si="193"/>
        <v>23330</v>
      </c>
      <c r="DJ71" s="33">
        <f t="shared" si="193"/>
        <v>25782</v>
      </c>
      <c r="DK71" s="33">
        <f t="shared" si="193"/>
        <v>24838</v>
      </c>
      <c r="DL71" s="33">
        <f t="shared" si="193"/>
        <v>25108</v>
      </c>
      <c r="DM71" s="33">
        <f t="shared" si="193"/>
        <v>17981</v>
      </c>
      <c r="DN71" s="33">
        <f t="shared" si="193"/>
        <v>27449</v>
      </c>
      <c r="DO71" s="33">
        <f t="shared" si="193"/>
        <v>27665</v>
      </c>
      <c r="DP71" s="33">
        <f t="shared" si="193"/>
        <v>24303</v>
      </c>
      <c r="DQ71" s="33">
        <f t="shared" si="193"/>
        <v>22385</v>
      </c>
      <c r="DR71" s="33">
        <f t="shared" si="193"/>
        <v>20732</v>
      </c>
      <c r="DS71" s="33">
        <f t="shared" si="193"/>
        <v>18671</v>
      </c>
      <c r="DT71" s="33">
        <f t="shared" si="193"/>
        <v>14265</v>
      </c>
      <c r="DU71" s="33">
        <f t="shared" si="193"/>
        <v>13296</v>
      </c>
      <c r="DV71" s="33">
        <f t="shared" si="193"/>
        <v>7920</v>
      </c>
      <c r="DW71" s="33">
        <f t="shared" si="193"/>
        <v>7883</v>
      </c>
      <c r="DX71" s="33">
        <f t="shared" si="193"/>
        <v>7981</v>
      </c>
      <c r="DY71" s="33">
        <f t="shared" si="193"/>
        <v>9070</v>
      </c>
      <c r="DZ71" s="33">
        <f t="shared" si="193"/>
        <v>10478</v>
      </c>
      <c r="EA71" s="33">
        <f t="shared" si="193"/>
        <v>10817</v>
      </c>
      <c r="EB71" s="33">
        <f t="shared" si="193"/>
        <v>11503</v>
      </c>
      <c r="EC71" s="33">
        <f t="shared" ref="EC71:ED71" si="194">EC151</f>
        <v>12088</v>
      </c>
      <c r="ED71" s="33">
        <f t="shared" si="194"/>
        <v>12375</v>
      </c>
      <c r="EE71" s="33">
        <f t="shared" ref="EE71:EP71" si="195">EE69-EE70</f>
        <v>11500</v>
      </c>
      <c r="EF71" s="33">
        <f t="shared" si="195"/>
        <v>10400</v>
      </c>
      <c r="EG71" s="33">
        <f t="shared" si="195"/>
        <v>13850</v>
      </c>
      <c r="EH71" s="33">
        <f t="shared" si="195"/>
        <v>15000</v>
      </c>
      <c r="EI71" s="33">
        <f t="shared" si="195"/>
        <v>15000</v>
      </c>
      <c r="EJ71" s="33">
        <f t="shared" si="195"/>
        <v>15000</v>
      </c>
      <c r="EK71" s="33">
        <f t="shared" si="195"/>
        <v>15000</v>
      </c>
      <c r="EL71" s="33">
        <f t="shared" si="195"/>
        <v>15000</v>
      </c>
      <c r="EM71" s="33">
        <f t="shared" si="195"/>
        <v>15000</v>
      </c>
      <c r="EN71" s="33">
        <f t="shared" si="195"/>
        <v>15000</v>
      </c>
      <c r="EO71" s="33">
        <f t="shared" si="195"/>
        <v>15000</v>
      </c>
      <c r="EP71" s="33">
        <f t="shared" si="195"/>
        <v>15000</v>
      </c>
      <c r="EQ71" s="20"/>
      <c r="ER71" s="20"/>
      <c r="ES71" s="355">
        <f t="shared" si="18"/>
        <v>66</v>
      </c>
      <c r="ET71"/>
      <c r="EU71"/>
      <c r="EV71"/>
      <c r="EW71"/>
      <c r="EX71"/>
      <c r="EY7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</row>
    <row r="72" spans="1:257" s="10" customFormat="1" ht="12.75" customHeight="1" outlineLevel="1">
      <c r="A72" s="9"/>
      <c r="B72" s="14" t="s">
        <v>206</v>
      </c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163">
        <f t="shared" ref="N72:AF72" si="196">N147</f>
        <v>0.83</v>
      </c>
      <c r="O72" s="163">
        <f t="shared" si="196"/>
        <v>0.51</v>
      </c>
      <c r="P72" s="163">
        <f t="shared" si="196"/>
        <v>0.48</v>
      </c>
      <c r="Q72" s="163">
        <f t="shared" si="196"/>
        <v>0.53</v>
      </c>
      <c r="R72" s="163">
        <f t="shared" si="196"/>
        <v>0.69</v>
      </c>
      <c r="S72" s="163">
        <f t="shared" si="196"/>
        <v>0.65</v>
      </c>
      <c r="T72" s="163">
        <f t="shared" si="196"/>
        <v>0.75</v>
      </c>
      <c r="U72" s="163">
        <f t="shared" si="196"/>
        <v>0.89457785101022891</v>
      </c>
      <c r="V72" s="163">
        <f t="shared" si="196"/>
        <v>0.8049837990628399</v>
      </c>
      <c r="W72" s="163">
        <f t="shared" si="196"/>
        <v>0.77498339272239181</v>
      </c>
      <c r="X72" s="163">
        <f t="shared" si="196"/>
        <v>0.78982812193571816</v>
      </c>
      <c r="Y72" s="163">
        <f t="shared" si="196"/>
        <v>0.8899999999999999</v>
      </c>
      <c r="Z72" s="163">
        <f t="shared" si="196"/>
        <v>0.8899999999999999</v>
      </c>
      <c r="AA72" s="163">
        <f t="shared" si="196"/>
        <v>0.93486520809930873</v>
      </c>
      <c r="AB72" s="163">
        <f t="shared" si="196"/>
        <v>0.82262059989555458</v>
      </c>
      <c r="AC72" s="163">
        <f t="shared" si="196"/>
        <v>0.74397770278441444</v>
      </c>
      <c r="AD72" s="163">
        <f t="shared" si="196"/>
        <v>0.62624254473161034</v>
      </c>
      <c r="AE72" s="163">
        <f t="shared" si="196"/>
        <v>0.71883561643835614</v>
      </c>
      <c r="AF72" s="163">
        <f t="shared" si="196"/>
        <v>0.87739726027397258</v>
      </c>
      <c r="AG72" s="41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33"/>
      <c r="BP72" s="33"/>
      <c r="BQ72" s="33"/>
      <c r="BR72" s="33"/>
      <c r="BS72" s="163">
        <f t="shared" ref="BS72:CX72" si="197">BS147</f>
        <v>0.89</v>
      </c>
      <c r="BT72" s="163">
        <f t="shared" si="197"/>
        <v>0.81</v>
      </c>
      <c r="BU72" s="163">
        <f t="shared" si="197"/>
        <v>0.65</v>
      </c>
      <c r="BV72" s="163">
        <f t="shared" si="197"/>
        <v>0.52</v>
      </c>
      <c r="BW72" s="163">
        <f t="shared" si="197"/>
        <v>0.5</v>
      </c>
      <c r="BX72" s="163">
        <f t="shared" si="197"/>
        <v>0.54</v>
      </c>
      <c r="BY72" s="163">
        <f t="shared" si="197"/>
        <v>0.48</v>
      </c>
      <c r="BZ72" s="163">
        <f t="shared" si="197"/>
        <v>0.42</v>
      </c>
      <c r="CA72" s="163">
        <f t="shared" si="197"/>
        <v>0.42</v>
      </c>
      <c r="CB72" s="163">
        <f t="shared" si="197"/>
        <v>0.52</v>
      </c>
      <c r="CC72" s="163">
        <f t="shared" si="197"/>
        <v>0.54</v>
      </c>
      <c r="CD72" s="163">
        <f t="shared" si="197"/>
        <v>0.56000000000000005</v>
      </c>
      <c r="CE72" s="163">
        <f t="shared" si="197"/>
        <v>0.45</v>
      </c>
      <c r="CF72" s="163">
        <f t="shared" si="197"/>
        <v>0.45</v>
      </c>
      <c r="CG72" s="163">
        <f t="shared" si="197"/>
        <v>0.65</v>
      </c>
      <c r="CH72" s="163">
        <f t="shared" si="197"/>
        <v>0.64</v>
      </c>
      <c r="CI72" s="163">
        <f t="shared" si="197"/>
        <v>0.71</v>
      </c>
      <c r="CJ72" s="163">
        <f t="shared" si="197"/>
        <v>0.73</v>
      </c>
      <c r="CK72" s="163">
        <f t="shared" si="197"/>
        <v>0.69</v>
      </c>
      <c r="CL72" s="163">
        <f t="shared" si="197"/>
        <v>0.71</v>
      </c>
      <c r="CM72" s="163">
        <f t="shared" si="197"/>
        <v>0.64</v>
      </c>
      <c r="CN72" s="163">
        <f t="shared" si="197"/>
        <v>0.67</v>
      </c>
      <c r="CO72" s="163">
        <f t="shared" si="197"/>
        <v>0.59</v>
      </c>
      <c r="CP72" s="163">
        <f t="shared" si="197"/>
        <v>0.56000000000000005</v>
      </c>
      <c r="CQ72" s="163">
        <f t="shared" si="197"/>
        <v>0.65</v>
      </c>
      <c r="CR72" s="163">
        <f t="shared" si="197"/>
        <v>0.89</v>
      </c>
      <c r="CS72" s="163">
        <f t="shared" si="197"/>
        <v>0.89</v>
      </c>
      <c r="CT72" s="163">
        <f t="shared" si="197"/>
        <v>0.89</v>
      </c>
      <c r="CU72" s="163">
        <f t="shared" si="197"/>
        <v>0.98</v>
      </c>
      <c r="CV72" s="163">
        <f t="shared" si="197"/>
        <v>0.93</v>
      </c>
      <c r="CW72" s="163">
        <f t="shared" si="197"/>
        <v>0.78</v>
      </c>
      <c r="CX72" s="163">
        <f t="shared" si="197"/>
        <v>0.85</v>
      </c>
      <c r="CY72" s="163">
        <f t="shared" ref="CY72:EB72" si="198">CY147</f>
        <v>0.81</v>
      </c>
      <c r="CZ72" s="163">
        <f t="shared" si="198"/>
        <v>0.78</v>
      </c>
      <c r="DA72" s="163">
        <f t="shared" si="198"/>
        <v>0.78</v>
      </c>
      <c r="DB72" s="163">
        <f t="shared" si="198"/>
        <v>0.71</v>
      </c>
      <c r="DC72" s="163">
        <f t="shared" si="198"/>
        <v>0.76</v>
      </c>
      <c r="DD72" s="163">
        <f t="shared" si="198"/>
        <v>0.78</v>
      </c>
      <c r="DE72" s="163">
        <f t="shared" si="198"/>
        <v>0.85</v>
      </c>
      <c r="DF72" s="163">
        <f t="shared" si="198"/>
        <v>0.84</v>
      </c>
      <c r="DG72" s="163">
        <f t="shared" si="198"/>
        <v>0.74</v>
      </c>
      <c r="DH72" s="163">
        <f t="shared" si="198"/>
        <v>0.74</v>
      </c>
      <c r="DI72" s="163">
        <f t="shared" si="198"/>
        <v>0.84</v>
      </c>
      <c r="DJ72" s="163">
        <f t="shared" si="198"/>
        <v>0.89</v>
      </c>
      <c r="DK72" s="163">
        <f t="shared" si="198"/>
        <v>0.89</v>
      </c>
      <c r="DL72" s="163">
        <f t="shared" si="198"/>
        <v>0.89</v>
      </c>
      <c r="DM72" s="163">
        <f t="shared" si="198"/>
        <v>0.89</v>
      </c>
      <c r="DN72" s="163">
        <f t="shared" si="198"/>
        <v>0.89</v>
      </c>
      <c r="DO72" s="163">
        <f t="shared" si="198"/>
        <v>0.89</v>
      </c>
      <c r="DP72" s="163">
        <f t="shared" si="198"/>
        <v>0.89</v>
      </c>
      <c r="DQ72" s="163">
        <f t="shared" si="198"/>
        <v>0.89</v>
      </c>
      <c r="DR72" s="163">
        <f t="shared" si="198"/>
        <v>0.98</v>
      </c>
      <c r="DS72" s="163">
        <f t="shared" si="198"/>
        <v>0.98</v>
      </c>
      <c r="DT72" s="163">
        <f t="shared" si="198"/>
        <v>0.89</v>
      </c>
      <c r="DU72" s="163">
        <f t="shared" si="198"/>
        <v>0.89</v>
      </c>
      <c r="DV72" s="163">
        <f t="shared" si="198"/>
        <v>0.89</v>
      </c>
      <c r="DW72" s="163">
        <f t="shared" si="198"/>
        <v>0.84</v>
      </c>
      <c r="DX72" s="163">
        <f t="shared" si="198"/>
        <v>0.78</v>
      </c>
      <c r="DY72" s="163">
        <f t="shared" si="198"/>
        <v>0.78</v>
      </c>
      <c r="DZ72" s="163">
        <f t="shared" si="198"/>
        <v>0.78</v>
      </c>
      <c r="EA72" s="163">
        <f t="shared" si="198"/>
        <v>0.77</v>
      </c>
      <c r="EB72" s="163">
        <f t="shared" si="198"/>
        <v>0.75</v>
      </c>
      <c r="EC72" s="163">
        <f t="shared" ref="EC72:ED72" si="199">EC147</f>
        <v>0.67</v>
      </c>
      <c r="ED72" s="163">
        <f t="shared" si="199"/>
        <v>0.63</v>
      </c>
      <c r="EE72" s="163">
        <f t="shared" ref="EE72:EP72" si="200">EE147</f>
        <v>0.625</v>
      </c>
      <c r="EF72" s="163">
        <f t="shared" si="200"/>
        <v>0.625</v>
      </c>
      <c r="EG72" s="163">
        <f t="shared" si="200"/>
        <v>0.625</v>
      </c>
      <c r="EH72" s="163">
        <f t="shared" si="200"/>
        <v>0.625</v>
      </c>
      <c r="EI72" s="163">
        <f t="shared" si="200"/>
        <v>0.6875</v>
      </c>
      <c r="EJ72" s="163">
        <f t="shared" si="200"/>
        <v>0.75</v>
      </c>
      <c r="EK72" s="163">
        <f t="shared" si="200"/>
        <v>0.8125</v>
      </c>
      <c r="EL72" s="163">
        <f t="shared" si="200"/>
        <v>0.875</v>
      </c>
      <c r="EM72" s="163">
        <f t="shared" si="200"/>
        <v>0.875</v>
      </c>
      <c r="EN72" s="163">
        <f t="shared" si="200"/>
        <v>0.875</v>
      </c>
      <c r="EO72" s="163">
        <f t="shared" si="200"/>
        <v>0.875</v>
      </c>
      <c r="EP72" s="163">
        <f t="shared" si="200"/>
        <v>0.875</v>
      </c>
      <c r="EQ72" s="20"/>
      <c r="ER72" s="20"/>
      <c r="ES72" s="355">
        <f t="shared" ref="ES72:ES135" si="201">ES71+1</f>
        <v>67</v>
      </c>
      <c r="ET72"/>
      <c r="EU72"/>
      <c r="EV72"/>
      <c r="EW72"/>
      <c r="EX72"/>
      <c r="EY72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</row>
    <row r="73" spans="1:257" s="4" customFormat="1" ht="12.75" customHeight="1" outlineLevel="1">
      <c r="A73" s="15"/>
      <c r="B73" s="286" t="s">
        <v>174</v>
      </c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92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174"/>
      <c r="AB73" s="174"/>
      <c r="AC73" s="22"/>
      <c r="AD73" s="27"/>
      <c r="AE73" s="27"/>
      <c r="AF73" s="27"/>
      <c r="AG73" s="1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91"/>
      <c r="DF73" s="291"/>
      <c r="DG73" s="291"/>
      <c r="DH73" s="291"/>
      <c r="DI73" s="291"/>
      <c r="DJ73" s="291"/>
      <c r="DK73" s="291"/>
      <c r="DL73" s="291"/>
      <c r="DM73" s="291"/>
      <c r="DN73" s="291"/>
      <c r="DO73" s="291"/>
      <c r="DP73" s="291"/>
      <c r="DQ73" s="291"/>
      <c r="DR73" s="291"/>
      <c r="DS73" s="291"/>
      <c r="DT73" s="291"/>
      <c r="DU73" s="291"/>
      <c r="DV73" s="291"/>
      <c r="DW73" s="291"/>
      <c r="DX73" s="291"/>
      <c r="DY73" s="291"/>
      <c r="DZ73" s="291"/>
      <c r="EA73" s="291"/>
      <c r="EB73" s="291"/>
      <c r="EC73" s="291"/>
      <c r="ED73" s="291"/>
      <c r="EE73" s="291"/>
      <c r="EF73" s="291"/>
      <c r="EG73" s="291"/>
      <c r="EH73" s="291"/>
      <c r="EI73" s="291"/>
      <c r="EJ73" s="291"/>
      <c r="EK73" s="291"/>
      <c r="EL73" s="291"/>
      <c r="EM73" s="291"/>
      <c r="EN73" s="291"/>
      <c r="EO73" s="291"/>
      <c r="EP73" s="291"/>
      <c r="EQ73" s="20"/>
      <c r="ER73" s="20"/>
      <c r="ES73" s="355">
        <f t="shared" si="201"/>
        <v>68</v>
      </c>
      <c r="ET73"/>
      <c r="EU73"/>
      <c r="EV73"/>
      <c r="EW73"/>
      <c r="EX73"/>
      <c r="EY73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</row>
    <row r="74" spans="1:257" s="10" customFormat="1" ht="12.75" customHeight="1" outlineLevel="1">
      <c r="A74" s="9"/>
      <c r="B74" s="14" t="s">
        <v>210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33">
        <f t="shared" ref="N74:AF74" si="202">N174</f>
        <v>17.096438356164384</v>
      </c>
      <c r="O74" s="33">
        <f t="shared" si="202"/>
        <v>12.36986301369863</v>
      </c>
      <c r="P74" s="33">
        <f t="shared" si="202"/>
        <v>17.120218579234972</v>
      </c>
      <c r="Q74" s="33">
        <f t="shared" si="202"/>
        <v>20.523287671232875</v>
      </c>
      <c r="R74" s="33">
        <f t="shared" si="202"/>
        <v>24.142465753424659</v>
      </c>
      <c r="S74" s="33">
        <f t="shared" si="202"/>
        <v>24.345205479452055</v>
      </c>
      <c r="T74" s="33">
        <f t="shared" si="202"/>
        <v>21.928961748633881</v>
      </c>
      <c r="U74" s="33">
        <f t="shared" si="202"/>
        <v>20.202739726027396</v>
      </c>
      <c r="V74" s="33">
        <f t="shared" si="202"/>
        <v>20.032876712328768</v>
      </c>
      <c r="W74" s="33">
        <f t="shared" si="202"/>
        <v>17.550684931506851</v>
      </c>
      <c r="X74" s="33">
        <f t="shared" si="202"/>
        <v>20.062841530054644</v>
      </c>
      <c r="Y74" s="33">
        <f t="shared" si="202"/>
        <v>23.854794520547944</v>
      </c>
      <c r="Z74" s="33">
        <f t="shared" si="202"/>
        <v>22.747945205479454</v>
      </c>
      <c r="AA74" s="33">
        <f t="shared" si="202"/>
        <v>20.476712328767125</v>
      </c>
      <c r="AB74" s="33">
        <f t="shared" si="202"/>
        <v>14.655737704918034</v>
      </c>
      <c r="AC74" s="33">
        <f t="shared" si="202"/>
        <v>12.331506849315069</v>
      </c>
      <c r="AD74" s="33">
        <f t="shared" si="202"/>
        <v>17.540958904109587</v>
      </c>
      <c r="AE74" s="33">
        <f t="shared" si="202"/>
        <v>19.753424657534246</v>
      </c>
      <c r="AF74" s="33">
        <f t="shared" si="202"/>
        <v>22.06027397260274</v>
      </c>
      <c r="AG74" s="41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33"/>
      <c r="BP74" s="33"/>
      <c r="BQ74" s="33">
        <f t="shared" ref="BQ74:CV74" si="203">BQ174</f>
        <v>22.94</v>
      </c>
      <c r="BR74" s="33">
        <f t="shared" si="203"/>
        <v>20.350000000000001</v>
      </c>
      <c r="BS74" s="33">
        <f t="shared" si="203"/>
        <v>18.477777777777778</v>
      </c>
      <c r="BT74" s="33">
        <f t="shared" si="203"/>
        <v>15.417582417582418</v>
      </c>
      <c r="BU74" s="33">
        <f t="shared" si="203"/>
        <v>14.152173913043478</v>
      </c>
      <c r="BV74" s="33">
        <f t="shared" si="203"/>
        <v>10.771739130434783</v>
      </c>
      <c r="BW74" s="33">
        <f t="shared" si="203"/>
        <v>13.388888888888889</v>
      </c>
      <c r="BX74" s="33">
        <f t="shared" si="203"/>
        <v>13.307692307692308</v>
      </c>
      <c r="BY74" s="33">
        <f t="shared" si="203"/>
        <v>12.043478260869565</v>
      </c>
      <c r="BZ74" s="33">
        <f t="shared" si="203"/>
        <v>16.673913043478262</v>
      </c>
      <c r="CA74" s="33">
        <f t="shared" si="203"/>
        <v>16.186813186813186</v>
      </c>
      <c r="CB74" s="33">
        <f t="shared" si="203"/>
        <v>17.219780219780219</v>
      </c>
      <c r="CC74" s="33">
        <f t="shared" si="203"/>
        <v>18.391304347826086</v>
      </c>
      <c r="CD74" s="33">
        <f t="shared" si="203"/>
        <v>19.815217391304348</v>
      </c>
      <c r="CE74" s="33">
        <f t="shared" si="203"/>
        <v>19.2</v>
      </c>
      <c r="CF74" s="33">
        <f t="shared" si="203"/>
        <v>21.054945054945055</v>
      </c>
      <c r="CG74" s="33">
        <f t="shared" si="203"/>
        <v>22</v>
      </c>
      <c r="CH74" s="33">
        <f t="shared" si="203"/>
        <v>22.043478260869566</v>
      </c>
      <c r="CI74" s="33">
        <f t="shared" si="203"/>
        <v>24</v>
      </c>
      <c r="CJ74" s="33">
        <f t="shared" si="203"/>
        <v>25.274725274725274</v>
      </c>
      <c r="CK74" s="33">
        <f t="shared" si="203"/>
        <v>25.260869565217391</v>
      </c>
      <c r="CL74" s="33">
        <f t="shared" si="203"/>
        <v>25.717391304347824</v>
      </c>
      <c r="CM74" s="33">
        <f t="shared" si="203"/>
        <v>25.133333333333333</v>
      </c>
      <c r="CN74" s="33">
        <f t="shared" si="203"/>
        <v>24.560439560439562</v>
      </c>
      <c r="CO74" s="33">
        <f t="shared" si="203"/>
        <v>21.989130434782609</v>
      </c>
      <c r="CP74" s="33">
        <f t="shared" si="203"/>
        <v>21.532608695652176</v>
      </c>
      <c r="CQ74" s="33">
        <f t="shared" si="203"/>
        <v>19.725274725274726</v>
      </c>
      <c r="CR74" s="33">
        <f t="shared" si="203"/>
        <v>21.439560439560438</v>
      </c>
      <c r="CS74" s="33">
        <f t="shared" si="203"/>
        <v>24.989130434782609</v>
      </c>
      <c r="CT74" s="33">
        <f t="shared" si="203"/>
        <v>25.902173913043477</v>
      </c>
      <c r="CU74" s="33">
        <f t="shared" si="203"/>
        <v>22.777777777777779</v>
      </c>
      <c r="CV74" s="33">
        <f t="shared" si="203"/>
        <v>17.824175824175825</v>
      </c>
      <c r="CW74" s="33">
        <f t="shared" ref="CW74:EA74" si="204">CW174</f>
        <v>14.336956521739131</v>
      </c>
      <c r="CX74" s="33">
        <f t="shared" si="204"/>
        <v>18.358695652173914</v>
      </c>
      <c r="CY74" s="33">
        <f t="shared" si="204"/>
        <v>19.622222222222224</v>
      </c>
      <c r="CZ74" s="33">
        <f t="shared" si="204"/>
        <v>20.670329670329672</v>
      </c>
      <c r="DA74" s="33">
        <f t="shared" si="204"/>
        <v>21.478260869565219</v>
      </c>
      <c r="DB74" s="33">
        <f t="shared" si="204"/>
        <v>20.902173913043477</v>
      </c>
      <c r="DC74" s="33">
        <f t="shared" si="204"/>
        <v>15.78888888888889</v>
      </c>
      <c r="DD74" s="33">
        <f t="shared" si="204"/>
        <v>15.791208791208792</v>
      </c>
      <c r="DE74" s="33">
        <f t="shared" si="204"/>
        <v>17.663043478260871</v>
      </c>
      <c r="DF74" s="33">
        <f t="shared" si="204"/>
        <v>18.793478260869566</v>
      </c>
      <c r="DG74" s="33">
        <f t="shared" si="204"/>
        <v>19.35164835164835</v>
      </c>
      <c r="DH74" s="33">
        <f t="shared" si="204"/>
        <v>20.35164835164835</v>
      </c>
      <c r="DI74" s="33">
        <f t="shared" si="204"/>
        <v>21.75</v>
      </c>
      <c r="DJ74" s="33">
        <f t="shared" si="204"/>
        <v>24.315217391304348</v>
      </c>
      <c r="DK74" s="33">
        <f t="shared" si="204"/>
        <v>22.477777777777778</v>
      </c>
      <c r="DL74" s="33">
        <f t="shared" si="204"/>
        <v>23.428571428571427</v>
      </c>
      <c r="DM74" s="33">
        <f t="shared" si="204"/>
        <v>25.163043478260871</v>
      </c>
      <c r="DN74" s="33">
        <f t="shared" si="204"/>
        <v>23.434782608695652</v>
      </c>
      <c r="DO74" s="33">
        <f t="shared" si="204"/>
        <v>22.577777777777779</v>
      </c>
      <c r="DP74" s="33">
        <f t="shared" si="204"/>
        <v>22.241758241758241</v>
      </c>
      <c r="DQ74" s="33">
        <f t="shared" si="204"/>
        <v>22.728260869565219</v>
      </c>
      <c r="DR74" s="33">
        <f t="shared" si="204"/>
        <v>22.608695652173914</v>
      </c>
      <c r="DS74" s="33">
        <f t="shared" si="204"/>
        <v>20.466666666666665</v>
      </c>
      <c r="DT74" s="33">
        <f t="shared" si="204"/>
        <v>20.736263736263737</v>
      </c>
      <c r="DU74" s="33">
        <f t="shared" si="204"/>
        <v>18.097826086956523</v>
      </c>
      <c r="DV74" s="33">
        <f t="shared" si="204"/>
        <v>15.336956521739131</v>
      </c>
      <c r="DW74" s="33">
        <f t="shared" si="204"/>
        <v>14.362637362637363</v>
      </c>
      <c r="DX74" s="33">
        <f t="shared" si="204"/>
        <v>14</v>
      </c>
      <c r="DY74" s="33">
        <f t="shared" si="204"/>
        <v>14.913043478260869</v>
      </c>
      <c r="DZ74" s="33">
        <f t="shared" si="204"/>
        <v>12.576086956521738</v>
      </c>
      <c r="EA74" s="33">
        <f t="shared" si="204"/>
        <v>9.6666666666666661</v>
      </c>
      <c r="EB74" s="33">
        <f t="shared" ref="EB74:EC74" si="205">EB174</f>
        <v>13</v>
      </c>
      <c r="EC74" s="33">
        <f t="shared" si="205"/>
        <v>14.032608695652174</v>
      </c>
      <c r="ED74" s="33">
        <f t="shared" ref="ED74" si="206">ED174</f>
        <v>17.25</v>
      </c>
      <c r="EE74" s="290">
        <f>+ED74*0.98</f>
        <v>16.905000000000001</v>
      </c>
      <c r="EF74" s="290">
        <v>18</v>
      </c>
      <c r="EG74" s="290">
        <v>18</v>
      </c>
      <c r="EH74" s="290">
        <v>19</v>
      </c>
      <c r="EI74" s="290">
        <v>19</v>
      </c>
      <c r="EJ74" s="290">
        <v>20</v>
      </c>
      <c r="EK74" s="290">
        <v>21</v>
      </c>
      <c r="EL74" s="290">
        <v>22</v>
      </c>
      <c r="EM74" s="290">
        <v>22</v>
      </c>
      <c r="EN74" s="290">
        <v>22</v>
      </c>
      <c r="EO74" s="290">
        <v>22</v>
      </c>
      <c r="EP74" s="290">
        <v>22</v>
      </c>
      <c r="EQ74" s="20"/>
      <c r="ER74" s="20"/>
      <c r="ES74" s="355">
        <f t="shared" si="201"/>
        <v>69</v>
      </c>
      <c r="ET74"/>
      <c r="EU74"/>
      <c r="EV74"/>
      <c r="EW74"/>
      <c r="EX74"/>
      <c r="EY74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</row>
    <row r="75" spans="1:257" s="10" customFormat="1" ht="12.75" customHeight="1" outlineLevel="1">
      <c r="A75" s="9"/>
      <c r="B75" s="14" t="s">
        <v>209</v>
      </c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33">
        <f t="shared" ref="N75:AF75" si="207">N178</f>
        <v>21161</v>
      </c>
      <c r="O75" s="33">
        <f t="shared" si="207"/>
        <v>19603</v>
      </c>
      <c r="P75" s="33">
        <f t="shared" si="207"/>
        <v>19580</v>
      </c>
      <c r="Q75" s="33">
        <f t="shared" si="207"/>
        <v>19332</v>
      </c>
      <c r="R75" s="33">
        <f t="shared" si="207"/>
        <v>23404</v>
      </c>
      <c r="S75" s="33">
        <f t="shared" si="207"/>
        <v>31465</v>
      </c>
      <c r="T75" s="33">
        <f t="shared" si="207"/>
        <v>37604</v>
      </c>
      <c r="U75" s="33">
        <f t="shared" si="207"/>
        <v>29650.137645782474</v>
      </c>
      <c r="V75" s="33">
        <f t="shared" si="207"/>
        <v>32295.997401531728</v>
      </c>
      <c r="W75" s="33">
        <f t="shared" si="207"/>
        <v>30830.137995629098</v>
      </c>
      <c r="X75" s="33">
        <f t="shared" si="207"/>
        <v>32998.339234645238</v>
      </c>
      <c r="Y75" s="33">
        <f t="shared" si="207"/>
        <v>37245.932353278971</v>
      </c>
      <c r="Z75" s="33">
        <f t="shared" si="207"/>
        <v>37117.205347464769</v>
      </c>
      <c r="AA75" s="33">
        <f t="shared" si="207"/>
        <v>44183.057934171789</v>
      </c>
      <c r="AB75" s="33">
        <f t="shared" si="207"/>
        <v>39043.984526472785</v>
      </c>
      <c r="AC75" s="33">
        <f t="shared" si="207"/>
        <v>41926.810042212841</v>
      </c>
      <c r="AD75" s="33">
        <f t="shared" si="207"/>
        <v>36526.430194691093</v>
      </c>
      <c r="AE75" s="33">
        <f t="shared" si="207"/>
        <v>39277.947295423015</v>
      </c>
      <c r="AF75" s="33">
        <f t="shared" si="207"/>
        <v>40000</v>
      </c>
      <c r="AG75" s="41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33">
        <f t="shared" ref="BO75:CT75" si="208">BO178</f>
        <v>0</v>
      </c>
      <c r="BP75" s="33">
        <f t="shared" si="208"/>
        <v>0</v>
      </c>
      <c r="BQ75" s="33">
        <f t="shared" si="208"/>
        <v>0</v>
      </c>
      <c r="BR75" s="33">
        <f t="shared" si="208"/>
        <v>0</v>
      </c>
      <c r="BS75" s="33">
        <f t="shared" si="208"/>
        <v>21777</v>
      </c>
      <c r="BT75" s="33">
        <f t="shared" si="208"/>
        <v>19911</v>
      </c>
      <c r="BU75" s="33">
        <f t="shared" si="208"/>
        <v>19683</v>
      </c>
      <c r="BV75" s="33">
        <f t="shared" si="208"/>
        <v>18669</v>
      </c>
      <c r="BW75" s="33">
        <f t="shared" si="208"/>
        <v>19439</v>
      </c>
      <c r="BX75" s="33">
        <f t="shared" si="208"/>
        <v>20332</v>
      </c>
      <c r="BY75" s="33">
        <f t="shared" si="208"/>
        <v>19820</v>
      </c>
      <c r="BZ75" s="33">
        <f t="shared" si="208"/>
        <v>19089</v>
      </c>
      <c r="CA75" s="33">
        <f t="shared" si="208"/>
        <v>21849</v>
      </c>
      <c r="CB75" s="33">
        <f t="shared" si="208"/>
        <v>18827</v>
      </c>
      <c r="CC75" s="33">
        <f t="shared" si="208"/>
        <v>18746</v>
      </c>
      <c r="CD75" s="33">
        <f t="shared" si="208"/>
        <v>19208</v>
      </c>
      <c r="CE75" s="33">
        <f t="shared" si="208"/>
        <v>19430</v>
      </c>
      <c r="CF75" s="33">
        <f t="shared" si="208"/>
        <v>19536</v>
      </c>
      <c r="CG75" s="33">
        <f t="shared" si="208"/>
        <v>19168</v>
      </c>
      <c r="CH75" s="33">
        <f t="shared" si="208"/>
        <v>20285</v>
      </c>
      <c r="CI75" s="33">
        <f t="shared" si="208"/>
        <v>22979</v>
      </c>
      <c r="CJ75" s="33">
        <f t="shared" si="208"/>
        <v>24698</v>
      </c>
      <c r="CK75" s="33">
        <f t="shared" si="208"/>
        <v>25242</v>
      </c>
      <c r="CL75" s="33">
        <f t="shared" si="208"/>
        <v>27690</v>
      </c>
      <c r="CM75" s="33">
        <f t="shared" si="208"/>
        <v>27001</v>
      </c>
      <c r="CN75" s="33">
        <f t="shared" si="208"/>
        <v>34200</v>
      </c>
      <c r="CO75" s="33">
        <f t="shared" si="208"/>
        <v>37847</v>
      </c>
      <c r="CP75" s="33">
        <f t="shared" si="208"/>
        <v>34522</v>
      </c>
      <c r="CQ75" s="33">
        <f t="shared" si="208"/>
        <v>39695</v>
      </c>
      <c r="CR75" s="33">
        <f t="shared" si="208"/>
        <v>38709</v>
      </c>
      <c r="CS75" s="33">
        <f t="shared" si="208"/>
        <v>37691</v>
      </c>
      <c r="CT75" s="33">
        <f t="shared" si="208"/>
        <v>36737</v>
      </c>
      <c r="CU75" s="33">
        <f t="shared" ref="CU75:EA75" si="209">CU178</f>
        <v>23397</v>
      </c>
      <c r="CV75" s="33">
        <f t="shared" si="209"/>
        <v>27340</v>
      </c>
      <c r="CW75" s="33">
        <f t="shared" si="209"/>
        <v>29406</v>
      </c>
      <c r="CX75" s="33">
        <f t="shared" si="209"/>
        <v>33714</v>
      </c>
      <c r="CY75" s="33">
        <f t="shared" si="209"/>
        <v>35065</v>
      </c>
      <c r="CZ75" s="33">
        <f t="shared" si="209"/>
        <v>30669</v>
      </c>
      <c r="DA75" s="33">
        <f t="shared" si="209"/>
        <v>30158</v>
      </c>
      <c r="DB75" s="33">
        <f t="shared" si="209"/>
        <v>31113</v>
      </c>
      <c r="DC75" s="33">
        <f t="shared" si="209"/>
        <v>33043</v>
      </c>
      <c r="DD75" s="33">
        <f t="shared" si="209"/>
        <v>29201</v>
      </c>
      <c r="DE75" s="33">
        <f t="shared" si="209"/>
        <v>30001</v>
      </c>
      <c r="DF75" s="33">
        <f t="shared" si="209"/>
        <v>31072</v>
      </c>
      <c r="DG75" s="33">
        <f t="shared" si="209"/>
        <v>31401</v>
      </c>
      <c r="DH75" s="33">
        <f t="shared" si="209"/>
        <v>33362</v>
      </c>
      <c r="DI75" s="33">
        <f t="shared" si="209"/>
        <v>35732</v>
      </c>
      <c r="DJ75" s="33">
        <f t="shared" si="209"/>
        <v>35511</v>
      </c>
      <c r="DK75" s="33">
        <f t="shared" si="209"/>
        <v>40677</v>
      </c>
      <c r="DL75" s="33">
        <f t="shared" si="209"/>
        <v>35955</v>
      </c>
      <c r="DM75" s="33">
        <f t="shared" si="209"/>
        <v>37113</v>
      </c>
      <c r="DN75" s="33">
        <f t="shared" si="209"/>
        <v>38433</v>
      </c>
      <c r="DO75" s="33">
        <f t="shared" si="209"/>
        <v>37095</v>
      </c>
      <c r="DP75" s="33">
        <f t="shared" si="209"/>
        <v>35454</v>
      </c>
      <c r="DQ75" s="33">
        <f t="shared" si="209"/>
        <v>37392</v>
      </c>
      <c r="DR75" s="33">
        <f t="shared" si="209"/>
        <v>39987</v>
      </c>
      <c r="DS75" s="33">
        <f t="shared" si="209"/>
        <v>46690</v>
      </c>
      <c r="DT75" s="33">
        <f t="shared" si="209"/>
        <v>47015</v>
      </c>
      <c r="DU75" s="33">
        <f t="shared" si="209"/>
        <v>43442</v>
      </c>
      <c r="DV75" s="33">
        <f t="shared" si="209"/>
        <v>46031</v>
      </c>
      <c r="DW75" s="33">
        <f t="shared" si="209"/>
        <v>36774</v>
      </c>
      <c r="DX75" s="33">
        <f t="shared" si="209"/>
        <v>34693</v>
      </c>
      <c r="DY75" s="33">
        <f t="shared" si="209"/>
        <v>38061</v>
      </c>
      <c r="DZ75" s="33">
        <f t="shared" si="209"/>
        <v>51794</v>
      </c>
      <c r="EA75" s="33">
        <f t="shared" si="209"/>
        <v>37340</v>
      </c>
      <c r="EB75" s="33">
        <f t="shared" ref="EB75:EC75" si="210">EB178</f>
        <v>37163.122569737963</v>
      </c>
      <c r="EC75" s="33">
        <f t="shared" si="210"/>
        <v>40540</v>
      </c>
      <c r="ED75" s="33">
        <f t="shared" ref="ED75" si="211">ED178</f>
        <v>38039</v>
      </c>
      <c r="EE75" s="290">
        <v>35000</v>
      </c>
      <c r="EF75" s="290">
        <f t="shared" ref="EF75:EJ75" si="212">+EE75+1000</f>
        <v>36000</v>
      </c>
      <c r="EG75" s="290">
        <f t="shared" si="212"/>
        <v>37000</v>
      </c>
      <c r="EH75" s="290">
        <f t="shared" si="212"/>
        <v>38000</v>
      </c>
      <c r="EI75" s="290">
        <f t="shared" si="212"/>
        <v>39000</v>
      </c>
      <c r="EJ75" s="290">
        <f t="shared" si="212"/>
        <v>40000</v>
      </c>
      <c r="EK75" s="290">
        <f t="shared" ref="EK75:EP75" si="213">EJ75</f>
        <v>40000</v>
      </c>
      <c r="EL75" s="290">
        <f t="shared" si="213"/>
        <v>40000</v>
      </c>
      <c r="EM75" s="290">
        <f t="shared" si="213"/>
        <v>40000</v>
      </c>
      <c r="EN75" s="290">
        <f t="shared" si="213"/>
        <v>40000</v>
      </c>
      <c r="EO75" s="290">
        <f t="shared" si="213"/>
        <v>40000</v>
      </c>
      <c r="EP75" s="290">
        <f t="shared" si="213"/>
        <v>40000</v>
      </c>
      <c r="EQ75" s="20"/>
      <c r="ER75" s="20"/>
      <c r="ES75" s="355">
        <f t="shared" si="201"/>
        <v>70</v>
      </c>
      <c r="ET75"/>
      <c r="EU75"/>
      <c r="EV75"/>
      <c r="EW75"/>
      <c r="EX75"/>
      <c r="EY75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</row>
    <row r="76" spans="1:257" s="10" customFormat="1" ht="12.75" customHeight="1" outlineLevel="1">
      <c r="A76" s="9"/>
      <c r="B76" s="14" t="s">
        <v>208</v>
      </c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33">
        <f t="shared" ref="N76:AF76" si="214">N179</f>
        <v>14599</v>
      </c>
      <c r="O76" s="33">
        <f t="shared" si="214"/>
        <v>14140</v>
      </c>
      <c r="P76" s="33">
        <f t="shared" si="214"/>
        <v>14279</v>
      </c>
      <c r="Q76" s="33">
        <f t="shared" si="214"/>
        <v>14039</v>
      </c>
      <c r="R76" s="33">
        <f t="shared" si="214"/>
        <v>14806</v>
      </c>
      <c r="S76" s="33">
        <f t="shared" si="214"/>
        <v>16708</v>
      </c>
      <c r="T76" s="33">
        <f t="shared" si="214"/>
        <v>24489</v>
      </c>
      <c r="U76" s="33">
        <f t="shared" si="214"/>
        <v>26416.734472470849</v>
      </c>
      <c r="V76" s="33">
        <f t="shared" si="214"/>
        <v>22104.896061269148</v>
      </c>
      <c r="W76" s="33">
        <f t="shared" si="214"/>
        <v>23652.98157976897</v>
      </c>
      <c r="X76" s="33">
        <f t="shared" si="214"/>
        <v>25591.992373689227</v>
      </c>
      <c r="Y76" s="33">
        <f t="shared" si="214"/>
        <v>27540.254967267712</v>
      </c>
      <c r="Z76" s="33">
        <f t="shared" si="214"/>
        <v>27125.255931590993</v>
      </c>
      <c r="AA76" s="33">
        <f t="shared" si="214"/>
        <v>33847.471233609846</v>
      </c>
      <c r="AB76" s="33">
        <f t="shared" si="214"/>
        <v>28627.28187919463</v>
      </c>
      <c r="AC76" s="33">
        <f t="shared" si="214"/>
        <v>34083.981337480553</v>
      </c>
      <c r="AD76" s="33">
        <f t="shared" si="214"/>
        <v>27160.407344063606</v>
      </c>
      <c r="AE76" s="33">
        <f t="shared" si="214"/>
        <v>27000.000000000004</v>
      </c>
      <c r="AF76" s="33">
        <f t="shared" si="214"/>
        <v>27000.000000000004</v>
      </c>
      <c r="AG76" s="41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33">
        <f t="shared" ref="BO76:CT76" si="215">BO179</f>
        <v>0</v>
      </c>
      <c r="BP76" s="33">
        <f t="shared" si="215"/>
        <v>0</v>
      </c>
      <c r="BQ76" s="33">
        <f t="shared" si="215"/>
        <v>0</v>
      </c>
      <c r="BR76" s="33">
        <f t="shared" si="215"/>
        <v>0</v>
      </c>
      <c r="BS76" s="33">
        <f t="shared" si="215"/>
        <v>14668</v>
      </c>
      <c r="BT76" s="33">
        <f t="shared" si="215"/>
        <v>13154</v>
      </c>
      <c r="BU76" s="33">
        <f t="shared" si="215"/>
        <v>13475</v>
      </c>
      <c r="BV76" s="33">
        <f t="shared" si="215"/>
        <v>14812</v>
      </c>
      <c r="BW76" s="33">
        <f t="shared" si="215"/>
        <v>14146</v>
      </c>
      <c r="BX76" s="33">
        <f t="shared" si="215"/>
        <v>13970</v>
      </c>
      <c r="BY76" s="33">
        <f t="shared" si="215"/>
        <v>13717</v>
      </c>
      <c r="BZ76" s="33">
        <f t="shared" si="215"/>
        <v>13399</v>
      </c>
      <c r="CA76" s="33">
        <f t="shared" si="215"/>
        <v>16645</v>
      </c>
      <c r="CB76" s="33">
        <f t="shared" si="215"/>
        <v>14577</v>
      </c>
      <c r="CC76" s="33">
        <f t="shared" si="215"/>
        <v>12739</v>
      </c>
      <c r="CD76" s="33">
        <f t="shared" si="215"/>
        <v>13346</v>
      </c>
      <c r="CE76" s="33">
        <f t="shared" si="215"/>
        <v>13672</v>
      </c>
      <c r="CF76" s="33">
        <f t="shared" si="215"/>
        <v>14633</v>
      </c>
      <c r="CG76" s="33">
        <f t="shared" si="215"/>
        <v>14416</v>
      </c>
      <c r="CH76" s="33">
        <f t="shared" si="215"/>
        <v>13512</v>
      </c>
      <c r="CI76" s="33">
        <f t="shared" si="215"/>
        <v>15003</v>
      </c>
      <c r="CJ76" s="33">
        <f t="shared" si="215"/>
        <v>15096</v>
      </c>
      <c r="CK76" s="33">
        <f t="shared" si="215"/>
        <v>15465</v>
      </c>
      <c r="CL76" s="33">
        <f t="shared" si="215"/>
        <v>14878</v>
      </c>
      <c r="CM76" s="33">
        <f t="shared" si="215"/>
        <v>15722</v>
      </c>
      <c r="CN76" s="33">
        <f t="shared" si="215"/>
        <v>18246</v>
      </c>
      <c r="CO76" s="33">
        <f t="shared" si="215"/>
        <v>18250</v>
      </c>
      <c r="CP76" s="33">
        <f t="shared" si="215"/>
        <v>20353</v>
      </c>
      <c r="CQ76" s="33">
        <f t="shared" si="215"/>
        <v>25299</v>
      </c>
      <c r="CR76" s="33">
        <f t="shared" si="215"/>
        <v>25638</v>
      </c>
      <c r="CS76" s="33">
        <f t="shared" si="215"/>
        <v>26447</v>
      </c>
      <c r="CT76" s="33">
        <f t="shared" si="215"/>
        <v>24320</v>
      </c>
      <c r="CU76" s="33">
        <f t="shared" ref="CU76:EA76" si="216">CU179</f>
        <v>27483</v>
      </c>
      <c r="CV76" s="33">
        <f t="shared" si="216"/>
        <v>26433</v>
      </c>
      <c r="CW76" s="33">
        <f t="shared" si="216"/>
        <v>26162</v>
      </c>
      <c r="CX76" s="33">
        <f t="shared" si="216"/>
        <v>23138</v>
      </c>
      <c r="CY76" s="33">
        <f t="shared" si="216"/>
        <v>24027</v>
      </c>
      <c r="CZ76" s="33">
        <f t="shared" si="216"/>
        <v>20477</v>
      </c>
      <c r="DA76" s="33">
        <f t="shared" si="216"/>
        <v>20621</v>
      </c>
      <c r="DB76" s="33">
        <f t="shared" si="216"/>
        <v>22164</v>
      </c>
      <c r="DC76" s="33">
        <f t="shared" si="216"/>
        <v>25937</v>
      </c>
      <c r="DD76" s="33">
        <f t="shared" si="216"/>
        <v>23848</v>
      </c>
      <c r="DE76" s="33">
        <f t="shared" si="216"/>
        <v>22311</v>
      </c>
      <c r="DF76" s="33">
        <f t="shared" si="216"/>
        <v>22057</v>
      </c>
      <c r="DG76" s="33">
        <f t="shared" si="216"/>
        <v>26517</v>
      </c>
      <c r="DH76" s="33">
        <f t="shared" si="216"/>
        <v>25658</v>
      </c>
      <c r="DI76" s="33">
        <f t="shared" si="216"/>
        <v>27522</v>
      </c>
      <c r="DJ76" s="33">
        <f t="shared" si="216"/>
        <v>27111</v>
      </c>
      <c r="DK76" s="33">
        <f t="shared" si="216"/>
        <v>29624</v>
      </c>
      <c r="DL76" s="33">
        <f t="shared" si="216"/>
        <v>27364</v>
      </c>
      <c r="DM76" s="33">
        <f t="shared" si="216"/>
        <v>26479</v>
      </c>
      <c r="DN76" s="33">
        <f t="shared" si="216"/>
        <v>28091</v>
      </c>
      <c r="DO76" s="33">
        <f t="shared" si="216"/>
        <v>26177</v>
      </c>
      <c r="DP76" s="33">
        <f t="shared" si="216"/>
        <v>26130</v>
      </c>
      <c r="DQ76" s="33">
        <f t="shared" si="216"/>
        <v>28623</v>
      </c>
      <c r="DR76" s="33">
        <f t="shared" si="216"/>
        <v>29217</v>
      </c>
      <c r="DS76" s="33">
        <f t="shared" si="216"/>
        <v>36166</v>
      </c>
      <c r="DT76" s="33">
        <f t="shared" si="216"/>
        <v>33929</v>
      </c>
      <c r="DU76" s="33">
        <f t="shared" si="216"/>
        <v>35586</v>
      </c>
      <c r="DV76" s="33">
        <f t="shared" si="216"/>
        <v>34220</v>
      </c>
      <c r="DW76" s="33">
        <f t="shared" si="216"/>
        <v>26075</v>
      </c>
      <c r="DX76" s="33">
        <f t="shared" si="216"/>
        <v>25232</v>
      </c>
      <c r="DY76" s="33">
        <f t="shared" si="216"/>
        <v>27442</v>
      </c>
      <c r="DZ76" s="33">
        <f t="shared" si="216"/>
        <v>42911</v>
      </c>
      <c r="EA76" s="33">
        <f t="shared" si="216"/>
        <v>33649</v>
      </c>
      <c r="EB76" s="33">
        <f t="shared" ref="EB76:EC76" si="217">EB179</f>
        <v>28185.122569737963</v>
      </c>
      <c r="EC76" s="33">
        <f t="shared" si="217"/>
        <v>28154</v>
      </c>
      <c r="ED76" s="33">
        <f t="shared" ref="ED76" si="218">ED179</f>
        <v>26688</v>
      </c>
      <c r="EE76" s="290">
        <v>27000</v>
      </c>
      <c r="EF76" s="290">
        <f t="shared" ref="EF76:EK76" si="219">EE76</f>
        <v>27000</v>
      </c>
      <c r="EG76" s="290">
        <f t="shared" si="219"/>
        <v>27000</v>
      </c>
      <c r="EH76" s="290">
        <f t="shared" si="219"/>
        <v>27000</v>
      </c>
      <c r="EI76" s="290">
        <f t="shared" si="219"/>
        <v>27000</v>
      </c>
      <c r="EJ76" s="290">
        <f t="shared" si="219"/>
        <v>27000</v>
      </c>
      <c r="EK76" s="290">
        <f t="shared" si="219"/>
        <v>27000</v>
      </c>
      <c r="EL76" s="290">
        <v>27000</v>
      </c>
      <c r="EM76" s="290">
        <v>27000</v>
      </c>
      <c r="EN76" s="290">
        <v>27000</v>
      </c>
      <c r="EO76" s="290">
        <v>27000</v>
      </c>
      <c r="EP76" s="290">
        <v>27000</v>
      </c>
      <c r="EQ76" s="20"/>
      <c r="ER76" s="20"/>
      <c r="ES76" s="355">
        <f t="shared" si="201"/>
        <v>71</v>
      </c>
      <c r="ET76"/>
      <c r="EU76"/>
      <c r="EV76"/>
      <c r="EW76"/>
      <c r="EX76"/>
      <c r="EY76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</row>
    <row r="77" spans="1:257" s="10" customFormat="1" ht="12.75" customHeight="1" outlineLevel="1">
      <c r="A77" s="9"/>
      <c r="B77" s="14" t="s">
        <v>207</v>
      </c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33">
        <f t="shared" ref="N77:AF77" si="220">N180</f>
        <v>6562</v>
      </c>
      <c r="O77" s="33">
        <f t="shared" si="220"/>
        <v>5463</v>
      </c>
      <c r="P77" s="33">
        <f t="shared" si="220"/>
        <v>5301</v>
      </c>
      <c r="Q77" s="33">
        <f t="shared" si="220"/>
        <v>5293</v>
      </c>
      <c r="R77" s="33">
        <f t="shared" si="220"/>
        <v>8598</v>
      </c>
      <c r="S77" s="33">
        <f t="shared" si="220"/>
        <v>14757</v>
      </c>
      <c r="T77" s="33">
        <f t="shared" si="220"/>
        <v>13115</v>
      </c>
      <c r="U77" s="33">
        <f t="shared" si="220"/>
        <v>3233.4031733116244</v>
      </c>
      <c r="V77" s="33">
        <f t="shared" si="220"/>
        <v>10191.101340262579</v>
      </c>
      <c r="W77" s="33">
        <f t="shared" si="220"/>
        <v>7177.1564158601286</v>
      </c>
      <c r="X77" s="33">
        <f t="shared" si="220"/>
        <v>7406.3468609560114</v>
      </c>
      <c r="Y77" s="33">
        <f t="shared" si="220"/>
        <v>9705.6773860112589</v>
      </c>
      <c r="Z77" s="33">
        <f t="shared" si="220"/>
        <v>9991.9494158737762</v>
      </c>
      <c r="AA77" s="33">
        <f t="shared" si="220"/>
        <v>10335.586700561944</v>
      </c>
      <c r="AB77" s="33">
        <f t="shared" si="220"/>
        <v>10416.702647278154</v>
      </c>
      <c r="AC77" s="33">
        <f t="shared" si="220"/>
        <v>7842.8287047322883</v>
      </c>
      <c r="AD77" s="33">
        <f t="shared" si="220"/>
        <v>9366.0228506274871</v>
      </c>
      <c r="AE77" s="33">
        <f t="shared" si="220"/>
        <v>12277.947295423011</v>
      </c>
      <c r="AF77" s="33">
        <f t="shared" si="220"/>
        <v>12999.999999999996</v>
      </c>
      <c r="AG77" s="41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33"/>
      <c r="BP77" s="33"/>
      <c r="BQ77" s="33"/>
      <c r="BR77" s="33"/>
      <c r="BS77" s="33">
        <f t="shared" ref="BS77:CX77" si="221">BS180</f>
        <v>7109</v>
      </c>
      <c r="BT77" s="33">
        <f t="shared" si="221"/>
        <v>6757</v>
      </c>
      <c r="BU77" s="33">
        <f t="shared" si="221"/>
        <v>6208</v>
      </c>
      <c r="BV77" s="33">
        <f t="shared" si="221"/>
        <v>3857</v>
      </c>
      <c r="BW77" s="33">
        <f t="shared" si="221"/>
        <v>5293</v>
      </c>
      <c r="BX77" s="33">
        <f t="shared" si="221"/>
        <v>6362</v>
      </c>
      <c r="BY77" s="33">
        <f t="shared" si="221"/>
        <v>6103</v>
      </c>
      <c r="BZ77" s="33">
        <f t="shared" si="221"/>
        <v>5690</v>
      </c>
      <c r="CA77" s="33">
        <f t="shared" si="221"/>
        <v>5204</v>
      </c>
      <c r="CB77" s="33">
        <f t="shared" si="221"/>
        <v>4250</v>
      </c>
      <c r="CC77" s="33">
        <f t="shared" si="221"/>
        <v>6007</v>
      </c>
      <c r="CD77" s="33">
        <f t="shared" si="221"/>
        <v>5862</v>
      </c>
      <c r="CE77" s="33">
        <f t="shared" si="221"/>
        <v>5758</v>
      </c>
      <c r="CF77" s="33">
        <f t="shared" si="221"/>
        <v>4903</v>
      </c>
      <c r="CG77" s="33">
        <f t="shared" si="221"/>
        <v>4752</v>
      </c>
      <c r="CH77" s="33">
        <f t="shared" si="221"/>
        <v>6773</v>
      </c>
      <c r="CI77" s="33">
        <f t="shared" si="221"/>
        <v>7976</v>
      </c>
      <c r="CJ77" s="33">
        <f t="shared" si="221"/>
        <v>9602</v>
      </c>
      <c r="CK77" s="33">
        <f t="shared" si="221"/>
        <v>9777</v>
      </c>
      <c r="CL77" s="33">
        <f t="shared" si="221"/>
        <v>12812</v>
      </c>
      <c r="CM77" s="33">
        <f t="shared" si="221"/>
        <v>11279</v>
      </c>
      <c r="CN77" s="33">
        <f t="shared" si="221"/>
        <v>15954</v>
      </c>
      <c r="CO77" s="33">
        <f t="shared" si="221"/>
        <v>19597</v>
      </c>
      <c r="CP77" s="33">
        <f t="shared" si="221"/>
        <v>14169</v>
      </c>
      <c r="CQ77" s="33">
        <f t="shared" si="221"/>
        <v>14396</v>
      </c>
      <c r="CR77" s="33">
        <f t="shared" si="221"/>
        <v>13071</v>
      </c>
      <c r="CS77" s="33">
        <f t="shared" si="221"/>
        <v>11244</v>
      </c>
      <c r="CT77" s="33">
        <f t="shared" si="221"/>
        <v>12417</v>
      </c>
      <c r="CU77" s="33">
        <f t="shared" si="221"/>
        <v>-4086</v>
      </c>
      <c r="CV77" s="33">
        <f t="shared" si="221"/>
        <v>907</v>
      </c>
      <c r="CW77" s="33">
        <f t="shared" si="221"/>
        <v>3244</v>
      </c>
      <c r="CX77" s="33">
        <f t="shared" si="221"/>
        <v>10576</v>
      </c>
      <c r="CY77" s="33">
        <f t="shared" ref="CY77:EA77" si="222">CY180</f>
        <v>11038</v>
      </c>
      <c r="CZ77" s="33">
        <f t="shared" si="222"/>
        <v>10192</v>
      </c>
      <c r="DA77" s="33">
        <f t="shared" si="222"/>
        <v>9537</v>
      </c>
      <c r="DB77" s="33">
        <f t="shared" si="222"/>
        <v>8949</v>
      </c>
      <c r="DC77" s="33">
        <f t="shared" si="222"/>
        <v>7106</v>
      </c>
      <c r="DD77" s="33">
        <f t="shared" si="222"/>
        <v>5353</v>
      </c>
      <c r="DE77" s="33">
        <f t="shared" si="222"/>
        <v>7690</v>
      </c>
      <c r="DF77" s="33">
        <f t="shared" si="222"/>
        <v>9015</v>
      </c>
      <c r="DG77" s="33">
        <f t="shared" si="222"/>
        <v>4884</v>
      </c>
      <c r="DH77" s="33">
        <f t="shared" si="222"/>
        <v>7704</v>
      </c>
      <c r="DI77" s="33">
        <f t="shared" si="222"/>
        <v>8210</v>
      </c>
      <c r="DJ77" s="33">
        <f t="shared" si="222"/>
        <v>8400</v>
      </c>
      <c r="DK77" s="33">
        <f t="shared" si="222"/>
        <v>11053</v>
      </c>
      <c r="DL77" s="33">
        <f t="shared" si="222"/>
        <v>8591</v>
      </c>
      <c r="DM77" s="33">
        <f t="shared" si="222"/>
        <v>10634</v>
      </c>
      <c r="DN77" s="33">
        <f t="shared" si="222"/>
        <v>10342</v>
      </c>
      <c r="DO77" s="33">
        <f t="shared" si="222"/>
        <v>10918</v>
      </c>
      <c r="DP77" s="33">
        <f t="shared" si="222"/>
        <v>9324</v>
      </c>
      <c r="DQ77" s="33">
        <f t="shared" si="222"/>
        <v>8769</v>
      </c>
      <c r="DR77" s="33">
        <f t="shared" si="222"/>
        <v>10770</v>
      </c>
      <c r="DS77" s="33">
        <f t="shared" si="222"/>
        <v>10524</v>
      </c>
      <c r="DT77" s="33">
        <f t="shared" si="222"/>
        <v>13086</v>
      </c>
      <c r="DU77" s="33">
        <f t="shared" si="222"/>
        <v>7856</v>
      </c>
      <c r="DV77" s="33">
        <f t="shared" si="222"/>
        <v>11811</v>
      </c>
      <c r="DW77" s="33">
        <f t="shared" si="222"/>
        <v>10699</v>
      </c>
      <c r="DX77" s="33">
        <f t="shared" si="222"/>
        <v>9461</v>
      </c>
      <c r="DY77" s="33">
        <f t="shared" si="222"/>
        <v>10619</v>
      </c>
      <c r="DZ77" s="33">
        <f t="shared" si="222"/>
        <v>8883</v>
      </c>
      <c r="EA77" s="33">
        <f t="shared" si="222"/>
        <v>3691</v>
      </c>
      <c r="EB77" s="33">
        <f t="shared" ref="EB77:EC77" si="223">EB180</f>
        <v>8978</v>
      </c>
      <c r="EC77" s="33">
        <f t="shared" si="223"/>
        <v>12386</v>
      </c>
      <c r="ED77" s="33">
        <f t="shared" ref="ED77" si="224">ED180</f>
        <v>11351</v>
      </c>
      <c r="EE77" s="33">
        <f t="shared" ref="EE77:EP77" si="225">EE75-EE76</f>
        <v>8000</v>
      </c>
      <c r="EF77" s="33">
        <f t="shared" si="225"/>
        <v>9000</v>
      </c>
      <c r="EG77" s="33">
        <f t="shared" si="225"/>
        <v>10000</v>
      </c>
      <c r="EH77" s="33">
        <f t="shared" si="225"/>
        <v>11000</v>
      </c>
      <c r="EI77" s="33">
        <f t="shared" si="225"/>
        <v>12000</v>
      </c>
      <c r="EJ77" s="33">
        <f t="shared" si="225"/>
        <v>13000</v>
      </c>
      <c r="EK77" s="33">
        <f t="shared" si="225"/>
        <v>13000</v>
      </c>
      <c r="EL77" s="33">
        <f t="shared" si="225"/>
        <v>13000</v>
      </c>
      <c r="EM77" s="33">
        <f t="shared" si="225"/>
        <v>13000</v>
      </c>
      <c r="EN77" s="33">
        <f t="shared" si="225"/>
        <v>13000</v>
      </c>
      <c r="EO77" s="33">
        <f t="shared" si="225"/>
        <v>13000</v>
      </c>
      <c r="EP77" s="33">
        <f t="shared" si="225"/>
        <v>13000</v>
      </c>
      <c r="EQ77" s="20"/>
      <c r="ER77" s="20"/>
      <c r="ES77" s="355">
        <f t="shared" si="201"/>
        <v>72</v>
      </c>
      <c r="ET77"/>
      <c r="EU77"/>
      <c r="EV77"/>
      <c r="EW77"/>
      <c r="EX77"/>
      <c r="EY77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</row>
    <row r="78" spans="1:257" s="10" customFormat="1" ht="12.75" customHeight="1" outlineLevel="1">
      <c r="A78" s="9"/>
      <c r="B78" s="14" t="s">
        <v>206</v>
      </c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163">
        <f t="shared" ref="N78:AF78" si="226">N176</f>
        <v>0.51</v>
      </c>
      <c r="O78" s="163">
        <f t="shared" si="226"/>
        <v>0.39</v>
      </c>
      <c r="P78" s="163">
        <f t="shared" si="226"/>
        <v>0.54</v>
      </c>
      <c r="Q78" s="163">
        <f t="shared" si="226"/>
        <v>0.77</v>
      </c>
      <c r="R78" s="163">
        <f t="shared" si="226"/>
        <v>0.9</v>
      </c>
      <c r="S78" s="163">
        <f t="shared" si="226"/>
        <v>0.9</v>
      </c>
      <c r="T78" s="163">
        <f t="shared" si="226"/>
        <v>0.82</v>
      </c>
      <c r="U78" s="163">
        <f t="shared" si="226"/>
        <v>0.68328468133641029</v>
      </c>
      <c r="V78" s="163">
        <f t="shared" si="226"/>
        <v>0.59713455159710194</v>
      </c>
      <c r="W78" s="163">
        <f t="shared" si="226"/>
        <v>0.69967547770718119</v>
      </c>
      <c r="X78" s="163">
        <f t="shared" si="226"/>
        <v>0.7801516578341009</v>
      </c>
      <c r="Y78" s="163">
        <f t="shared" si="226"/>
        <v>0.79701457578536539</v>
      </c>
      <c r="Z78" s="163">
        <f t="shared" si="226"/>
        <v>0.74591741683183621</v>
      </c>
      <c r="AA78" s="163">
        <f t="shared" si="226"/>
        <v>0.52463185187697059</v>
      </c>
      <c r="AB78" s="163">
        <f t="shared" si="226"/>
        <v>0.38513200095278871</v>
      </c>
      <c r="AC78" s="163">
        <f t="shared" si="226"/>
        <v>0.34648416093620404</v>
      </c>
      <c r="AD78" s="163">
        <f t="shared" si="226"/>
        <v>0.46059410689128016</v>
      </c>
      <c r="AE78" s="163">
        <f t="shared" si="226"/>
        <v>0.51982696467195388</v>
      </c>
      <c r="AF78" s="163">
        <f t="shared" si="226"/>
        <v>0.58053352559480897</v>
      </c>
      <c r="AG78" s="41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33"/>
      <c r="BP78" s="33"/>
      <c r="BQ78" s="33"/>
      <c r="BR78" s="33"/>
      <c r="BS78" s="163">
        <f t="shared" ref="BS78:CX78" si="227">BS176</f>
        <v>0.57999999999999996</v>
      </c>
      <c r="BT78" s="163">
        <f t="shared" si="227"/>
        <v>0.48</v>
      </c>
      <c r="BU78" s="163">
        <f t="shared" si="227"/>
        <v>0.43</v>
      </c>
      <c r="BV78" s="163">
        <f t="shared" si="227"/>
        <v>0.33</v>
      </c>
      <c r="BW78" s="163">
        <f t="shared" si="227"/>
        <v>0.41</v>
      </c>
      <c r="BX78" s="163">
        <f t="shared" si="227"/>
        <v>0.43</v>
      </c>
      <c r="BY78" s="163">
        <f t="shared" si="227"/>
        <v>0.38</v>
      </c>
      <c r="BZ78" s="163">
        <f t="shared" si="227"/>
        <v>0.53</v>
      </c>
      <c r="CA78" s="163">
        <f t="shared" si="227"/>
        <v>0.51</v>
      </c>
      <c r="CB78" s="163">
        <f t="shared" si="227"/>
        <v>0.53</v>
      </c>
      <c r="CC78" s="163">
        <f t="shared" si="227"/>
        <v>0.56999999999999995</v>
      </c>
      <c r="CD78" s="163">
        <f t="shared" si="227"/>
        <v>0.71</v>
      </c>
      <c r="CE78" s="163">
        <f t="shared" si="227"/>
        <v>0.71</v>
      </c>
      <c r="CF78" s="163">
        <f t="shared" si="227"/>
        <v>0.8</v>
      </c>
      <c r="CG78" s="163">
        <f t="shared" si="227"/>
        <v>0.85</v>
      </c>
      <c r="CH78" s="163">
        <f t="shared" si="227"/>
        <v>0.83</v>
      </c>
      <c r="CI78" s="163">
        <f t="shared" si="227"/>
        <v>0.89</v>
      </c>
      <c r="CJ78" s="163">
        <f t="shared" si="227"/>
        <v>0.93</v>
      </c>
      <c r="CK78" s="163">
        <f t="shared" si="227"/>
        <v>0.95</v>
      </c>
      <c r="CL78" s="163">
        <f t="shared" si="227"/>
        <v>0.96</v>
      </c>
      <c r="CM78" s="163">
        <f t="shared" si="227"/>
        <v>0.93</v>
      </c>
      <c r="CN78" s="163">
        <f t="shared" si="227"/>
        <v>0.9</v>
      </c>
      <c r="CO78" s="163">
        <f t="shared" si="227"/>
        <v>0.81</v>
      </c>
      <c r="CP78" s="163">
        <f t="shared" si="227"/>
        <v>0.81</v>
      </c>
      <c r="CQ78" s="163">
        <f t="shared" si="227"/>
        <v>0.73</v>
      </c>
      <c r="CR78" s="163">
        <f t="shared" si="227"/>
        <v>0.79</v>
      </c>
      <c r="CS78" s="163">
        <f t="shared" si="227"/>
        <v>0.97</v>
      </c>
      <c r="CT78" s="163">
        <f t="shared" si="227"/>
        <v>0.98</v>
      </c>
      <c r="CU78" s="163">
        <f t="shared" si="227"/>
        <v>0.81</v>
      </c>
      <c r="CV78" s="163">
        <f t="shared" si="227"/>
        <v>0.62</v>
      </c>
      <c r="CW78" s="163">
        <f t="shared" si="227"/>
        <v>0.41</v>
      </c>
      <c r="CX78" s="163">
        <f t="shared" si="227"/>
        <v>0.44</v>
      </c>
      <c r="CY78" s="163">
        <f t="shared" ref="CY78:EA78" si="228">CY176</f>
        <v>0.52</v>
      </c>
      <c r="CZ78" s="163">
        <f t="shared" si="228"/>
        <v>0.76</v>
      </c>
      <c r="DA78" s="163">
        <f t="shared" si="228"/>
        <v>0.78</v>
      </c>
      <c r="DB78" s="163">
        <f t="shared" si="228"/>
        <v>0.76</v>
      </c>
      <c r="DC78" s="163">
        <f t="shared" si="228"/>
        <v>0.64</v>
      </c>
      <c r="DD78" s="163">
        <f t="shared" si="228"/>
        <v>0.65</v>
      </c>
      <c r="DE78" s="163">
        <f t="shared" si="228"/>
        <v>0.74</v>
      </c>
      <c r="DF78" s="163">
        <f t="shared" si="228"/>
        <v>0.78</v>
      </c>
      <c r="DG78" s="163">
        <f t="shared" si="228"/>
        <v>0.78</v>
      </c>
      <c r="DH78" s="163">
        <f t="shared" si="228"/>
        <v>0.77</v>
      </c>
      <c r="DI78" s="163">
        <f t="shared" si="228"/>
        <v>0.79</v>
      </c>
      <c r="DJ78" s="163">
        <f t="shared" si="228"/>
        <v>0.85</v>
      </c>
      <c r="DK78" s="163">
        <f t="shared" si="228"/>
        <v>0.78</v>
      </c>
      <c r="DL78" s="163">
        <f t="shared" si="228"/>
        <v>0.78</v>
      </c>
      <c r="DM78" s="163">
        <f t="shared" si="228"/>
        <v>0.78</v>
      </c>
      <c r="DN78" s="163">
        <f t="shared" si="228"/>
        <v>0.78</v>
      </c>
      <c r="DO78" s="163">
        <f t="shared" si="228"/>
        <v>0.78</v>
      </c>
      <c r="DP78" s="163">
        <f t="shared" si="228"/>
        <v>0.74</v>
      </c>
      <c r="DQ78" s="163">
        <f t="shared" si="228"/>
        <v>0.69</v>
      </c>
      <c r="DR78" s="163">
        <f t="shared" si="228"/>
        <v>0.63</v>
      </c>
      <c r="DS78" s="163">
        <f t="shared" si="228"/>
        <v>0.52</v>
      </c>
      <c r="DT78" s="163">
        <f t="shared" si="228"/>
        <v>0.51</v>
      </c>
      <c r="DU78" s="163">
        <f t="shared" si="228"/>
        <v>0.45</v>
      </c>
      <c r="DV78" s="163">
        <f t="shared" si="228"/>
        <v>0.4</v>
      </c>
      <c r="DW78" s="163">
        <f t="shared" si="228"/>
        <v>0.38</v>
      </c>
      <c r="DX78" s="163">
        <f t="shared" si="228"/>
        <v>0.37</v>
      </c>
      <c r="DY78" s="163">
        <f t="shared" si="228"/>
        <v>0.39</v>
      </c>
      <c r="DZ78" s="163">
        <f t="shared" si="228"/>
        <v>0.33</v>
      </c>
      <c r="EA78" s="163">
        <f t="shared" si="228"/>
        <v>0.25</v>
      </c>
      <c r="EB78" s="163">
        <f t="shared" ref="EB78:EC78" si="229">EB176</f>
        <v>0.47</v>
      </c>
      <c r="EC78" s="163">
        <f t="shared" si="229"/>
        <v>0.37</v>
      </c>
      <c r="ED78" s="163">
        <f t="shared" ref="ED78" si="230">ED176</f>
        <v>0.45</v>
      </c>
      <c r="EE78" s="163">
        <f t="shared" ref="EE78:EP78" si="231">EE176</f>
        <v>0.44486842105263164</v>
      </c>
      <c r="EF78" s="163">
        <f t="shared" si="231"/>
        <v>0.47368421052631576</v>
      </c>
      <c r="EG78" s="163">
        <f t="shared" si="231"/>
        <v>0.47368421052631576</v>
      </c>
      <c r="EH78" s="163">
        <f t="shared" si="231"/>
        <v>0.5</v>
      </c>
      <c r="EI78" s="163">
        <f t="shared" si="231"/>
        <v>0.5</v>
      </c>
      <c r="EJ78" s="163">
        <f t="shared" si="231"/>
        <v>0.52631578947368418</v>
      </c>
      <c r="EK78" s="163">
        <f t="shared" si="231"/>
        <v>0.55263157894736847</v>
      </c>
      <c r="EL78" s="163">
        <f t="shared" si="231"/>
        <v>0.57894736842105265</v>
      </c>
      <c r="EM78" s="163">
        <f t="shared" si="231"/>
        <v>0.57894736842105265</v>
      </c>
      <c r="EN78" s="163">
        <f t="shared" si="231"/>
        <v>0.57894736842105265</v>
      </c>
      <c r="EO78" s="163">
        <f t="shared" si="231"/>
        <v>0.57894736842105265</v>
      </c>
      <c r="EP78" s="163">
        <f t="shared" si="231"/>
        <v>0.57894736842105265</v>
      </c>
      <c r="EQ78" s="20"/>
      <c r="ER78" s="20"/>
      <c r="ES78" s="355">
        <f t="shared" si="201"/>
        <v>73</v>
      </c>
      <c r="ET78"/>
      <c r="EU78"/>
      <c r="EV78"/>
      <c r="EW78"/>
      <c r="EX78"/>
      <c r="EY78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</row>
    <row r="79" spans="1:257" s="4" customFormat="1" ht="11.45" customHeight="1" outlineLevel="1">
      <c r="A79" s="15"/>
      <c r="B79" s="65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7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289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355">
        <f t="shared" si="201"/>
        <v>74</v>
      </c>
      <c r="ET79"/>
      <c r="EU79"/>
      <c r="EV79"/>
      <c r="EW79"/>
      <c r="EX79"/>
      <c r="EY79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</row>
    <row r="80" spans="1:257" s="4" customFormat="1" ht="11.45" customHeight="1" outlineLevel="1">
      <c r="A80" s="15" t="s">
        <v>0</v>
      </c>
      <c r="B80" s="75" t="s">
        <v>205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7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289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355">
        <f t="shared" si="201"/>
        <v>75</v>
      </c>
      <c r="ET80"/>
      <c r="EU80"/>
      <c r="EV80"/>
      <c r="EW80"/>
      <c r="EX80"/>
      <c r="EY80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</row>
    <row r="81" spans="1:257" s="278" customFormat="1" hidden="1" outlineLevel="2">
      <c r="A81" s="280"/>
      <c r="B81" s="286" t="s">
        <v>204</v>
      </c>
      <c r="C81" s="283"/>
      <c r="D81" s="283"/>
      <c r="E81" s="283"/>
      <c r="F81" s="283">
        <f t="shared" ref="F81:AF81" si="232">F15/E15-1</f>
        <v>5.4406676098768925E-2</v>
      </c>
      <c r="G81" s="283">
        <f t="shared" si="232"/>
        <v>-8.3121060558168924E-2</v>
      </c>
      <c r="H81" s="283">
        <f t="shared" si="232"/>
        <v>0.30958343895226026</v>
      </c>
      <c r="I81" s="283">
        <f t="shared" si="232"/>
        <v>0.30698655132099528</v>
      </c>
      <c r="J81" s="283">
        <f t="shared" si="232"/>
        <v>0.16905861119777588</v>
      </c>
      <c r="K81" s="283">
        <f t="shared" si="232"/>
        <v>-5.992024147139452E-2</v>
      </c>
      <c r="L81" s="283">
        <f t="shared" si="232"/>
        <v>7.6469467911930655E-2</v>
      </c>
      <c r="M81" s="283">
        <f t="shared" si="232"/>
        <v>0.2810713010038024</v>
      </c>
      <c r="N81" s="283">
        <f t="shared" si="232"/>
        <v>-0.31806941335577799</v>
      </c>
      <c r="O81" s="283">
        <f t="shared" si="232"/>
        <v>-3.0690072870533491E-2</v>
      </c>
      <c r="P81" s="283">
        <f t="shared" si="232"/>
        <v>0.1610881258980823</v>
      </c>
      <c r="Q81" s="283">
        <f t="shared" si="232"/>
        <v>0.35933765210777935</v>
      </c>
      <c r="R81" s="283">
        <f t="shared" si="232"/>
        <v>0.52962811248791719</v>
      </c>
      <c r="S81" s="283">
        <f t="shared" si="232"/>
        <v>0.33053617164416083</v>
      </c>
      <c r="T81" s="283">
        <f t="shared" si="232"/>
        <v>0.24967508520192605</v>
      </c>
      <c r="U81" s="283">
        <f t="shared" si="232"/>
        <v>-6.9973970596250545E-2</v>
      </c>
      <c r="V81" s="283">
        <f t="shared" si="232"/>
        <v>-6.4037785936712499E-3</v>
      </c>
      <c r="W81" s="283">
        <f t="shared" si="232"/>
        <v>0.351762492235278</v>
      </c>
      <c r="X81" s="283">
        <f t="shared" si="232"/>
        <v>0.23896750414915102</v>
      </c>
      <c r="Y81" s="283">
        <f t="shared" si="232"/>
        <v>6.9602214859943334E-2</v>
      </c>
      <c r="Z81" s="283">
        <f t="shared" si="232"/>
        <v>0.10044890943642693</v>
      </c>
      <c r="AA81" s="283">
        <f t="shared" si="232"/>
        <v>-0.20654784290355266</v>
      </c>
      <c r="AB81" s="283">
        <f t="shared" si="232"/>
        <v>-0.52259314153213254</v>
      </c>
      <c r="AC81" s="283">
        <f t="shared" si="232"/>
        <v>0.25677557517288019</v>
      </c>
      <c r="AD81" s="283">
        <f t="shared" si="232"/>
        <v>0.3222746124597935</v>
      </c>
      <c r="AE81" s="283">
        <f t="shared" si="232"/>
        <v>0.16915856726781753</v>
      </c>
      <c r="AF81" s="283">
        <f t="shared" si="232"/>
        <v>7.4626250621675938E-2</v>
      </c>
      <c r="AG81" s="284"/>
      <c r="AH81" s="283"/>
      <c r="AI81" s="283">
        <f t="shared" ref="AI81:BN81" si="233">AI15/AH15-1</f>
        <v>1.5537111572210716E-2</v>
      </c>
      <c r="AJ81" s="283">
        <f t="shared" si="233"/>
        <v>-0.11262231521939814</v>
      </c>
      <c r="AK81" s="283">
        <f t="shared" si="233"/>
        <v>8.4610583258202254E-3</v>
      </c>
      <c r="AL81" s="283">
        <f t="shared" si="233"/>
        <v>0.10919469087408018</v>
      </c>
      <c r="AM81" s="283">
        <f t="shared" si="233"/>
        <v>7.0867020485094745E-2</v>
      </c>
      <c r="AN81" s="283">
        <f t="shared" si="233"/>
        <v>-0.10777104876156496</v>
      </c>
      <c r="AO81" s="283">
        <f t="shared" si="233"/>
        <v>2.0648393292840739E-2</v>
      </c>
      <c r="AP81" s="283">
        <f t="shared" si="233"/>
        <v>-1.1189807102980343E-3</v>
      </c>
      <c r="AQ81" s="283">
        <f t="shared" si="233"/>
        <v>-3.1137419642288999E-2</v>
      </c>
      <c r="AR81" s="283">
        <f t="shared" si="233"/>
        <v>3.9942713739504754E-3</v>
      </c>
      <c r="AS81" s="283">
        <f t="shared" si="233"/>
        <v>-0.15200293143836774</v>
      </c>
      <c r="AT81" s="283">
        <f t="shared" si="233"/>
        <v>0.34664650143522957</v>
      </c>
      <c r="AU81" s="283">
        <f t="shared" si="233"/>
        <v>7.6220490488196235E-2</v>
      </c>
      <c r="AV81" s="283">
        <f t="shared" si="233"/>
        <v>6.1664767705593482E-2</v>
      </c>
      <c r="AW81" s="283">
        <f t="shared" si="233"/>
        <v>6.9186174800907052E-2</v>
      </c>
      <c r="AX81" s="283">
        <f t="shared" si="233"/>
        <v>9.4990619136960275E-2</v>
      </c>
      <c r="AY81" s="283">
        <f t="shared" si="233"/>
        <v>0.12034165481555092</v>
      </c>
      <c r="AZ81" s="283">
        <f t="shared" si="233"/>
        <v>-5.6663072652611723E-2</v>
      </c>
      <c r="BA81" s="283">
        <f t="shared" si="233"/>
        <v>9.8870812155995358E-2</v>
      </c>
      <c r="BB81" s="283">
        <f t="shared" si="233"/>
        <v>6.3086456181764117E-2</v>
      </c>
      <c r="BC81" s="283">
        <f t="shared" si="233"/>
        <v>-2.2829465970911511E-2</v>
      </c>
      <c r="BD81" s="283">
        <f t="shared" si="233"/>
        <v>9.2883214270497394E-2</v>
      </c>
      <c r="BE81" s="283">
        <f t="shared" si="233"/>
        <v>-4.5548465906869451E-3</v>
      </c>
      <c r="BF81" s="283">
        <f t="shared" si="233"/>
        <v>-6.9731920809916859E-2</v>
      </c>
      <c r="BG81" s="283">
        <f t="shared" si="233"/>
        <v>8.0859961548716663E-2</v>
      </c>
      <c r="BH81" s="283">
        <f t="shared" si="233"/>
        <v>-0.16072240038431085</v>
      </c>
      <c r="BI81" s="283">
        <f t="shared" si="233"/>
        <v>1.1091859781566349E-2</v>
      </c>
      <c r="BJ81" s="283">
        <f t="shared" si="233"/>
        <v>3.4241649964044552E-2</v>
      </c>
      <c r="BK81" s="283">
        <f t="shared" si="233"/>
        <v>3.733153838188108E-2</v>
      </c>
      <c r="BL81" s="283">
        <f t="shared" si="233"/>
        <v>6.7876013434017057E-2</v>
      </c>
      <c r="BM81" s="283">
        <f t="shared" si="233"/>
        <v>0.16137152777777786</v>
      </c>
      <c r="BN81" s="283">
        <f t="shared" si="233"/>
        <v>9.0963450183122907E-2</v>
      </c>
      <c r="BO81" s="283">
        <f t="shared" ref="BO81:CT81" si="234">BO15/BN15-1</f>
        <v>0.15319792566983592</v>
      </c>
      <c r="BP81" s="283">
        <f t="shared" si="234"/>
        <v>-2.8535260057490963E-2</v>
      </c>
      <c r="BQ81" s="283">
        <f t="shared" si="234"/>
        <v>-0.31138949913676717</v>
      </c>
      <c r="BR81" s="283">
        <f t="shared" si="234"/>
        <v>-2.5987156715398307E-2</v>
      </c>
      <c r="BS81" s="283">
        <f t="shared" si="234"/>
        <v>-8.2482325216025054E-2</v>
      </c>
      <c r="BT81" s="283">
        <f t="shared" si="234"/>
        <v>-3.3031127690802298E-2</v>
      </c>
      <c r="BU81" s="283">
        <f t="shared" si="234"/>
        <v>-2.3621487015297093E-2</v>
      </c>
      <c r="BV81" s="283">
        <f t="shared" si="234"/>
        <v>-8.908806788279211E-2</v>
      </c>
      <c r="BW81" s="283">
        <f t="shared" si="234"/>
        <v>0.11515146128137665</v>
      </c>
      <c r="BX81" s="283">
        <f t="shared" si="234"/>
        <v>8.8427294972859505E-2</v>
      </c>
      <c r="BY81" s="283">
        <f t="shared" si="234"/>
        <v>-2.737398665719537E-2</v>
      </c>
      <c r="BZ81" s="283">
        <f t="shared" si="234"/>
        <v>1.0977675714339385E-2</v>
      </c>
      <c r="CA81" s="283">
        <f t="shared" si="234"/>
        <v>6.5173191929874141E-2</v>
      </c>
      <c r="CB81" s="283">
        <f t="shared" si="234"/>
        <v>3.2630887123839436E-2</v>
      </c>
      <c r="CC81" s="283">
        <f t="shared" si="234"/>
        <v>0.11088691931126471</v>
      </c>
      <c r="CD81" s="283">
        <f t="shared" si="234"/>
        <v>6.4674403296194116E-2</v>
      </c>
      <c r="CE81" s="283">
        <f t="shared" si="234"/>
        <v>6.1661676561006296E-2</v>
      </c>
      <c r="CF81" s="283">
        <f t="shared" si="234"/>
        <v>0.11829064437853853</v>
      </c>
      <c r="CG81" s="283">
        <f t="shared" si="234"/>
        <v>0.12451600148514608</v>
      </c>
      <c r="CH81" s="283">
        <f t="shared" si="234"/>
        <v>9.5098837957205973E-2</v>
      </c>
      <c r="CI81" s="283">
        <f t="shared" si="234"/>
        <v>0.13877707644838444</v>
      </c>
      <c r="CJ81" s="283">
        <f t="shared" si="234"/>
        <v>9.9597703125537507E-2</v>
      </c>
      <c r="CK81" s="283">
        <f t="shared" si="234"/>
        <v>0.12196212585523258</v>
      </c>
      <c r="CL81" s="283">
        <f t="shared" si="234"/>
        <v>7.6923291313520936E-2</v>
      </c>
      <c r="CM81" s="283">
        <f t="shared" si="234"/>
        <v>-3.5877422043017804E-2</v>
      </c>
      <c r="CN81" s="283">
        <f t="shared" si="234"/>
        <v>0.13082762471277953</v>
      </c>
      <c r="CO81" s="283">
        <f t="shared" si="234"/>
        <v>6.6880462596789814E-2</v>
      </c>
      <c r="CP81" s="283">
        <f t="shared" si="234"/>
        <v>1.6050764380385774E-2</v>
      </c>
      <c r="CQ81" s="283">
        <f t="shared" si="234"/>
        <v>3.7184970098299797E-2</v>
      </c>
      <c r="CR81" s="283">
        <f t="shared" si="234"/>
        <v>0.10318509260119435</v>
      </c>
      <c r="CS81" s="283">
        <f t="shared" si="234"/>
        <v>0.11712920345175348</v>
      </c>
      <c r="CT81" s="283">
        <f t="shared" si="234"/>
        <v>6.858608337230776E-2</v>
      </c>
      <c r="CU81" s="283">
        <f t="shared" ref="CU81:DZ81" si="235">CU15/CT15-1</f>
        <v>-0.16585705262010353</v>
      </c>
      <c r="CV81" s="283">
        <f t="shared" si="235"/>
        <v>-0.25472419757831999</v>
      </c>
      <c r="CW81" s="283">
        <f t="shared" si="235"/>
        <v>-6.5890083477964878E-2</v>
      </c>
      <c r="CX81" s="283">
        <f t="shared" si="235"/>
        <v>0.10387695773528027</v>
      </c>
      <c r="CY81" s="283">
        <f t="shared" si="235"/>
        <v>9.9744149578709251E-2</v>
      </c>
      <c r="CZ81" s="283">
        <f t="shared" si="235"/>
        <v>9.9287054409005648E-2</v>
      </c>
      <c r="DA81" s="283">
        <f t="shared" si="235"/>
        <v>0.15634154212799767</v>
      </c>
      <c r="DB81" s="283">
        <f t="shared" si="235"/>
        <v>6.3842120234651301E-2</v>
      </c>
      <c r="DC81" s="283">
        <f t="shared" si="235"/>
        <v>1.6419963608355959E-2</v>
      </c>
      <c r="DD81" s="283">
        <f t="shared" si="235"/>
        <v>6.5666125088102989E-2</v>
      </c>
      <c r="DE81" s="283">
        <f t="shared" si="235"/>
        <v>8.7962179492155679E-2</v>
      </c>
      <c r="DF81" s="283">
        <f t="shared" si="235"/>
        <v>4.5432685789959848E-2</v>
      </c>
      <c r="DG81" s="283">
        <f t="shared" si="235"/>
        <v>5.1043697139456112E-2</v>
      </c>
      <c r="DH81" s="283">
        <f t="shared" si="235"/>
        <v>6.4680732796351004E-2</v>
      </c>
      <c r="DI81" s="283">
        <f t="shared" si="235"/>
        <v>1.1786017065450238E-2</v>
      </c>
      <c r="DJ81" s="283">
        <f t="shared" si="235"/>
        <v>1.8235040936913194E-2</v>
      </c>
      <c r="DK81" s="283">
        <f t="shared" si="235"/>
        <v>-7.4155903818736713E-3</v>
      </c>
      <c r="DL81" s="283">
        <f t="shared" si="235"/>
        <v>2.252152845788169E-3</v>
      </c>
      <c r="DM81" s="283">
        <f t="shared" si="235"/>
        <v>9.4018426630897434E-3</v>
      </c>
      <c r="DN81" s="283">
        <f t="shared" si="235"/>
        <v>3.6733786395037216E-2</v>
      </c>
      <c r="DO81" s="283">
        <f t="shared" si="235"/>
        <v>1.6127159401291502E-2</v>
      </c>
      <c r="DP81" s="283">
        <f t="shared" si="235"/>
        <v>6.5653716575444943E-2</v>
      </c>
      <c r="DQ81" s="283">
        <f t="shared" si="235"/>
        <v>3.4609232139499957E-2</v>
      </c>
      <c r="DR81" s="283">
        <f t="shared" si="235"/>
        <v>4.9284393089403578E-2</v>
      </c>
      <c r="DS81" s="283">
        <f t="shared" si="235"/>
        <v>-0.21499663017555404</v>
      </c>
      <c r="DT81" s="283">
        <f t="shared" si="235"/>
        <v>-0.29108815481722372</v>
      </c>
      <c r="DU81" s="283">
        <f t="shared" si="235"/>
        <v>-9.0015991097063375E-2</v>
      </c>
      <c r="DV81" s="283">
        <f t="shared" si="235"/>
        <v>-0.12310780887742057</v>
      </c>
      <c r="DW81" s="283">
        <f t="shared" si="235"/>
        <v>-0.21863547595365773</v>
      </c>
      <c r="DX81" s="283">
        <f t="shared" si="235"/>
        <v>-0.20322780700877219</v>
      </c>
      <c r="DY81" s="283">
        <f t="shared" si="235"/>
        <v>5.6624200863687912E-2</v>
      </c>
      <c r="DZ81" s="283">
        <f t="shared" si="235"/>
        <v>0.17607638174950235</v>
      </c>
      <c r="EA81" s="283">
        <f t="shared" ref="EA81:EP81" si="236">EA15/DZ15-1</f>
        <v>0.12456847315264952</v>
      </c>
      <c r="EB81" s="283">
        <f t="shared" si="236"/>
        <v>0.2120068015229597</v>
      </c>
      <c r="EC81" s="283">
        <f t="shared" si="236"/>
        <v>9.0402450112598398E-2</v>
      </c>
      <c r="ED81" s="283">
        <f t="shared" si="236"/>
        <v>6.0786472138337766E-2</v>
      </c>
      <c r="EE81" s="283">
        <f t="shared" si="236"/>
        <v>-7.5676442651062548E-3</v>
      </c>
      <c r="EF81" s="283">
        <f t="shared" si="236"/>
        <v>6.3905326062052348E-2</v>
      </c>
      <c r="EG81" s="283">
        <f t="shared" si="236"/>
        <v>6.3869362510459604E-2</v>
      </c>
      <c r="EH81" s="283">
        <f t="shared" si="236"/>
        <v>4.164117352366481E-2</v>
      </c>
      <c r="EI81" s="283">
        <f t="shared" si="236"/>
        <v>2.2203790624181874E-2</v>
      </c>
      <c r="EJ81" s="283">
        <f t="shared" si="236"/>
        <v>3.3793650720420843E-2</v>
      </c>
      <c r="EK81" s="283">
        <f t="shared" si="236"/>
        <v>3.0889900597580677E-2</v>
      </c>
      <c r="EL81" s="283">
        <f t="shared" si="236"/>
        <v>3.8121711252189217E-2</v>
      </c>
      <c r="EM81" s="283">
        <f t="shared" si="236"/>
        <v>-1.302920899305593E-2</v>
      </c>
      <c r="EN81" s="283">
        <f t="shared" si="236"/>
        <v>-3.2872306033993048E-3</v>
      </c>
      <c r="EO81" s="283">
        <f t="shared" si="236"/>
        <v>6.5374514833367314E-3</v>
      </c>
      <c r="EP81" s="283">
        <f t="shared" si="236"/>
        <v>-3.3127288522193377E-3</v>
      </c>
      <c r="EQ81" s="288"/>
      <c r="ER81" s="288"/>
      <c r="ES81" s="355">
        <f t="shared" si="201"/>
        <v>76</v>
      </c>
      <c r="ET81"/>
      <c r="EU81"/>
      <c r="EV81"/>
      <c r="EW81"/>
      <c r="EX81"/>
      <c r="EY8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</row>
    <row r="82" spans="1:257" s="4" customFormat="1" hidden="1" outlineLevel="2">
      <c r="A82" s="15"/>
      <c r="B82" s="14" t="s">
        <v>192</v>
      </c>
      <c r="C82" s="159"/>
      <c r="D82" s="159"/>
      <c r="E82" s="159"/>
      <c r="F82" s="159">
        <f t="shared" ref="F82:AF82" si="237">F11/E11-1</f>
        <v>0.4341765017902135</v>
      </c>
      <c r="G82" s="159">
        <f t="shared" si="237"/>
        <v>8.5170074317217681E-2</v>
      </c>
      <c r="H82" s="159">
        <f t="shared" si="237"/>
        <v>0.1538609010544254</v>
      </c>
      <c r="I82" s="159">
        <f t="shared" si="237"/>
        <v>0.29498966179294062</v>
      </c>
      <c r="J82" s="159">
        <f t="shared" si="237"/>
        <v>0.29116712047557258</v>
      </c>
      <c r="K82" s="159">
        <f t="shared" si="237"/>
        <v>0.19300221372065174</v>
      </c>
      <c r="L82" s="159">
        <f t="shared" si="237"/>
        <v>6.8254173916262317E-3</v>
      </c>
      <c r="M82" s="159">
        <f t="shared" si="237"/>
        <v>0.54833876431089412</v>
      </c>
      <c r="N82" s="159">
        <f t="shared" si="237"/>
        <v>8.2170229691943319E-2</v>
      </c>
      <c r="O82" s="159">
        <f t="shared" si="237"/>
        <v>-0.24844473458998062</v>
      </c>
      <c r="P82" s="159">
        <f t="shared" si="237"/>
        <v>0.26286073001865029</v>
      </c>
      <c r="Q82" s="159">
        <f t="shared" si="237"/>
        <v>0.52489631952371996</v>
      </c>
      <c r="R82" s="159">
        <f t="shared" si="237"/>
        <v>0.57127343230289007</v>
      </c>
      <c r="S82" s="159">
        <f t="shared" si="237"/>
        <v>0.41721125802412806</v>
      </c>
      <c r="T82" s="159">
        <f t="shared" si="237"/>
        <v>0.31242191196946933</v>
      </c>
      <c r="U82" s="159">
        <f t="shared" si="237"/>
        <v>-6.5416027361193341E-2</v>
      </c>
      <c r="V82" s="159">
        <f t="shared" si="237"/>
        <v>-1.9892947645097858E-2</v>
      </c>
      <c r="W82" s="159">
        <f t="shared" si="237"/>
        <v>0.4870905737719422</v>
      </c>
      <c r="X82" s="159">
        <f t="shared" si="237"/>
        <v>0.2751558194493906</v>
      </c>
      <c r="Y82" s="159">
        <f t="shared" si="237"/>
        <v>3.3800726159474825E-2</v>
      </c>
      <c r="Z82" s="159">
        <f t="shared" si="237"/>
        <v>0.11594138755903116</v>
      </c>
      <c r="AA82" s="159">
        <f t="shared" si="237"/>
        <v>-0.24909927896777739</v>
      </c>
      <c r="AB82" s="159">
        <f t="shared" si="237"/>
        <v>-0.55889649230683058</v>
      </c>
      <c r="AC82" s="159">
        <f t="shared" si="237"/>
        <v>0.38257571459351736</v>
      </c>
      <c r="AD82" s="159">
        <f t="shared" si="237"/>
        <v>0.3728012862681267</v>
      </c>
      <c r="AE82" s="159">
        <f t="shared" si="237"/>
        <v>0.16809263223129745</v>
      </c>
      <c r="AF82" s="159">
        <f t="shared" si="237"/>
        <v>6.4119878833704957E-2</v>
      </c>
      <c r="AG82" s="42"/>
      <c r="AH82" s="159"/>
      <c r="AI82" s="159">
        <f t="shared" ref="AI82:BN82" si="238">AI11/AH11-1</f>
        <v>8.0645161290322509E-3</v>
      </c>
      <c r="AJ82" s="159">
        <f t="shared" si="238"/>
        <v>2.1016949152543596E-3</v>
      </c>
      <c r="AK82" s="159">
        <f t="shared" si="238"/>
        <v>9.3633718963534562E-2</v>
      </c>
      <c r="AL82" s="159">
        <f t="shared" si="238"/>
        <v>0.22592019795855189</v>
      </c>
      <c r="AM82" s="159">
        <f t="shared" si="238"/>
        <v>7.2261189887470323E-2</v>
      </c>
      <c r="AN82" s="159">
        <f t="shared" si="238"/>
        <v>-4.5178596639841695E-2</v>
      </c>
      <c r="AO82" s="159">
        <f t="shared" si="238"/>
        <v>0.24037655872640329</v>
      </c>
      <c r="AP82" s="159">
        <f t="shared" si="238"/>
        <v>1.2795040928236689E-2</v>
      </c>
      <c r="AQ82" s="159">
        <f t="shared" si="238"/>
        <v>-7.5918079096045199E-2</v>
      </c>
      <c r="AR82" s="159">
        <f t="shared" si="238"/>
        <v>-8.2961830764658462E-2</v>
      </c>
      <c r="AS82" s="159">
        <f t="shared" si="238"/>
        <v>7.6438724015000625E-2</v>
      </c>
      <c r="AT82" s="159">
        <f t="shared" si="238"/>
        <v>-9.8924731182795655E-3</v>
      </c>
      <c r="AU82" s="159">
        <f t="shared" si="238"/>
        <v>0.13327541268462206</v>
      </c>
      <c r="AV82" s="159">
        <f t="shared" si="238"/>
        <v>0.14922569763876115</v>
      </c>
      <c r="AW82" s="159">
        <f t="shared" si="238"/>
        <v>-2.4482172042293526E-2</v>
      </c>
      <c r="AX82" s="159">
        <f t="shared" si="238"/>
        <v>1.1932847813451053E-2</v>
      </c>
      <c r="AY82" s="159">
        <f t="shared" si="238"/>
        <v>6.6326530612244916E-2</v>
      </c>
      <c r="AZ82" s="159">
        <f t="shared" si="238"/>
        <v>0.16521436040432214</v>
      </c>
      <c r="BA82" s="159">
        <f t="shared" si="238"/>
        <v>0.15209528730318467</v>
      </c>
      <c r="BB82" s="159">
        <f t="shared" si="238"/>
        <v>-1.48704149553891E-2</v>
      </c>
      <c r="BC82" s="159">
        <f t="shared" si="238"/>
        <v>2.0797393137818698E-2</v>
      </c>
      <c r="BD82" s="159">
        <f t="shared" si="238"/>
        <v>9.8042437329828092E-2</v>
      </c>
      <c r="BE82" s="159">
        <f t="shared" si="238"/>
        <v>6.9280263354780658E-2</v>
      </c>
      <c r="BF82" s="159">
        <f t="shared" si="238"/>
        <v>-5.2876734236935508E-2</v>
      </c>
      <c r="BG82" s="159">
        <f t="shared" si="238"/>
        <v>0.5345842919560122</v>
      </c>
      <c r="BH82" s="159">
        <f t="shared" si="238"/>
        <v>-0.33518100792253513</v>
      </c>
      <c r="BI82" s="159">
        <f t="shared" si="238"/>
        <v>-1.3385745319126618E-2</v>
      </c>
      <c r="BJ82" s="159">
        <f t="shared" si="238"/>
        <v>6.3747693340043377E-2</v>
      </c>
      <c r="BK82" s="159">
        <f t="shared" si="238"/>
        <v>6.6649582084844727E-2</v>
      </c>
      <c r="BL82" s="159">
        <f t="shared" si="238"/>
        <v>-8.6861705076801687E-4</v>
      </c>
      <c r="BM82" s="159">
        <f t="shared" si="238"/>
        <v>8.5420443194850426E-2</v>
      </c>
      <c r="BN82" s="159">
        <f t="shared" si="238"/>
        <v>7.7624403544648723E-2</v>
      </c>
      <c r="BO82" s="159">
        <f t="shared" ref="BO82:CT82" si="239">BO11/BN11-1</f>
        <v>0.16754961650984423</v>
      </c>
      <c r="BP82" s="159">
        <f t="shared" si="239"/>
        <v>0.27366924014628191</v>
      </c>
      <c r="BQ82" s="159">
        <f t="shared" si="239"/>
        <v>0.12496410910831113</v>
      </c>
      <c r="BR82" s="159">
        <f t="shared" si="239"/>
        <v>-7.360142173822648E-2</v>
      </c>
      <c r="BS82" s="159">
        <f t="shared" si="239"/>
        <v>-0.12322448979591827</v>
      </c>
      <c r="BT82" s="159">
        <f t="shared" si="239"/>
        <v>4.9648526604906484E-2</v>
      </c>
      <c r="BU82" s="159">
        <f t="shared" si="239"/>
        <v>-0.33820822707617249</v>
      </c>
      <c r="BV82" s="159">
        <f t="shared" si="239"/>
        <v>-1.087338951530481E-2</v>
      </c>
      <c r="BW82" s="159">
        <f t="shared" si="239"/>
        <v>0.10796436193638015</v>
      </c>
      <c r="BX82" s="159">
        <f t="shared" si="239"/>
        <v>0.13184125236959576</v>
      </c>
      <c r="BY82" s="159">
        <f t="shared" si="239"/>
        <v>1.986871251823441E-2</v>
      </c>
      <c r="BZ82" s="159">
        <f t="shared" si="239"/>
        <v>-7.6019441906047813E-3</v>
      </c>
      <c r="CA82" s="159">
        <f t="shared" si="239"/>
        <v>0.10067660443329363</v>
      </c>
      <c r="CB82" s="159">
        <f t="shared" si="239"/>
        <v>7.363264910217393E-2</v>
      </c>
      <c r="CC82" s="159">
        <f t="shared" si="239"/>
        <v>0.12992659514398652</v>
      </c>
      <c r="CD82" s="159">
        <f t="shared" si="239"/>
        <v>9.1279796112138323E-2</v>
      </c>
      <c r="CE82" s="159">
        <f t="shared" si="239"/>
        <v>0.12094735685240132</v>
      </c>
      <c r="CF82" s="159">
        <f t="shared" si="239"/>
        <v>0.1333888916123338</v>
      </c>
      <c r="CG82" s="159">
        <f t="shared" si="239"/>
        <v>0.13419117647058831</v>
      </c>
      <c r="CH82" s="159">
        <f t="shared" si="239"/>
        <v>9.8001080497028603E-2</v>
      </c>
      <c r="CI82" s="159">
        <f t="shared" si="239"/>
        <v>0.12106231983051052</v>
      </c>
      <c r="CJ82" s="159">
        <f t="shared" si="239"/>
        <v>0.10944502963835023</v>
      </c>
      <c r="CK82" s="159">
        <f t="shared" si="239"/>
        <v>0.153175962469283</v>
      </c>
      <c r="CL82" s="159">
        <f t="shared" si="239"/>
        <v>8.9290326746738868E-2</v>
      </c>
      <c r="CM82" s="159">
        <f t="shared" si="239"/>
        <v>-2.7973323453130972E-3</v>
      </c>
      <c r="CN82" s="159">
        <f t="shared" si="239"/>
        <v>0.12769696631927041</v>
      </c>
      <c r="CO82" s="159">
        <f t="shared" si="239"/>
        <v>9.5162002411750324E-2</v>
      </c>
      <c r="CP82" s="159">
        <f t="shared" si="239"/>
        <v>4.5869848404167302E-2</v>
      </c>
      <c r="CQ82" s="159">
        <f t="shared" si="239"/>
        <v>5.0681156585472342E-2</v>
      </c>
      <c r="CR82" s="159">
        <f t="shared" si="239"/>
        <v>7.2528561611770126E-2</v>
      </c>
      <c r="CS82" s="159">
        <f t="shared" si="239"/>
        <v>0.11645288509400009</v>
      </c>
      <c r="CT82" s="159">
        <f t="shared" si="239"/>
        <v>8.6488513315774229E-2</v>
      </c>
      <c r="CU82" s="159">
        <f t="shared" ref="CU82:DZ82" si="240">CU11/CT11-1</f>
        <v>-0.12771357143458384</v>
      </c>
      <c r="CV82" s="159">
        <f t="shared" si="240"/>
        <v>-0.3188215597060654</v>
      </c>
      <c r="CW82" s="159">
        <f t="shared" si="240"/>
        <v>-4.6997074635746094E-2</v>
      </c>
      <c r="CX82" s="159">
        <f t="shared" si="240"/>
        <v>5.9389493399928606E-2</v>
      </c>
      <c r="CY82" s="159">
        <f t="shared" si="240"/>
        <v>0.13810691446632228</v>
      </c>
      <c r="CZ82" s="159">
        <f t="shared" si="240"/>
        <v>0.13114946106972325</v>
      </c>
      <c r="DA82" s="159">
        <f t="shared" si="240"/>
        <v>0.18804105845134322</v>
      </c>
      <c r="DB82" s="159">
        <f t="shared" si="240"/>
        <v>9.3624282680195847E-2</v>
      </c>
      <c r="DC82" s="159">
        <f t="shared" si="240"/>
        <v>3.9094581160946218E-2</v>
      </c>
      <c r="DD82" s="159">
        <f t="shared" si="240"/>
        <v>8.8630946253877685E-2</v>
      </c>
      <c r="DE82" s="159">
        <f t="shared" si="240"/>
        <v>9.1749293622954253E-2</v>
      </c>
      <c r="DF82" s="159">
        <f t="shared" si="240"/>
        <v>4.9111926624200386E-2</v>
      </c>
      <c r="DG82" s="159">
        <f t="shared" si="240"/>
        <v>6.6407242719483728E-2</v>
      </c>
      <c r="DH82" s="159">
        <f t="shared" si="240"/>
        <v>7.2831980376561134E-2</v>
      </c>
      <c r="DI82" s="159">
        <f t="shared" si="240"/>
        <v>-1.6525511258004499E-2</v>
      </c>
      <c r="DJ82" s="159">
        <f t="shared" si="240"/>
        <v>1.3292936616859929E-3</v>
      </c>
      <c r="DK82" s="159">
        <f t="shared" si="240"/>
        <v>-1.4826947114348399E-2</v>
      </c>
      <c r="DL82" s="159">
        <f t="shared" si="240"/>
        <v>1.473800877922149E-2</v>
      </c>
      <c r="DM82" s="159">
        <f t="shared" si="240"/>
        <v>-6.2697609712912827E-3</v>
      </c>
      <c r="DN82" s="159">
        <f t="shared" si="240"/>
        <v>4.3847918023109056E-2</v>
      </c>
      <c r="DO82" s="159">
        <f t="shared" si="240"/>
        <v>2.7735632131419052E-2</v>
      </c>
      <c r="DP82" s="159">
        <f t="shared" si="240"/>
        <v>8.1543183996570345E-2</v>
      </c>
      <c r="DQ82" s="159">
        <f t="shared" si="240"/>
        <v>2.7335876920622448E-2</v>
      </c>
      <c r="DR82" s="159">
        <f t="shared" si="240"/>
        <v>5.1973404836146209E-2</v>
      </c>
      <c r="DS82" s="159">
        <f t="shared" si="240"/>
        <v>-0.2532518144921786</v>
      </c>
      <c r="DT82" s="159">
        <f t="shared" si="240"/>
        <v>-0.35301780909271663</v>
      </c>
      <c r="DU82" s="159">
        <f t="shared" si="240"/>
        <v>-7.6362126343992642E-2</v>
      </c>
      <c r="DV82" s="159">
        <f t="shared" si="240"/>
        <v>-0.11883070367481563</v>
      </c>
      <c r="DW82" s="159">
        <f t="shared" si="240"/>
        <v>-0.20888041549750691</v>
      </c>
      <c r="DX82" s="159">
        <f t="shared" si="240"/>
        <v>-0.24259677126141033</v>
      </c>
      <c r="DY82" s="159">
        <f t="shared" si="240"/>
        <v>2.0931639952785686E-2</v>
      </c>
      <c r="DZ82" s="159">
        <f t="shared" si="240"/>
        <v>0.22198274588986489</v>
      </c>
      <c r="EA82" s="159">
        <f t="shared" ref="EA82:EP82" si="241">EA11/DZ11-1</f>
        <v>0.2752221543400073</v>
      </c>
      <c r="EB82" s="159">
        <f t="shared" si="241"/>
        <v>0.23191900973210711</v>
      </c>
      <c r="EC82" s="159">
        <f t="shared" si="241"/>
        <v>8.6050594348383358E-2</v>
      </c>
      <c r="ED82" s="159">
        <f t="shared" si="241"/>
        <v>5.1817591535005647E-2</v>
      </c>
      <c r="EE82" s="159">
        <f t="shared" si="241"/>
        <v>1.4462903026846163E-2</v>
      </c>
      <c r="EF82" s="159">
        <f t="shared" si="241"/>
        <v>6.5786140618753652E-2</v>
      </c>
      <c r="EG82" s="159">
        <f t="shared" si="241"/>
        <v>6.5261623542099745E-2</v>
      </c>
      <c r="EH82" s="159">
        <f t="shared" si="241"/>
        <v>3.7952053214723946E-2</v>
      </c>
      <c r="EI82" s="159">
        <f t="shared" si="241"/>
        <v>2.3457013119162484E-2</v>
      </c>
      <c r="EJ82" s="159">
        <f t="shared" si="241"/>
        <v>2.5776373374030159E-2</v>
      </c>
      <c r="EK82" s="159">
        <f t="shared" si="241"/>
        <v>2.5728721296335966E-2</v>
      </c>
      <c r="EL82" s="159">
        <f t="shared" si="241"/>
        <v>3.6735510506608948E-2</v>
      </c>
      <c r="EM82" s="159">
        <f t="shared" si="241"/>
        <v>-1.3998764766690153E-2</v>
      </c>
      <c r="EN82" s="159">
        <f t="shared" si="241"/>
        <v>-4.082304034452644E-3</v>
      </c>
      <c r="EO82" s="159">
        <f t="shared" si="241"/>
        <v>5.9225003294911538E-3</v>
      </c>
      <c r="EP82" s="159">
        <f t="shared" si="241"/>
        <v>-4.1196830961974795E-3</v>
      </c>
      <c r="EQ82" s="20"/>
      <c r="ER82" s="20"/>
      <c r="ES82" s="355">
        <f t="shared" si="201"/>
        <v>77</v>
      </c>
      <c r="ET82"/>
      <c r="EU82"/>
      <c r="EV82"/>
      <c r="EW82"/>
      <c r="EX82"/>
      <c r="EY82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</row>
    <row r="83" spans="1:257" s="4" customFormat="1" hidden="1" outlineLevel="2">
      <c r="A83" s="15"/>
      <c r="B83" s="14" t="s">
        <v>177</v>
      </c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>
        <f t="shared" ref="P83:AF83" si="242">P12/O12-1</f>
        <v>-0.25210195946125913</v>
      </c>
      <c r="Q83" s="159">
        <f t="shared" si="242"/>
        <v>8.1079797715994939E-3</v>
      </c>
      <c r="R83" s="159">
        <f t="shared" si="242"/>
        <v>0.62832514925636751</v>
      </c>
      <c r="S83" s="159">
        <f t="shared" si="242"/>
        <v>-0.10942370135740065</v>
      </c>
      <c r="T83" s="159">
        <f t="shared" si="242"/>
        <v>0.25419820053918873</v>
      </c>
      <c r="U83" s="159">
        <f t="shared" si="242"/>
        <v>0.32534379613083675</v>
      </c>
      <c r="V83" s="159">
        <f t="shared" si="242"/>
        <v>-9.6139754374651165E-3</v>
      </c>
      <c r="W83" s="159">
        <f t="shared" si="242"/>
        <v>-6.4961969871851766E-3</v>
      </c>
      <c r="X83" s="159">
        <f t="shared" si="242"/>
        <v>-6.1221247461733741E-2</v>
      </c>
      <c r="Y83" s="159">
        <f t="shared" si="242"/>
        <v>0.173344404133569</v>
      </c>
      <c r="Z83" s="159">
        <f t="shared" si="242"/>
        <v>0.13047691593460842</v>
      </c>
      <c r="AA83" s="159">
        <f t="shared" si="242"/>
        <v>-3.8945660278058014E-2</v>
      </c>
      <c r="AB83" s="159">
        <f t="shared" si="242"/>
        <v>-0.42499471048734039</v>
      </c>
      <c r="AC83" s="159">
        <f t="shared" si="242"/>
        <v>-1.6868565161867632E-2</v>
      </c>
      <c r="AD83" s="159">
        <f t="shared" si="242"/>
        <v>-9.3510025641590278E-2</v>
      </c>
      <c r="AE83" s="159">
        <f t="shared" si="242"/>
        <v>0.15391644479949496</v>
      </c>
      <c r="AF83" s="159">
        <f t="shared" si="242"/>
        <v>0.13589816058641224</v>
      </c>
      <c r="AG83" s="42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>
        <f t="shared" ref="BV83:DA83" si="243">BV12/BU12-1</f>
        <v>-9.9327201222088601E-2</v>
      </c>
      <c r="BW83" s="159">
        <f t="shared" si="243"/>
        <v>1.3279924939554766E-2</v>
      </c>
      <c r="BX83" s="159">
        <f t="shared" si="243"/>
        <v>8.9639944442465813E-2</v>
      </c>
      <c r="BY83" s="159">
        <f t="shared" si="243"/>
        <v>-0.14214276375996859</v>
      </c>
      <c r="BZ83" s="159">
        <f t="shared" si="243"/>
        <v>-0.21126223949403733</v>
      </c>
      <c r="CA83" s="159">
        <f t="shared" si="243"/>
        <v>-9.7913245097092094E-2</v>
      </c>
      <c r="CB83" s="159">
        <f t="shared" si="243"/>
        <v>0.13842034805890235</v>
      </c>
      <c r="CC83" s="159">
        <f t="shared" si="243"/>
        <v>0.11011288805268094</v>
      </c>
      <c r="CD83" s="159">
        <f t="shared" si="243"/>
        <v>-0.13749417397567887</v>
      </c>
      <c r="CE83" s="159">
        <f t="shared" si="243"/>
        <v>-8.3857339359402649E-2</v>
      </c>
      <c r="CF83" s="159">
        <f t="shared" si="243"/>
        <v>6.7349455734891928E-2</v>
      </c>
      <c r="CG83" s="159">
        <f t="shared" si="243"/>
        <v>0.30675709620698299</v>
      </c>
      <c r="CH83" s="159">
        <f t="shared" si="243"/>
        <v>0.1349044634962131</v>
      </c>
      <c r="CI83" s="159">
        <f t="shared" si="243"/>
        <v>0.14170054200542026</v>
      </c>
      <c r="CJ83" s="159">
        <f t="shared" si="243"/>
        <v>2.5665371035219264E-2</v>
      </c>
      <c r="CK83" s="159">
        <f t="shared" si="243"/>
        <v>0.17125665355241848</v>
      </c>
      <c r="CL83" s="159">
        <f t="shared" si="243"/>
        <v>-0.11692353289863666</v>
      </c>
      <c r="CM83" s="159">
        <f t="shared" si="243"/>
        <v>-0.19720870392123957</v>
      </c>
      <c r="CN83" s="159">
        <f t="shared" si="243"/>
        <v>3.2156917395394169E-2</v>
      </c>
      <c r="CO83" s="159">
        <f t="shared" si="243"/>
        <v>-1.8936069668534339E-2</v>
      </c>
      <c r="CP83" s="159">
        <f t="shared" si="243"/>
        <v>-6.1379666265267585E-2</v>
      </c>
      <c r="CQ83" s="159">
        <f t="shared" si="243"/>
        <v>9.193211392544276E-2</v>
      </c>
      <c r="CR83" s="159">
        <f t="shared" si="243"/>
        <v>0.58776729665312688</v>
      </c>
      <c r="CS83" s="159">
        <f t="shared" si="243"/>
        <v>5.8903124867859091E-2</v>
      </c>
      <c r="CT83" s="159">
        <f t="shared" si="243"/>
        <v>8.0664483667438613E-3</v>
      </c>
      <c r="CU83" s="159">
        <f t="shared" si="243"/>
        <v>1.6697036919664177E-2</v>
      </c>
      <c r="CV83" s="159">
        <f t="shared" si="243"/>
        <v>8.3263524965420332E-2</v>
      </c>
      <c r="CW83" s="159">
        <f t="shared" si="243"/>
        <v>-0.14975272007912954</v>
      </c>
      <c r="CX83" s="159">
        <f t="shared" si="243"/>
        <v>0.10601125259105726</v>
      </c>
      <c r="CY83" s="159">
        <f t="shared" si="243"/>
        <v>-8.6536622681200992E-2</v>
      </c>
      <c r="CZ83" s="159">
        <f t="shared" si="243"/>
        <v>0.11234167277295093</v>
      </c>
      <c r="DA83" s="159">
        <f t="shared" si="243"/>
        <v>-6.743708945813176E-2</v>
      </c>
      <c r="DB83" s="159">
        <f t="shared" ref="DB83:EG83" si="244">DB12/DA12-1</f>
        <v>-9.4474045370146253E-2</v>
      </c>
      <c r="DC83" s="159">
        <f t="shared" si="244"/>
        <v>0.12746562061203104</v>
      </c>
      <c r="DD83" s="159">
        <f t="shared" si="244"/>
        <v>7.8737200015814635E-2</v>
      </c>
      <c r="DE83" s="159">
        <f t="shared" si="244"/>
        <v>-5.8164892154886516E-2</v>
      </c>
      <c r="DF83" s="159">
        <f t="shared" si="244"/>
        <v>-1.1732658818951247E-2</v>
      </c>
      <c r="DG83" s="159">
        <f t="shared" si="244"/>
        <v>-0.14512127894156568</v>
      </c>
      <c r="DH83" s="159">
        <f t="shared" si="244"/>
        <v>-4.1546717026323732E-2</v>
      </c>
      <c r="DI83" s="159">
        <f t="shared" si="244"/>
        <v>0.27966936588413405</v>
      </c>
      <c r="DJ83" s="159">
        <f t="shared" si="244"/>
        <v>8.378398678083232E-2</v>
      </c>
      <c r="DK83" s="159">
        <f t="shared" si="244"/>
        <v>-3.6609030111923624E-2</v>
      </c>
      <c r="DL83" s="159">
        <f t="shared" si="244"/>
        <v>-3.1400053951982643E-2</v>
      </c>
      <c r="DM83" s="159">
        <f t="shared" si="244"/>
        <v>1.5262073191109948E-2</v>
      </c>
      <c r="DN83" s="159">
        <f t="shared" si="244"/>
        <v>7.9972933925861023E-2</v>
      </c>
      <c r="DO83" s="159">
        <f t="shared" si="244"/>
        <v>7.1493886950926289E-2</v>
      </c>
      <c r="DP83" s="159">
        <f t="shared" si="244"/>
        <v>2.0197231177697672E-2</v>
      </c>
      <c r="DQ83" s="159">
        <f t="shared" si="244"/>
        <v>-9.7127985872292877E-3</v>
      </c>
      <c r="DR83" s="159">
        <f t="shared" si="244"/>
        <v>8.6755205155880866E-2</v>
      </c>
      <c r="DS83" s="159">
        <f t="shared" si="244"/>
        <v>-9.8556273660270866E-2</v>
      </c>
      <c r="DT83" s="159">
        <f t="shared" si="244"/>
        <v>-0.11102417526267039</v>
      </c>
      <c r="DU83" s="159">
        <f t="shared" si="244"/>
        <v>-4.3144791909902502E-2</v>
      </c>
      <c r="DV83" s="159">
        <f t="shared" si="244"/>
        <v>-0.21383116517429746</v>
      </c>
      <c r="DW83" s="159">
        <f t="shared" si="244"/>
        <v>-0.18039637058261704</v>
      </c>
      <c r="DX83" s="159">
        <f t="shared" si="244"/>
        <v>-0.11166788055353249</v>
      </c>
      <c r="DY83" s="159">
        <f t="shared" si="244"/>
        <v>4.6307228125409994E-2</v>
      </c>
      <c r="DZ83" s="159">
        <f t="shared" si="244"/>
        <v>5.9804413239719079E-2</v>
      </c>
      <c r="EA83" s="159">
        <f t="shared" si="244"/>
        <v>7.16609487755826E-2</v>
      </c>
      <c r="EB83" s="159">
        <f t="shared" si="244"/>
        <v>-6.965640954877883E-2</v>
      </c>
      <c r="EC83" s="159">
        <f t="shared" si="244"/>
        <v>-3.5774672955415032E-2</v>
      </c>
      <c r="ED83" s="159">
        <f t="shared" si="244"/>
        <v>2.6488232579602977E-2</v>
      </c>
      <c r="EE83" s="159">
        <f t="shared" si="244"/>
        <v>-0.11634478211352872</v>
      </c>
      <c r="EF83" s="159">
        <f t="shared" si="244"/>
        <v>-2.4977743891271387E-2</v>
      </c>
      <c r="EG83" s="159">
        <f t="shared" si="244"/>
        <v>0.11047230051437507</v>
      </c>
      <c r="EH83" s="159">
        <f t="shared" ref="EH83:EP83" si="245">EH12/EG12-1</f>
        <v>3.2611556859479585E-2</v>
      </c>
      <c r="EI83" s="159">
        <f t="shared" si="245"/>
        <v>4.4057494355415505E-2</v>
      </c>
      <c r="EJ83" s="159">
        <f t="shared" si="245"/>
        <v>6.0801506703080266E-2</v>
      </c>
      <c r="EK83" s="159">
        <f t="shared" si="245"/>
        <v>5.8419383586205242E-2</v>
      </c>
      <c r="EL83" s="159">
        <f t="shared" si="245"/>
        <v>4.8990952822050016E-2</v>
      </c>
      <c r="EM83" s="159">
        <f t="shared" si="245"/>
        <v>-5.5905001186045133E-3</v>
      </c>
      <c r="EN83" s="159">
        <f t="shared" si="245"/>
        <v>1.3310715555072683E-3</v>
      </c>
      <c r="EO83" s="159">
        <f t="shared" si="245"/>
        <v>8.2730936588337745E-3</v>
      </c>
      <c r="EP83" s="159">
        <f t="shared" si="245"/>
        <v>1.3316118636950147E-3</v>
      </c>
      <c r="EQ83" s="20"/>
      <c r="ER83" s="20"/>
      <c r="ES83" s="355">
        <f t="shared" si="201"/>
        <v>78</v>
      </c>
      <c r="ET83"/>
      <c r="EU83"/>
      <c r="EV83"/>
      <c r="EW83"/>
      <c r="EX83"/>
      <c r="EY83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</row>
    <row r="84" spans="1:257" s="4" customFormat="1" hidden="1" outlineLevel="2">
      <c r="A84" s="15"/>
      <c r="B84" s="14" t="s">
        <v>174</v>
      </c>
      <c r="C84" s="159"/>
      <c r="D84" s="159"/>
      <c r="E84" s="159"/>
      <c r="F84" s="159">
        <f t="shared" ref="F84:O84" si="246">F13/E13-1</f>
        <v>9.476890803186877E-2</v>
      </c>
      <c r="G84" s="159">
        <f t="shared" si="246"/>
        <v>0.12826288591493307</v>
      </c>
      <c r="H84" s="159">
        <f t="shared" si="246"/>
        <v>0.22584579249288583</v>
      </c>
      <c r="I84" s="159">
        <f t="shared" si="246"/>
        <v>0.30182394340248364</v>
      </c>
      <c r="J84" s="159">
        <f t="shared" si="246"/>
        <v>0.43261006164697613</v>
      </c>
      <c r="K84" s="159">
        <f t="shared" si="246"/>
        <v>-0.27693699816652972</v>
      </c>
      <c r="L84" s="159">
        <f t="shared" si="246"/>
        <v>-0.25377759075781336</v>
      </c>
      <c r="M84" s="159">
        <f t="shared" si="246"/>
        <v>0.13431808361833464</v>
      </c>
      <c r="N84" s="159">
        <f t="shared" si="246"/>
        <v>-2.2583769126476749E-2</v>
      </c>
      <c r="O84" s="159">
        <f t="shared" si="246"/>
        <v>-0.27465123652504742</v>
      </c>
      <c r="P84" s="159">
        <f t="shared" ref="P84:AF84" si="247">P13/O13-1</f>
        <v>0.35493388700688411</v>
      </c>
      <c r="Q84" s="159">
        <f t="shared" si="247"/>
        <v>0.19283813210742817</v>
      </c>
      <c r="R84" s="159">
        <f t="shared" si="247"/>
        <v>0.39223011043497835</v>
      </c>
      <c r="S84" s="159">
        <f t="shared" si="247"/>
        <v>0.29620426317216597</v>
      </c>
      <c r="T84" s="159">
        <f t="shared" si="247"/>
        <v>2.4856142848668217E-2</v>
      </c>
      <c r="U84" s="159">
        <f t="shared" si="247"/>
        <v>-0.27676667357209894</v>
      </c>
      <c r="V84" s="159">
        <f t="shared" si="247"/>
        <v>6.9625985164092352E-2</v>
      </c>
      <c r="W84" s="159">
        <f t="shared" si="247"/>
        <v>-0.10663342863668968</v>
      </c>
      <c r="X84" s="159">
        <f t="shared" si="247"/>
        <v>0.19033806629079253</v>
      </c>
      <c r="Y84" s="159">
        <f t="shared" si="247"/>
        <v>0.35853451691867866</v>
      </c>
      <c r="Z84" s="159">
        <f t="shared" si="247"/>
        <v>-3.0828069926753132E-2</v>
      </c>
      <c r="AA84" s="159">
        <f t="shared" si="247"/>
        <v>3.5070016201073306E-2</v>
      </c>
      <c r="AB84" s="159">
        <f t="shared" si="247"/>
        <v>-0.37528891433909484</v>
      </c>
      <c r="AC84" s="159">
        <f t="shared" si="247"/>
        <v>-0.13526898483648975</v>
      </c>
      <c r="AD84" s="159">
        <f t="shared" si="247"/>
        <v>0.23386369754086989</v>
      </c>
      <c r="AE84" s="159">
        <f t="shared" si="247"/>
        <v>0.20119329236784145</v>
      </c>
      <c r="AF84" s="159">
        <f t="shared" si="247"/>
        <v>0.13197890292494496</v>
      </c>
      <c r="AG84" s="42"/>
      <c r="AH84" s="159"/>
      <c r="AI84" s="159">
        <f t="shared" ref="AI84:BU84" si="248">AI13/AH13-1</f>
        <v>0.17305602213220039</v>
      </c>
      <c r="AJ84" s="159">
        <f t="shared" si="248"/>
        <v>-6.2876395030532883E-2</v>
      </c>
      <c r="AK84" s="159">
        <f t="shared" si="248"/>
        <v>5.0647132841991294E-2</v>
      </c>
      <c r="AL84" s="159">
        <f t="shared" si="248"/>
        <v>-4.5339834894563169E-2</v>
      </c>
      <c r="AM84" s="159">
        <f t="shared" si="248"/>
        <v>3.6247143689233541E-2</v>
      </c>
      <c r="AN84" s="159">
        <f t="shared" si="248"/>
        <v>0.11946558284330666</v>
      </c>
      <c r="AO84" s="159">
        <f t="shared" si="248"/>
        <v>3.4065891622572009E-2</v>
      </c>
      <c r="AP84" s="159">
        <f t="shared" si="248"/>
        <v>-0.17267396257423562</v>
      </c>
      <c r="AQ84" s="159">
        <f t="shared" si="248"/>
        <v>0.11101580135440203</v>
      </c>
      <c r="AR84" s="159">
        <f t="shared" si="248"/>
        <v>0.17392011052866829</v>
      </c>
      <c r="AS84" s="159">
        <f t="shared" si="248"/>
        <v>0.21316071861262054</v>
      </c>
      <c r="AT84" s="159">
        <f t="shared" si="248"/>
        <v>-3.1728821297115184E-2</v>
      </c>
      <c r="AU84" s="159">
        <f t="shared" si="248"/>
        <v>-1.0313835273316641E-2</v>
      </c>
      <c r="AV84" s="159">
        <f t="shared" si="248"/>
        <v>-6.1068929581658549E-2</v>
      </c>
      <c r="AW84" s="159">
        <f t="shared" si="248"/>
        <v>0.16195217860087507</v>
      </c>
      <c r="AX84" s="159">
        <f t="shared" si="248"/>
        <v>-2.7592041701918313E-2</v>
      </c>
      <c r="AY84" s="159">
        <f t="shared" si="248"/>
        <v>0.19806342969407797</v>
      </c>
      <c r="AZ84" s="159">
        <f t="shared" si="248"/>
        <v>0.10581675920069356</v>
      </c>
      <c r="BA84" s="159">
        <f t="shared" si="248"/>
        <v>8.3170917718837334E-2</v>
      </c>
      <c r="BB84" s="159">
        <f t="shared" si="248"/>
        <v>1.6898102875024579E-2</v>
      </c>
      <c r="BC84" s="159">
        <f t="shared" si="248"/>
        <v>0.1862330268877177</v>
      </c>
      <c r="BD84" s="159">
        <f t="shared" si="248"/>
        <v>0.12200658268073994</v>
      </c>
      <c r="BE84" s="159">
        <f t="shared" si="248"/>
        <v>1.4407098060749801E-2</v>
      </c>
      <c r="BF84" s="159">
        <f t="shared" si="248"/>
        <v>-0.22100029914956065</v>
      </c>
      <c r="BG84" s="159">
        <f t="shared" si="248"/>
        <v>-8.8360610770778059E-2</v>
      </c>
      <c r="BH84" s="159">
        <f t="shared" si="248"/>
        <v>-0.14693198002126251</v>
      </c>
      <c r="BI84" s="159">
        <f t="shared" si="248"/>
        <v>-0.15535647103085037</v>
      </c>
      <c r="BJ84" s="159">
        <f t="shared" si="248"/>
        <v>-4.7882854040811607E-2</v>
      </c>
      <c r="BK84" s="159">
        <f t="shared" si="248"/>
        <v>-5.9471945264758297E-2</v>
      </c>
      <c r="BL84" s="159">
        <f t="shared" si="248"/>
        <v>2.5181086206360392E-2</v>
      </c>
      <c r="BM84" s="159">
        <f t="shared" si="248"/>
        <v>0.12818024683870588</v>
      </c>
      <c r="BN84" s="159">
        <f t="shared" si="248"/>
        <v>3.9968820556929519E-2</v>
      </c>
      <c r="BO84" s="159">
        <f t="shared" si="248"/>
        <v>-9.2088599415884875E-2</v>
      </c>
      <c r="BP84" s="159">
        <f t="shared" si="248"/>
        <v>0.15369505807333184</v>
      </c>
      <c r="BQ84" s="159">
        <f t="shared" si="248"/>
        <v>4.1947343746140398E-4</v>
      </c>
      <c r="BR84" s="159">
        <f t="shared" si="248"/>
        <v>4.5999408050513058E-2</v>
      </c>
      <c r="BS84" s="159">
        <f t="shared" si="248"/>
        <v>2.6810346860336232E-2</v>
      </c>
      <c r="BT84" s="159">
        <f t="shared" si="248"/>
        <v>-0.21324576310108856</v>
      </c>
      <c r="BU84" s="159">
        <f t="shared" si="248"/>
        <v>-8.9988324576765866E-2</v>
      </c>
      <c r="BV84" s="159">
        <f t="shared" ref="BV84:DA84" si="249">BV13/BU13-1</f>
        <v>-0.24546941655707732</v>
      </c>
      <c r="BW84" s="159">
        <f t="shared" si="249"/>
        <v>0.25195544975344331</v>
      </c>
      <c r="BX84" s="159">
        <f t="shared" si="249"/>
        <v>1.7995993344877892E-2</v>
      </c>
      <c r="BY84" s="159">
        <f t="shared" si="249"/>
        <v>-0.10423268069777525</v>
      </c>
      <c r="BZ84" s="159">
        <f t="shared" si="249"/>
        <v>0.33903038427167109</v>
      </c>
      <c r="CA84" s="159">
        <f t="shared" si="249"/>
        <v>9.3156475070214961E-2</v>
      </c>
      <c r="CB84" s="159">
        <f t="shared" si="249"/>
        <v>-9.7275571722927334E-2</v>
      </c>
      <c r="CC84" s="159">
        <f t="shared" si="249"/>
        <v>7.1631865190069588E-2</v>
      </c>
      <c r="CD84" s="159">
        <f t="shared" si="249"/>
        <v>0.11680559572957461</v>
      </c>
      <c r="CE84" s="159">
        <f t="shared" si="249"/>
        <v>-1.5822561277106684E-2</v>
      </c>
      <c r="CF84" s="159">
        <f t="shared" si="249"/>
        <v>0.10122251728510245</v>
      </c>
      <c r="CG84" s="159">
        <f t="shared" si="249"/>
        <v>2.4983706278513873E-2</v>
      </c>
      <c r="CH84" s="159">
        <f t="shared" si="249"/>
        <v>6.5218312844425474E-2</v>
      </c>
      <c r="CI84" s="159">
        <f t="shared" si="249"/>
        <v>0.21608930099289658</v>
      </c>
      <c r="CJ84" s="159">
        <f t="shared" si="249"/>
        <v>0.10985486853085069</v>
      </c>
      <c r="CK84" s="159">
        <f t="shared" si="249"/>
        <v>8.4032374577991398E-4</v>
      </c>
      <c r="CL84" s="159">
        <f t="shared" si="249"/>
        <v>0.14668277162385102</v>
      </c>
      <c r="CM84" s="159">
        <f t="shared" si="249"/>
        <v>-7.5739280117154362E-2</v>
      </c>
      <c r="CN84" s="159">
        <f t="shared" si="249"/>
        <v>0.18633773453787339</v>
      </c>
      <c r="CO84" s="159">
        <f t="shared" si="249"/>
        <v>-2.6594186768513772E-3</v>
      </c>
      <c r="CP84" s="159">
        <f t="shared" si="249"/>
        <v>-7.6682720545048655E-2</v>
      </c>
      <c r="CQ84" s="159">
        <f t="shared" si="249"/>
        <v>-3.6195007760616793E-2</v>
      </c>
      <c r="CR84" s="159">
        <f t="shared" si="249"/>
        <v>6.3730084348640803E-2</v>
      </c>
      <c r="CS84" s="159">
        <f t="shared" si="249"/>
        <v>0.15778370664515728</v>
      </c>
      <c r="CT84" s="159">
        <f t="shared" si="249"/>
        <v>2.0128617363344148E-2</v>
      </c>
      <c r="CU84" s="159">
        <f t="shared" si="249"/>
        <v>-0.45545189014268006</v>
      </c>
      <c r="CV84" s="159">
        <f t="shared" si="249"/>
        <v>-8.7576453336934978E-2</v>
      </c>
      <c r="CW84" s="159">
        <f t="shared" si="249"/>
        <v>-8.8602241488686784E-2</v>
      </c>
      <c r="CX84" s="159">
        <f t="shared" si="249"/>
        <v>0.37814385150812058</v>
      </c>
      <c r="CY84" s="159">
        <f t="shared" si="249"/>
        <v>8.8942388632613723E-2</v>
      </c>
      <c r="CZ84" s="159">
        <f t="shared" si="249"/>
        <v>-7.1674834959261524E-2</v>
      </c>
      <c r="DA84" s="159">
        <f t="shared" si="249"/>
        <v>0.16249479556998936</v>
      </c>
      <c r="DB84" s="159">
        <f t="shared" ref="DB84:EG84" si="250">DB13/DA13-1</f>
        <v>-1.214864903584445E-2</v>
      </c>
      <c r="DC84" s="159">
        <f t="shared" si="250"/>
        <v>-0.20694956057661629</v>
      </c>
      <c r="DD84" s="159">
        <f t="shared" si="250"/>
        <v>-0.1578706751517811</v>
      </c>
      <c r="DE84" s="159">
        <f t="shared" si="250"/>
        <v>0.24123254652450532</v>
      </c>
      <c r="DF84" s="159">
        <f t="shared" si="250"/>
        <v>6.2543736878936329E-2</v>
      </c>
      <c r="DG84" s="159">
        <f t="shared" si="250"/>
        <v>5.5207047007491461E-2</v>
      </c>
      <c r="DH84" s="159">
        <f t="shared" si="250"/>
        <v>5.2958432155785884E-2</v>
      </c>
      <c r="DI84" s="159">
        <f t="shared" si="250"/>
        <v>0.15174416881538777</v>
      </c>
      <c r="DJ84" s="159">
        <f t="shared" si="250"/>
        <v>0.12280950052752115</v>
      </c>
      <c r="DK84" s="159">
        <f t="shared" si="250"/>
        <v>7.8208257416892968E-2</v>
      </c>
      <c r="DL84" s="159">
        <f t="shared" si="250"/>
        <v>-7.5606852867406427E-2</v>
      </c>
      <c r="DM84" s="159">
        <f t="shared" si="250"/>
        <v>0.13251626848168518</v>
      </c>
      <c r="DN84" s="159">
        <f t="shared" si="250"/>
        <v>-3.2110371152440642E-2</v>
      </c>
      <c r="DO84" s="159">
        <f t="shared" si="250"/>
        <v>-0.10287284589001577</v>
      </c>
      <c r="DP84" s="159">
        <f t="shared" si="250"/>
        <v>-4.9875486654273882E-2</v>
      </c>
      <c r="DQ84" s="159">
        <f t="shared" si="250"/>
        <v>0.14918724697601737</v>
      </c>
      <c r="DR84" s="159">
        <f t="shared" si="250"/>
        <v>-5.4180809713998412E-3</v>
      </c>
      <c r="DS84" s="159">
        <f t="shared" si="250"/>
        <v>5.0061193949507254E-2</v>
      </c>
      <c r="DT84" s="159">
        <f t="shared" si="250"/>
        <v>-1.2977914149201464E-3</v>
      </c>
      <c r="DU84" s="159">
        <f t="shared" si="250"/>
        <v>-0.17694713330234479</v>
      </c>
      <c r="DV84" s="159">
        <f t="shared" si="250"/>
        <v>-9.9513578424448079E-2</v>
      </c>
      <c r="DW84" s="159">
        <f t="shared" si="250"/>
        <v>-0.28869435133113563</v>
      </c>
      <c r="DX84" s="159">
        <f t="shared" si="250"/>
        <v>-6.5606013397725538E-2</v>
      </c>
      <c r="DY84" s="159">
        <f t="shared" si="250"/>
        <v>0.21636829710522498</v>
      </c>
      <c r="DZ84" s="159">
        <f t="shared" si="250"/>
        <v>8.4614032382420934E-2</v>
      </c>
      <c r="EA84" s="159">
        <f t="shared" si="250"/>
        <v>-0.45094661277643777</v>
      </c>
      <c r="EB84" s="159">
        <f t="shared" si="250"/>
        <v>0.31274200880398206</v>
      </c>
      <c r="EC84" s="159">
        <f t="shared" si="250"/>
        <v>0.20781623607123278</v>
      </c>
      <c r="ED84" s="159">
        <f t="shared" si="250"/>
        <v>0.14707216607087759</v>
      </c>
      <c r="EE84" s="159">
        <f t="shared" si="250"/>
        <v>-0.11235248520897279</v>
      </c>
      <c r="EF84" s="159">
        <f t="shared" si="250"/>
        <v>0.10189042401992476</v>
      </c>
      <c r="EG84" s="159">
        <f t="shared" si="250"/>
        <v>3.7264067023564884E-2</v>
      </c>
      <c r="EH84" s="159">
        <f t="shared" ref="EH84:EP84" si="251">EH13/EG13-1</f>
        <v>8.0333057864126367E-2</v>
      </c>
      <c r="EI84" s="159">
        <f t="shared" si="251"/>
        <v>3.839214837266125E-3</v>
      </c>
      <c r="EJ84" s="159">
        <f t="shared" si="251"/>
        <v>8.7849204181104534E-2</v>
      </c>
      <c r="EK84" s="159">
        <f t="shared" si="251"/>
        <v>5.9211482798271264E-2</v>
      </c>
      <c r="EL84" s="159">
        <f t="shared" si="251"/>
        <v>4.5919067643278577E-2</v>
      </c>
      <c r="EM84" s="159">
        <f t="shared" si="251"/>
        <v>-1.0498562412760482E-2</v>
      </c>
      <c r="EN84" s="159">
        <f t="shared" si="251"/>
        <v>0</v>
      </c>
      <c r="EO84" s="159">
        <f t="shared" si="251"/>
        <v>1.0609951652379435E-2</v>
      </c>
      <c r="EP84" s="159">
        <f t="shared" si="251"/>
        <v>0</v>
      </c>
      <c r="EQ84" s="20"/>
      <c r="ER84" s="20"/>
      <c r="ES84" s="355">
        <f t="shared" si="201"/>
        <v>79</v>
      </c>
      <c r="ET84"/>
      <c r="EU84"/>
      <c r="EV84"/>
      <c r="EW84"/>
      <c r="EX84"/>
      <c r="EY84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</row>
    <row r="85" spans="1:257" s="4" customFormat="1" hidden="1" outlineLevel="2">
      <c r="A85" s="15"/>
      <c r="B85" s="14" t="s">
        <v>38</v>
      </c>
      <c r="C85" s="163"/>
      <c r="D85" s="163"/>
      <c r="E85" s="159"/>
      <c r="F85" s="159">
        <f t="shared" ref="F85:O85" si="252">F14/E14-1</f>
        <v>-0.11553417338774286</v>
      </c>
      <c r="G85" s="159">
        <f t="shared" si="252"/>
        <v>-0.33879448959193403</v>
      </c>
      <c r="H85" s="159">
        <f t="shared" si="252"/>
        <v>0.57127834373973019</v>
      </c>
      <c r="I85" s="159">
        <f t="shared" si="252"/>
        <v>0.32093110804366898</v>
      </c>
      <c r="J85" s="159">
        <f t="shared" si="252"/>
        <v>-0.1670651319157469</v>
      </c>
      <c r="K85" s="159">
        <f t="shared" si="252"/>
        <v>-2.2240245339686382E-3</v>
      </c>
      <c r="L85" s="159">
        <f t="shared" si="252"/>
        <v>0.55580392580221072</v>
      </c>
      <c r="M85" s="159">
        <f t="shared" si="252"/>
        <v>0.12550511441096557</v>
      </c>
      <c r="N85" s="159">
        <f t="shared" si="252"/>
        <v>-0.97304001566681886</v>
      </c>
      <c r="O85" s="159">
        <f t="shared" si="252"/>
        <v>0.46529459241322946</v>
      </c>
      <c r="P85" s="159">
        <f t="shared" ref="P85:AF85" si="253">P14/O14-1</f>
        <v>-8.0602221610207248E-2</v>
      </c>
      <c r="Q85" s="159">
        <f t="shared" si="253"/>
        <v>6.7199201198202774E-2</v>
      </c>
      <c r="R85" s="159">
        <f t="shared" si="253"/>
        <v>-2.8910928143712877E-2</v>
      </c>
      <c r="S85" s="159">
        <f t="shared" si="253"/>
        <v>8.5942769052895329E-2</v>
      </c>
      <c r="T85" s="159">
        <f t="shared" si="253"/>
        <v>4.7733120397480011E-2</v>
      </c>
      <c r="U85" s="159">
        <f t="shared" si="253"/>
        <v>-8.7560335337454553E-2</v>
      </c>
      <c r="V85" s="159">
        <f t="shared" si="253"/>
        <v>0.18366589327146188</v>
      </c>
      <c r="W85" s="159">
        <f t="shared" si="253"/>
        <v>0.18551042810098783</v>
      </c>
      <c r="X85" s="159">
        <f t="shared" si="253"/>
        <v>-5.9920634920634819E-2</v>
      </c>
      <c r="Y85" s="159">
        <f t="shared" si="253"/>
        <v>-5.2975939214858547E-2</v>
      </c>
      <c r="Z85" s="159">
        <f t="shared" si="253"/>
        <v>-3.7887229774905551E-3</v>
      </c>
      <c r="AA85" s="159">
        <f t="shared" si="253"/>
        <v>5.7941834451901597E-2</v>
      </c>
      <c r="AB85" s="159">
        <f t="shared" si="253"/>
        <v>-6.428420384859368E-2</v>
      </c>
      <c r="AC85" s="159">
        <f t="shared" si="253"/>
        <v>0.20399246704331442</v>
      </c>
      <c r="AD85" s="159">
        <f t="shared" si="253"/>
        <v>0.49327410373521885</v>
      </c>
      <c r="AE85" s="159">
        <f t="shared" si="253"/>
        <v>5.5725478694430564E-3</v>
      </c>
      <c r="AF85" s="159">
        <f t="shared" si="253"/>
        <v>0</v>
      </c>
      <c r="AG85" s="42"/>
      <c r="AH85" s="159"/>
      <c r="AI85" s="159">
        <f t="shared" ref="AI85:BU85" si="254">AI14/AH14-1</f>
        <v>-5.2694557702534839E-2</v>
      </c>
      <c r="AJ85" s="159">
        <f t="shared" si="254"/>
        <v>-0.17983625730994157</v>
      </c>
      <c r="AK85" s="159">
        <f t="shared" si="254"/>
        <v>-5.4218241971364489E-2</v>
      </c>
      <c r="AL85" s="159">
        <f t="shared" si="254"/>
        <v>0.16124362956485006</v>
      </c>
      <c r="AM85" s="159">
        <f t="shared" si="254"/>
        <v>9.0215020255530964E-2</v>
      </c>
      <c r="AN85" s="159">
        <f t="shared" si="254"/>
        <v>-0.2646372254775855</v>
      </c>
      <c r="AO85" s="159">
        <f t="shared" si="254"/>
        <v>-0.1350090697071793</v>
      </c>
      <c r="AP85" s="159">
        <f t="shared" si="254"/>
        <v>0.15776662672259012</v>
      </c>
      <c r="AQ85" s="159">
        <f t="shared" si="254"/>
        <v>-9.6063654300223789E-2</v>
      </c>
      <c r="AR85" s="159">
        <f t="shared" si="254"/>
        <v>-7.2351236268651142E-2</v>
      </c>
      <c r="AS85" s="159">
        <f t="shared" si="254"/>
        <v>-0.74923818707810974</v>
      </c>
      <c r="AT85" s="159">
        <f t="shared" si="254"/>
        <v>3.6615905245346845</v>
      </c>
      <c r="AU85" s="159">
        <f t="shared" si="254"/>
        <v>0.12978056426332252</v>
      </c>
      <c r="AV85" s="159">
        <f t="shared" si="254"/>
        <v>0.11533968105613646</v>
      </c>
      <c r="AW85" s="159">
        <f t="shared" si="254"/>
        <v>6.6121978683846283E-2</v>
      </c>
      <c r="AX85" s="159">
        <f t="shared" si="254"/>
        <v>0.26498329730791803</v>
      </c>
      <c r="AY85" s="159">
        <f t="shared" si="254"/>
        <v>9.7611650485436963E-2</v>
      </c>
      <c r="AZ85" s="159">
        <f t="shared" si="254"/>
        <v>-0.30323562191519104</v>
      </c>
      <c r="BA85" s="159">
        <f t="shared" si="254"/>
        <v>6.7993703346368006E-2</v>
      </c>
      <c r="BB85" s="159">
        <f t="shared" si="254"/>
        <v>0.19774629136553701</v>
      </c>
      <c r="BC85" s="159">
        <f t="shared" si="254"/>
        <v>-0.27472113056250258</v>
      </c>
      <c r="BD85" s="159">
        <f t="shared" si="254"/>
        <v>3.7711064283954654E-2</v>
      </c>
      <c r="BE85" s="159">
        <f t="shared" si="254"/>
        <v>-0.13025132519317251</v>
      </c>
      <c r="BF85" s="159">
        <f t="shared" si="254"/>
        <v>0.22668283808368406</v>
      </c>
      <c r="BG85" s="159">
        <f t="shared" si="254"/>
        <v>-0.22174708325093873</v>
      </c>
      <c r="BH85" s="159">
        <f t="shared" si="254"/>
        <v>0.22029537875178584</v>
      </c>
      <c r="BI85" s="159">
        <f t="shared" si="254"/>
        <v>0.22612633715936648</v>
      </c>
      <c r="BJ85" s="159">
        <f t="shared" si="254"/>
        <v>6.6993568108004276E-2</v>
      </c>
      <c r="BK85" s="159">
        <f t="shared" si="254"/>
        <v>7.3609867701184051E-2</v>
      </c>
      <c r="BL85" s="159">
        <f t="shared" si="254"/>
        <v>0.16225331233206708</v>
      </c>
      <c r="BM85" s="159">
        <f t="shared" si="254"/>
        <v>0.24428819693563519</v>
      </c>
      <c r="BN85" s="159">
        <f t="shared" si="254"/>
        <v>0.12530271773253232</v>
      </c>
      <c r="BO85" s="159">
        <f t="shared" si="254"/>
        <v>0.2509280134818157</v>
      </c>
      <c r="BP85" s="159">
        <f t="shared" si="254"/>
        <v>-0.2898988703702019</v>
      </c>
      <c r="BQ85" s="159">
        <f t="shared" si="254"/>
        <v>-0.99935906474727987</v>
      </c>
      <c r="BR85" s="159">
        <f t="shared" si="254"/>
        <v>42.340000000039453</v>
      </c>
      <c r="BS85" s="159">
        <f t="shared" si="254"/>
        <v>-0.37886479003230145</v>
      </c>
      <c r="BT85" s="159">
        <f t="shared" si="254"/>
        <v>0.51931649331352925</v>
      </c>
      <c r="BU85" s="159">
        <f t="shared" si="254"/>
        <v>-8.264058679707087E-2</v>
      </c>
      <c r="BV85" s="159">
        <f t="shared" ref="BV85:DA85" si="255">BV14/BU14-1</f>
        <v>0.18923240938166486</v>
      </c>
      <c r="BW85" s="159">
        <f t="shared" si="255"/>
        <v>0.12819363514118609</v>
      </c>
      <c r="BX85" s="159">
        <f t="shared" si="255"/>
        <v>-0.22924116011124318</v>
      </c>
      <c r="BY85" s="159">
        <f t="shared" si="255"/>
        <v>1.1675257731958708</v>
      </c>
      <c r="BZ85" s="159">
        <f t="shared" si="255"/>
        <v>-0.36337693222354095</v>
      </c>
      <c r="CA85" s="159">
        <f t="shared" si="255"/>
        <v>-4.3332088158386295E-2</v>
      </c>
      <c r="CB85" s="159">
        <f t="shared" si="255"/>
        <v>-6.5208902772354471E-2</v>
      </c>
      <c r="CC85" s="159">
        <f t="shared" si="255"/>
        <v>-4.5948203842941515E-3</v>
      </c>
      <c r="CD85" s="159">
        <f t="shared" si="255"/>
        <v>0.1179185900125892</v>
      </c>
      <c r="CE85" s="159">
        <f t="shared" si="255"/>
        <v>-2.1021021021020991E-2</v>
      </c>
      <c r="CF85" s="159">
        <f t="shared" si="255"/>
        <v>4.7546012269938709E-2</v>
      </c>
      <c r="CG85" s="159">
        <f t="shared" si="255"/>
        <v>-1.7569546120058566E-2</v>
      </c>
      <c r="CH85" s="159">
        <f t="shared" si="255"/>
        <v>6.4456035767511244E-2</v>
      </c>
      <c r="CI85" s="159">
        <f t="shared" si="255"/>
        <v>-0.18025901295064761</v>
      </c>
      <c r="CJ85" s="159">
        <f t="shared" si="255"/>
        <v>8.1554227156276582E-2</v>
      </c>
      <c r="CK85" s="159">
        <f t="shared" si="255"/>
        <v>4.5005921831819951E-2</v>
      </c>
      <c r="CL85" s="159">
        <f t="shared" si="255"/>
        <v>9.5202115602569082E-2</v>
      </c>
      <c r="CM85" s="159">
        <f t="shared" si="255"/>
        <v>-5.5536391859261847E-2</v>
      </c>
      <c r="CN85" s="159">
        <f t="shared" si="255"/>
        <v>1.4243973703433221E-2</v>
      </c>
      <c r="CO85" s="159">
        <f t="shared" si="255"/>
        <v>2.8808066258552367E-2</v>
      </c>
      <c r="CP85" s="159">
        <f t="shared" si="255"/>
        <v>9.765488274413725E-2</v>
      </c>
      <c r="CQ85" s="159">
        <f t="shared" si="255"/>
        <v>-9.5982142857142905E-2</v>
      </c>
      <c r="CR85" s="159">
        <f t="shared" si="255"/>
        <v>1.5520282186948897E-2</v>
      </c>
      <c r="CS85" s="159">
        <f t="shared" si="255"/>
        <v>2.7787426189649134E-2</v>
      </c>
      <c r="CT85" s="159">
        <f t="shared" si="255"/>
        <v>-2.5346400811084857E-2</v>
      </c>
      <c r="CU85" s="159">
        <f t="shared" si="255"/>
        <v>-8.9459084604715633E-2</v>
      </c>
      <c r="CV85" s="159">
        <f t="shared" si="255"/>
        <v>-4.2650418888042663E-2</v>
      </c>
      <c r="CW85" s="159">
        <f t="shared" si="255"/>
        <v>9.427207637231505E-2</v>
      </c>
      <c r="CX85" s="159">
        <f t="shared" si="255"/>
        <v>0.12177390039985458</v>
      </c>
      <c r="CY85" s="159">
        <f t="shared" si="255"/>
        <v>-7.9714841218405663E-2</v>
      </c>
      <c r="CZ85" s="159">
        <f t="shared" si="255"/>
        <v>0.1334507042253521</v>
      </c>
      <c r="DA85" s="159">
        <f t="shared" si="255"/>
        <v>0.12115563839701782</v>
      </c>
      <c r="DB85" s="159">
        <f t="shared" ref="DB85:ED85" si="256">DB14/DA14-1</f>
        <v>0.10917151565530614</v>
      </c>
      <c r="DC85" s="159">
        <f t="shared" si="256"/>
        <v>-8.1438920809392967E-2</v>
      </c>
      <c r="DD85" s="159">
        <f t="shared" si="256"/>
        <v>0.11585531683437567</v>
      </c>
      <c r="DE85" s="159">
        <f t="shared" si="256"/>
        <v>-0.18669266390446004</v>
      </c>
      <c r="DF85" s="159">
        <f t="shared" si="256"/>
        <v>-1.6481869943062666E-2</v>
      </c>
      <c r="DG85" s="159">
        <f t="shared" si="256"/>
        <v>0.11791590493601456</v>
      </c>
      <c r="DH85" s="159">
        <f t="shared" si="256"/>
        <v>6.2959934587080824E-2</v>
      </c>
      <c r="DI85" s="159">
        <f t="shared" si="256"/>
        <v>-0.13769230769230767</v>
      </c>
      <c r="DJ85" s="159">
        <f t="shared" si="256"/>
        <v>5.768658935474269E-2</v>
      </c>
      <c r="DK85" s="159">
        <f t="shared" si="256"/>
        <v>-0.18414394152375591</v>
      </c>
      <c r="DL85" s="159">
        <f t="shared" si="256"/>
        <v>0.22122674017918675</v>
      </c>
      <c r="DM85" s="159">
        <f t="shared" si="256"/>
        <v>-2.4266365688487501E-2</v>
      </c>
      <c r="DN85" s="159">
        <f t="shared" si="256"/>
        <v>-0.10844418739155581</v>
      </c>
      <c r="DO85" s="159">
        <f t="shared" si="256"/>
        <v>-8.2062925721699709E-2</v>
      </c>
      <c r="DP85" s="159">
        <f t="shared" si="256"/>
        <v>0.40883392226148407</v>
      </c>
      <c r="DQ85" s="159">
        <f t="shared" si="256"/>
        <v>-0.11963882618510169</v>
      </c>
      <c r="DR85" s="159">
        <f t="shared" si="256"/>
        <v>0.19088319088319095</v>
      </c>
      <c r="DS85" s="159">
        <f t="shared" si="256"/>
        <v>-0.10502392344497602</v>
      </c>
      <c r="DT85" s="159">
        <f t="shared" si="256"/>
        <v>-0.14247527399091153</v>
      </c>
      <c r="DU85" s="159">
        <f t="shared" si="256"/>
        <v>-4.6758104738154671E-2</v>
      </c>
      <c r="DV85" s="159">
        <f t="shared" si="256"/>
        <v>0.29758011772400272</v>
      </c>
      <c r="DW85" s="159">
        <f t="shared" si="256"/>
        <v>-0.18573588709677424</v>
      </c>
      <c r="DX85" s="159">
        <f t="shared" si="256"/>
        <v>-7.6756422160321858E-2</v>
      </c>
      <c r="DY85" s="159">
        <f t="shared" si="256"/>
        <v>3.6875628561850338E-2</v>
      </c>
      <c r="DZ85" s="159">
        <f t="shared" si="256"/>
        <v>5.8195926285160571E-3</v>
      </c>
      <c r="EA85" s="159">
        <f t="shared" si="256"/>
        <v>6.8466730954676924E-2</v>
      </c>
      <c r="EB85" s="159">
        <f t="shared" si="256"/>
        <v>0.28219013237063773</v>
      </c>
      <c r="EC85" s="159">
        <f t="shared" si="256"/>
        <v>0.24026278742374485</v>
      </c>
      <c r="ED85" s="159">
        <f t="shared" si="256"/>
        <v>0.10991297767688235</v>
      </c>
      <c r="EE85" s="287">
        <v>0</v>
      </c>
      <c r="EF85" s="287">
        <v>0</v>
      </c>
      <c r="EG85" s="287">
        <v>0</v>
      </c>
      <c r="EH85" s="287">
        <v>0</v>
      </c>
      <c r="EI85" s="287">
        <v>0</v>
      </c>
      <c r="EJ85" s="287">
        <v>0</v>
      </c>
      <c r="EK85" s="287">
        <v>0</v>
      </c>
      <c r="EL85" s="287">
        <v>0</v>
      </c>
      <c r="EM85" s="287">
        <v>0</v>
      </c>
      <c r="EN85" s="287">
        <v>0</v>
      </c>
      <c r="EO85" s="287">
        <v>0</v>
      </c>
      <c r="EP85" s="287">
        <v>0</v>
      </c>
      <c r="EQ85" s="5"/>
      <c r="ER85" s="5"/>
      <c r="ES85" s="355">
        <f t="shared" si="201"/>
        <v>80</v>
      </c>
      <c r="ET85"/>
      <c r="EU85"/>
      <c r="EV85"/>
      <c r="EW85"/>
      <c r="EX85"/>
      <c r="EY85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</row>
    <row r="86" spans="1:257" s="278" customFormat="1" hidden="1" outlineLevel="2">
      <c r="A86" s="280"/>
      <c r="B86" s="286" t="s">
        <v>154</v>
      </c>
      <c r="C86" s="285"/>
      <c r="D86" s="285"/>
      <c r="E86" s="283"/>
      <c r="F86" s="283"/>
      <c r="G86" s="283"/>
      <c r="H86" s="283"/>
      <c r="I86" s="283"/>
      <c r="J86" s="283"/>
      <c r="K86" s="283"/>
      <c r="L86" s="283"/>
      <c r="M86" s="283"/>
      <c r="N86" s="283">
        <f t="shared" ref="N86:AF86" si="257">N29/N15</f>
        <v>0.28788064058816115</v>
      </c>
      <c r="O86" s="283">
        <f t="shared" si="257"/>
        <v>0.31891211063388591</v>
      </c>
      <c r="P86" s="283">
        <f t="shared" si="257"/>
        <v>0.29087217514124297</v>
      </c>
      <c r="Q86" s="283">
        <f t="shared" si="257"/>
        <v>0.39526005150326088</v>
      </c>
      <c r="R86" s="283">
        <f t="shared" si="257"/>
        <v>0.45986611833806462</v>
      </c>
      <c r="S86" s="283">
        <f t="shared" si="257"/>
        <v>0.47089880207994544</v>
      </c>
      <c r="T86" s="283">
        <f t="shared" si="257"/>
        <v>0.46641637323641094</v>
      </c>
      <c r="U86" s="283">
        <f t="shared" si="257"/>
        <v>0.46592518207132066</v>
      </c>
      <c r="V86" s="283">
        <f t="shared" si="257"/>
        <v>0.42648342720078392</v>
      </c>
      <c r="W86" s="283">
        <f t="shared" si="257"/>
        <v>0.438251751055665</v>
      </c>
      <c r="X86" s="283">
        <f t="shared" si="257"/>
        <v>0.44460026359523858</v>
      </c>
      <c r="Y86" s="283">
        <f t="shared" si="257"/>
        <v>0.45040873589927582</v>
      </c>
      <c r="Z86" s="283">
        <f t="shared" si="257"/>
        <v>0.45821629547172199</v>
      </c>
      <c r="AA86" s="283">
        <f t="shared" si="257"/>
        <v>0.42105236788043598</v>
      </c>
      <c r="AB86" s="283">
        <f t="shared" si="257"/>
        <v>0.38788858821344591</v>
      </c>
      <c r="AC86" s="283">
        <f t="shared" si="257"/>
        <v>0.29339291225099523</v>
      </c>
      <c r="AD86" s="283">
        <f t="shared" si="257"/>
        <v>0.33509556161115756</v>
      </c>
      <c r="AE86" s="283">
        <f t="shared" si="257"/>
        <v>0.37409192293214211</v>
      </c>
      <c r="AF86" s="283">
        <f t="shared" si="257"/>
        <v>0.37511297765748519</v>
      </c>
      <c r="AG86" s="284"/>
      <c r="AH86" s="283">
        <f t="shared" ref="AH86:BM86" si="258">AH29/AH15</f>
        <v>0.3918652033699157</v>
      </c>
      <c r="AI86" s="283">
        <f t="shared" si="258"/>
        <v>0.38211582251215459</v>
      </c>
      <c r="AJ86" s="283">
        <f t="shared" si="258"/>
        <v>0.35584992024412238</v>
      </c>
      <c r="AK86" s="283">
        <f t="shared" si="258"/>
        <v>0.31828622515645438</v>
      </c>
      <c r="AL86" s="283">
        <f t="shared" si="258"/>
        <v>0.37365458062596102</v>
      </c>
      <c r="AM86" s="283">
        <f t="shared" si="258"/>
        <v>0.34646070473256979</v>
      </c>
      <c r="AN86" s="283">
        <f t="shared" si="258"/>
        <v>0.32575403623526977</v>
      </c>
      <c r="AO86" s="283">
        <f t="shared" si="258"/>
        <v>0.30667700876111004</v>
      </c>
      <c r="AP86" s="283">
        <f t="shared" si="258"/>
        <v>0.34761631977595325</v>
      </c>
      <c r="AQ86" s="283">
        <f t="shared" si="258"/>
        <v>0.36811677988148572</v>
      </c>
      <c r="AR86" s="283">
        <f t="shared" si="258"/>
        <v>0.34925994267991045</v>
      </c>
      <c r="AS86" s="283">
        <f t="shared" si="258"/>
        <v>0.39146269946603268</v>
      </c>
      <c r="AT86" s="283">
        <f t="shared" si="258"/>
        <v>0.38960577584231038</v>
      </c>
      <c r="AU86" s="283">
        <f t="shared" si="258"/>
        <v>0.41560626550670315</v>
      </c>
      <c r="AV86" s="283">
        <f t="shared" si="258"/>
        <v>0.429961284628192</v>
      </c>
      <c r="AW86" s="283">
        <f t="shared" si="258"/>
        <v>0.393939962476548</v>
      </c>
      <c r="AX86" s="283">
        <f t="shared" si="258"/>
        <v>0.45256412453095285</v>
      </c>
      <c r="AY86" s="283">
        <f t="shared" si="258"/>
        <v>0.46160904773921224</v>
      </c>
      <c r="AZ86" s="283">
        <f t="shared" si="258"/>
        <v>0.45473926541993953</v>
      </c>
      <c r="BA86" s="283">
        <f t="shared" si="258"/>
        <v>0.45026556506344084</v>
      </c>
      <c r="BB86" s="283">
        <f t="shared" si="258"/>
        <v>0.46923226379482624</v>
      </c>
      <c r="BC86" s="283">
        <f t="shared" si="258"/>
        <v>0.42209313885614463</v>
      </c>
      <c r="BD86" s="283">
        <f t="shared" si="258"/>
        <v>0.40237293862327972</v>
      </c>
      <c r="BE86" s="283">
        <f t="shared" si="258"/>
        <v>0.37194926926064509</v>
      </c>
      <c r="BF86" s="283">
        <f t="shared" si="258"/>
        <v>0.39225922339634289</v>
      </c>
      <c r="BG86" s="283">
        <f t="shared" si="258"/>
        <v>0.37490424689370433</v>
      </c>
      <c r="BH86" s="283">
        <f t="shared" si="258"/>
        <v>0.42848302960923229</v>
      </c>
      <c r="BI86" s="283">
        <f t="shared" si="258"/>
        <v>0.42213773160544099</v>
      </c>
      <c r="BJ86" s="283">
        <f t="shared" si="258"/>
        <v>0.43268932053197623</v>
      </c>
      <c r="BK86" s="283">
        <f t="shared" si="258"/>
        <v>0.46010795701684959</v>
      </c>
      <c r="BL86" s="283">
        <f t="shared" si="258"/>
        <v>0.48501602564102564</v>
      </c>
      <c r="BM86" s="283">
        <f t="shared" si="258"/>
        <v>0.4975075750171048</v>
      </c>
      <c r="BN86" s="283">
        <f t="shared" ref="BN86:CS86" si="259">BN29/BN15</f>
        <v>0.50436368235765328</v>
      </c>
      <c r="BO86" s="283">
        <f t="shared" si="259"/>
        <v>0.51065959226202717</v>
      </c>
      <c r="BP86" s="283">
        <f t="shared" si="259"/>
        <v>0.47726192884326796</v>
      </c>
      <c r="BQ86" s="283">
        <f t="shared" si="259"/>
        <v>0.47061073917201801</v>
      </c>
      <c r="BR86" s="283">
        <f t="shared" si="259"/>
        <v>0.32546852205139715</v>
      </c>
      <c r="BS86" s="283">
        <f t="shared" si="259"/>
        <v>0.25485414628180036</v>
      </c>
      <c r="BT86" s="283">
        <f t="shared" si="259"/>
        <v>0.26793944424680816</v>
      </c>
      <c r="BU86" s="283">
        <f t="shared" si="259"/>
        <v>0.29989393313739304</v>
      </c>
      <c r="BV86" s="283">
        <f t="shared" si="259"/>
        <v>0.27952783901016859</v>
      </c>
      <c r="BW86" s="283">
        <f t="shared" si="259"/>
        <v>0.30373269354928706</v>
      </c>
      <c r="BX86" s="283">
        <f t="shared" si="259"/>
        <v>0.35028889881584441</v>
      </c>
      <c r="BY86" s="283">
        <f t="shared" si="259"/>
        <v>0.33435229454504384</v>
      </c>
      <c r="BZ86" s="283">
        <f t="shared" si="259"/>
        <v>0.30156472261735412</v>
      </c>
      <c r="CA86" s="283">
        <f t="shared" si="259"/>
        <v>0.26620707014207406</v>
      </c>
      <c r="CB86" s="283">
        <f t="shared" si="259"/>
        <v>0.28525096315956966</v>
      </c>
      <c r="CC86" s="283">
        <f t="shared" si="259"/>
        <v>0.30868298510373754</v>
      </c>
      <c r="CD86" s="283">
        <f t="shared" si="259"/>
        <v>0.36310604022235077</v>
      </c>
      <c r="CE86" s="283">
        <f t="shared" si="259"/>
        <v>0.3835481261795633</v>
      </c>
      <c r="CF86" s="283">
        <f t="shared" si="259"/>
        <v>0.41428344110286569</v>
      </c>
      <c r="CG86" s="283">
        <f t="shared" si="259"/>
        <v>0.41174049140259861</v>
      </c>
      <c r="CH86" s="283">
        <f t="shared" si="259"/>
        <v>0.44948079001362634</v>
      </c>
      <c r="CI86" s="283">
        <f t="shared" si="259"/>
        <v>0.46085341952343284</v>
      </c>
      <c r="CJ86" s="283">
        <f t="shared" si="259"/>
        <v>0.47019662534865986</v>
      </c>
      <c r="CK86" s="283">
        <f t="shared" si="259"/>
        <v>0.45725043826766526</v>
      </c>
      <c r="CL86" s="283">
        <f t="shared" si="259"/>
        <v>0.48377971992681135</v>
      </c>
      <c r="CM86" s="283">
        <f t="shared" si="259"/>
        <v>0.46459939442094184</v>
      </c>
      <c r="CN86" s="283">
        <f t="shared" si="259"/>
        <v>0.45635144822609502</v>
      </c>
      <c r="CO86" s="283">
        <f t="shared" si="259"/>
        <v>0.47868167467276596</v>
      </c>
      <c r="CP86" s="283">
        <f t="shared" si="259"/>
        <v>0.48365643811738646</v>
      </c>
      <c r="CQ86" s="283">
        <f t="shared" si="259"/>
        <v>0.46382092879884462</v>
      </c>
      <c r="CR86" s="283">
        <f t="shared" si="259"/>
        <v>0.47529362681022824</v>
      </c>
      <c r="CS86" s="283">
        <f t="shared" si="259"/>
        <v>0.44708841069076038</v>
      </c>
      <c r="CT86" s="283">
        <f t="shared" ref="CT86:DY86" si="260">CT29/CT15</f>
        <v>0.46945751049291873</v>
      </c>
      <c r="CU86" s="283">
        <f t="shared" si="260"/>
        <v>0.49395733230828365</v>
      </c>
      <c r="CV86" s="283">
        <f t="shared" si="260"/>
        <v>0.43177475133263027</v>
      </c>
      <c r="CW86" s="283">
        <f t="shared" si="260"/>
        <v>0.45613541054119494</v>
      </c>
      <c r="CX86" s="283">
        <f t="shared" si="260"/>
        <v>0.46805871304487018</v>
      </c>
      <c r="CY86" s="283">
        <f t="shared" si="260"/>
        <v>0.42729660583319112</v>
      </c>
      <c r="CZ86" s="283">
        <f t="shared" si="260"/>
        <v>0.40920055276964068</v>
      </c>
      <c r="DA86" s="283">
        <f t="shared" si="260"/>
        <v>0.41104950828060122</v>
      </c>
      <c r="DB86" s="283">
        <f t="shared" si="260"/>
        <v>0.44496688763995812</v>
      </c>
      <c r="DC86" s="283">
        <f t="shared" si="260"/>
        <v>0.43739969490706576</v>
      </c>
      <c r="DD86" s="283">
        <f t="shared" si="260"/>
        <v>0.43795247595463394</v>
      </c>
      <c r="DE86" s="283">
        <f t="shared" si="260"/>
        <v>0.43356341981673946</v>
      </c>
      <c r="DF86" s="283">
        <f t="shared" si="260"/>
        <v>0.46623204311290939</v>
      </c>
      <c r="DG86" s="283">
        <f t="shared" si="260"/>
        <v>0.41789808073435475</v>
      </c>
      <c r="DH86" s="283">
        <f t="shared" si="260"/>
        <v>0.43407722756576411</v>
      </c>
      <c r="DI86" s="283">
        <f t="shared" si="260"/>
        <v>0.46068284049493219</v>
      </c>
      <c r="DJ86" s="283">
        <f t="shared" si="260"/>
        <v>0.44720994776052242</v>
      </c>
      <c r="DK86" s="283">
        <f t="shared" si="260"/>
        <v>0.44920429101918269</v>
      </c>
      <c r="DL86" s="283">
        <f t="shared" si="260"/>
        <v>0.46323302749236189</v>
      </c>
      <c r="DM86" s="283">
        <f t="shared" si="260"/>
        <v>0.44207993336606544</v>
      </c>
      <c r="DN86" s="283">
        <f t="shared" si="260"/>
        <v>0.46084970544993636</v>
      </c>
      <c r="DO86" s="283">
        <f t="shared" si="260"/>
        <v>0.46255778292647443</v>
      </c>
      <c r="DP86" s="283">
        <f t="shared" si="260"/>
        <v>0.45883201850251071</v>
      </c>
      <c r="DQ86" s="283">
        <f t="shared" si="260"/>
        <v>0.45133284198173068</v>
      </c>
      <c r="DR86" s="283">
        <f t="shared" si="260"/>
        <v>0.46376640527871432</v>
      </c>
      <c r="DS86" s="283">
        <f t="shared" si="260"/>
        <v>0.42155942937773416</v>
      </c>
      <c r="DT86" s="283">
        <f t="shared" si="260"/>
        <v>0.38860009151891833</v>
      </c>
      <c r="DU86" s="283">
        <f t="shared" si="260"/>
        <v>0.37158114120205227</v>
      </c>
      <c r="DV86" s="283">
        <f t="shared" si="260"/>
        <v>0.4157776485601582</v>
      </c>
      <c r="DW86" s="283">
        <f t="shared" si="260"/>
        <v>0.38680945541397987</v>
      </c>
      <c r="DX86" s="283">
        <f t="shared" si="260"/>
        <v>0.36493950205783554</v>
      </c>
      <c r="DY86" s="283">
        <f t="shared" si="260"/>
        <v>0.36849358157377637</v>
      </c>
      <c r="DZ86" s="283">
        <f t="shared" ref="DZ86:EP86" si="261">DZ29/DZ15</f>
        <v>0.30633968507651316</v>
      </c>
      <c r="EA86" s="283">
        <f t="shared" si="261"/>
        <v>0.25666159841879921</v>
      </c>
      <c r="EB86" s="283">
        <f t="shared" ref="EB86:EC86" si="262">EB29/EB15</f>
        <v>0.30272941176159446</v>
      </c>
      <c r="EC86" s="283">
        <f t="shared" si="262"/>
        <v>0.30391274838325399</v>
      </c>
      <c r="ED86" s="283">
        <f t="shared" ref="ED86" si="263">ED29/ED15</f>
        <v>0.33355263922018596</v>
      </c>
      <c r="EE86" s="283">
        <f t="shared" si="261"/>
        <v>0.32328116702073145</v>
      </c>
      <c r="EF86" s="283">
        <f t="shared" si="261"/>
        <v>0.33062393371158938</v>
      </c>
      <c r="EG86" s="283">
        <f t="shared" si="261"/>
        <v>0.35111037846345405</v>
      </c>
      <c r="EH86" s="283">
        <f t="shared" si="261"/>
        <v>0.36302692122505603</v>
      </c>
      <c r="EI86" s="283">
        <f t="shared" si="261"/>
        <v>0.37744401464727656</v>
      </c>
      <c r="EJ86" s="283">
        <f t="shared" si="261"/>
        <v>0.37806067547913097</v>
      </c>
      <c r="EK86" s="283">
        <f t="shared" si="261"/>
        <v>0.37725379187125435</v>
      </c>
      <c r="EL86" s="283">
        <f t="shared" si="261"/>
        <v>0.37840628964894207</v>
      </c>
      <c r="EM86" s="283">
        <f t="shared" si="261"/>
        <v>0.37600864787161714</v>
      </c>
      <c r="EN86" s="283">
        <f t="shared" si="261"/>
        <v>0.37390575824204314</v>
      </c>
      <c r="EO86" s="283">
        <f t="shared" si="261"/>
        <v>0.37209351977106242</v>
      </c>
      <c r="EP86" s="283">
        <f t="shared" si="261"/>
        <v>0.36996129558619051</v>
      </c>
      <c r="EQ86" s="81"/>
      <c r="ER86" s="81"/>
      <c r="ES86" s="355">
        <f t="shared" si="201"/>
        <v>81</v>
      </c>
      <c r="ET86"/>
      <c r="EU86"/>
      <c r="EV86"/>
      <c r="EW86"/>
      <c r="EX86"/>
      <c r="EY86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</row>
    <row r="87" spans="1:257" s="4" customFormat="1" hidden="1" outlineLevel="2">
      <c r="A87" s="15"/>
      <c r="B87" s="14" t="s">
        <v>192</v>
      </c>
      <c r="C87" s="163"/>
      <c r="D87" s="163"/>
      <c r="E87" s="159"/>
      <c r="F87" s="159"/>
      <c r="G87" s="159"/>
      <c r="H87" s="159"/>
      <c r="I87" s="159"/>
      <c r="J87" s="159"/>
      <c r="K87" s="159"/>
      <c r="L87" s="159"/>
      <c r="M87" s="159"/>
      <c r="N87" s="159">
        <f t="shared" ref="N87:AF87" si="264">N25/N11</f>
        <v>0.5463288056000527</v>
      </c>
      <c r="O87" s="159">
        <f t="shared" si="264"/>
        <v>0.26495202432178927</v>
      </c>
      <c r="P87" s="159">
        <f t="shared" si="264"/>
        <v>0.28853662413479186</v>
      </c>
      <c r="Q87" s="159">
        <f t="shared" si="264"/>
        <v>0.44248792256797759</v>
      </c>
      <c r="R87" s="159">
        <f t="shared" si="264"/>
        <v>0.51888640415312726</v>
      </c>
      <c r="S87" s="159">
        <f t="shared" si="264"/>
        <v>0.4997046697918901</v>
      </c>
      <c r="T87" s="159">
        <f t="shared" si="264"/>
        <v>0.50920275635230783</v>
      </c>
      <c r="U87" s="159">
        <f t="shared" si="264"/>
        <v>0.53968805770890749</v>
      </c>
      <c r="V87" s="159">
        <f t="shared" si="264"/>
        <v>0.45290708993660156</v>
      </c>
      <c r="W87" s="159">
        <f t="shared" si="264"/>
        <v>0.4686399670936745</v>
      </c>
      <c r="X87" s="159">
        <f t="shared" si="264"/>
        <v>0.47433296932022873</v>
      </c>
      <c r="Y87" s="159">
        <f t="shared" si="264"/>
        <v>0.48547809191258073</v>
      </c>
      <c r="Z87" s="159">
        <f t="shared" si="264"/>
        <v>0.48974907152636221</v>
      </c>
      <c r="AA87" s="159">
        <f t="shared" si="264"/>
        <v>0.45937513264185714</v>
      </c>
      <c r="AB87" s="159">
        <f t="shared" si="264"/>
        <v>0.4364692064539436</v>
      </c>
      <c r="AC87" s="159">
        <f t="shared" si="264"/>
        <v>0.30545090737818625</v>
      </c>
      <c r="AD87" s="159">
        <f t="shared" si="264"/>
        <v>0.34656637348033525</v>
      </c>
      <c r="AE87" s="159">
        <f t="shared" si="264"/>
        <v>0.38469734626576407</v>
      </c>
      <c r="AF87" s="159">
        <f t="shared" si="264"/>
        <v>0.38462175599311699</v>
      </c>
      <c r="AG87" s="42"/>
      <c r="AH87" s="159">
        <f t="shared" ref="AH87:BM87" si="265">AH25/AH11</f>
        <v>0</v>
      </c>
      <c r="AI87" s="159">
        <f t="shared" si="265"/>
        <v>0</v>
      </c>
      <c r="AJ87" s="159">
        <f t="shared" si="265"/>
        <v>0</v>
      </c>
      <c r="AK87" s="159">
        <f t="shared" si="265"/>
        <v>0</v>
      </c>
      <c r="AL87" s="159">
        <f t="shared" si="265"/>
        <v>0</v>
      </c>
      <c r="AM87" s="159">
        <f t="shared" si="265"/>
        <v>0</v>
      </c>
      <c r="AN87" s="159">
        <f t="shared" si="265"/>
        <v>0</v>
      </c>
      <c r="AO87" s="159">
        <f t="shared" si="265"/>
        <v>0</v>
      </c>
      <c r="AP87" s="159">
        <f t="shared" si="265"/>
        <v>0</v>
      </c>
      <c r="AQ87" s="159">
        <f t="shared" si="265"/>
        <v>0</v>
      </c>
      <c r="AR87" s="159">
        <f t="shared" si="265"/>
        <v>0</v>
      </c>
      <c r="AS87" s="159">
        <f t="shared" si="265"/>
        <v>0</v>
      </c>
      <c r="AT87" s="159">
        <f t="shared" si="265"/>
        <v>0</v>
      </c>
      <c r="AU87" s="159">
        <f t="shared" si="265"/>
        <v>0</v>
      </c>
      <c r="AV87" s="159">
        <f t="shared" si="265"/>
        <v>0</v>
      </c>
      <c r="AW87" s="159">
        <f t="shared" si="265"/>
        <v>0</v>
      </c>
      <c r="AX87" s="159">
        <f t="shared" si="265"/>
        <v>0</v>
      </c>
      <c r="AY87" s="159">
        <f t="shared" si="265"/>
        <v>0</v>
      </c>
      <c r="AZ87" s="159">
        <f t="shared" si="265"/>
        <v>0</v>
      </c>
      <c r="BA87" s="159">
        <f t="shared" si="265"/>
        <v>0</v>
      </c>
      <c r="BB87" s="159">
        <f t="shared" si="265"/>
        <v>0</v>
      </c>
      <c r="BC87" s="159">
        <f t="shared" si="265"/>
        <v>0</v>
      </c>
      <c r="BD87" s="159">
        <f t="shared" si="265"/>
        <v>0</v>
      </c>
      <c r="BE87" s="159">
        <f t="shared" si="265"/>
        <v>0</v>
      </c>
      <c r="BF87" s="159">
        <f t="shared" si="265"/>
        <v>0</v>
      </c>
      <c r="BG87" s="159">
        <f t="shared" si="265"/>
        <v>0</v>
      </c>
      <c r="BH87" s="159">
        <f t="shared" si="265"/>
        <v>0</v>
      </c>
      <c r="BI87" s="159">
        <f t="shared" si="265"/>
        <v>0</v>
      </c>
      <c r="BJ87" s="159">
        <f t="shared" si="265"/>
        <v>0</v>
      </c>
      <c r="BK87" s="159">
        <f t="shared" si="265"/>
        <v>0</v>
      </c>
      <c r="BL87" s="159">
        <f t="shared" si="265"/>
        <v>0</v>
      </c>
      <c r="BM87" s="159">
        <f t="shared" si="265"/>
        <v>0</v>
      </c>
      <c r="BN87" s="159">
        <f t="shared" ref="BN87:CS87" si="266">BN25/BN11</f>
        <v>0</v>
      </c>
      <c r="BO87" s="159">
        <f t="shared" si="266"/>
        <v>0</v>
      </c>
      <c r="BP87" s="159">
        <f t="shared" si="266"/>
        <v>0</v>
      </c>
      <c r="BQ87" s="159">
        <f t="shared" si="266"/>
        <v>0</v>
      </c>
      <c r="BR87" s="159">
        <f t="shared" si="266"/>
        <v>0</v>
      </c>
      <c r="BS87" s="159">
        <f t="shared" si="266"/>
        <v>1</v>
      </c>
      <c r="BT87" s="159">
        <f t="shared" si="266"/>
        <v>1</v>
      </c>
      <c r="BU87" s="159">
        <f t="shared" si="266"/>
        <v>0.25337175599376743</v>
      </c>
      <c r="BV87" s="159">
        <f t="shared" si="266"/>
        <v>0.22327992140655165</v>
      </c>
      <c r="BW87" s="159">
        <f t="shared" si="266"/>
        <v>0.24882284596098578</v>
      </c>
      <c r="BX87" s="159">
        <f t="shared" si="266"/>
        <v>0.29322221621913669</v>
      </c>
      <c r="BY87" s="159">
        <f t="shared" si="266"/>
        <v>0.28378825804230073</v>
      </c>
      <c r="BZ87" s="159">
        <f t="shared" si="266"/>
        <v>0.28616230499245998</v>
      </c>
      <c r="CA87" s="159">
        <f t="shared" si="266"/>
        <v>0.26109097081610638</v>
      </c>
      <c r="CB87" s="159">
        <f t="shared" si="266"/>
        <v>0.29097684923771877</v>
      </c>
      <c r="CC87" s="159">
        <f t="shared" si="266"/>
        <v>0.31077907151066925</v>
      </c>
      <c r="CD87" s="159">
        <f t="shared" si="266"/>
        <v>0.38658094296076501</v>
      </c>
      <c r="CE87" s="159">
        <f t="shared" si="266"/>
        <v>0.43056849191953861</v>
      </c>
      <c r="CF87" s="159">
        <f t="shared" si="266"/>
        <v>0.46194492502883511</v>
      </c>
      <c r="CG87" s="159">
        <f t="shared" si="266"/>
        <v>0.4734038834334382</v>
      </c>
      <c r="CH87" s="159">
        <f t="shared" si="266"/>
        <v>0.51251490558829316</v>
      </c>
      <c r="CI87" s="159">
        <f t="shared" si="266"/>
        <v>0.52469690398000701</v>
      </c>
      <c r="CJ87" s="159">
        <f t="shared" si="266"/>
        <v>0.52484362201206347</v>
      </c>
      <c r="CK87" s="159">
        <f t="shared" si="266"/>
        <v>0.51362117396357998</v>
      </c>
      <c r="CL87" s="159">
        <f t="shared" si="266"/>
        <v>0.52813264171915519</v>
      </c>
      <c r="CM87" s="159">
        <f t="shared" si="266"/>
        <v>0.50807557264671455</v>
      </c>
      <c r="CN87" s="159">
        <f t="shared" si="266"/>
        <v>0.48022825965194355</v>
      </c>
      <c r="CO87" s="159">
        <f t="shared" si="266"/>
        <v>0.48762774633946754</v>
      </c>
      <c r="CP87" s="159">
        <f t="shared" si="266"/>
        <v>0.52375130881016219</v>
      </c>
      <c r="CQ87" s="159">
        <f t="shared" si="266"/>
        <v>0.50239416530007142</v>
      </c>
      <c r="CR87" s="159">
        <f t="shared" si="266"/>
        <v>0.52069277992622942</v>
      </c>
      <c r="CS87" s="159">
        <f t="shared" si="266"/>
        <v>0.49303345405326304</v>
      </c>
      <c r="CT87" s="159">
        <f t="shared" ref="CT87:DY87" si="267">CT25/CT11</f>
        <v>0.50904032794336751</v>
      </c>
      <c r="CU87" s="159">
        <f t="shared" si="267"/>
        <v>0.58497662322623611</v>
      </c>
      <c r="CV87" s="159">
        <f t="shared" si="267"/>
        <v>0.5288215669469255</v>
      </c>
      <c r="CW87" s="159">
        <f t="shared" si="267"/>
        <v>0.53544936972291601</v>
      </c>
      <c r="CX87" s="159">
        <f t="shared" si="267"/>
        <v>0.51466136268763008</v>
      </c>
      <c r="CY87" s="159">
        <f t="shared" si="267"/>
        <v>0.45621827215593685</v>
      </c>
      <c r="CZ87" s="159">
        <f t="shared" si="267"/>
        <v>0.43674878538593798</v>
      </c>
      <c r="DA87" s="159">
        <f t="shared" si="267"/>
        <v>0.42366708104165612</v>
      </c>
      <c r="DB87" s="159">
        <f t="shared" si="267"/>
        <v>0.47099731973205705</v>
      </c>
      <c r="DC87" s="159">
        <f t="shared" si="267"/>
        <v>0.47355078825896796</v>
      </c>
      <c r="DD87" s="159">
        <f t="shared" si="267"/>
        <v>0.47024131768056188</v>
      </c>
      <c r="DE87" s="159">
        <f t="shared" si="267"/>
        <v>0.46113246125133522</v>
      </c>
      <c r="DF87" s="159">
        <f t="shared" si="267"/>
        <v>0.49446970518583511</v>
      </c>
      <c r="DG87" s="159">
        <f t="shared" si="267"/>
        <v>0.44915634999180326</v>
      </c>
      <c r="DH87" s="159">
        <f t="shared" si="267"/>
        <v>0.45893382155277546</v>
      </c>
      <c r="DI87" s="159">
        <f t="shared" si="267"/>
        <v>0.49595601246428606</v>
      </c>
      <c r="DJ87" s="159">
        <f t="shared" si="267"/>
        <v>0.48124649799577607</v>
      </c>
      <c r="DK87" s="159">
        <f t="shared" si="267"/>
        <v>0.48349885520117836</v>
      </c>
      <c r="DL87" s="159">
        <f t="shared" si="267"/>
        <v>0.49864619382135505</v>
      </c>
      <c r="DM87" s="159">
        <f t="shared" si="267"/>
        <v>0.47844930692364807</v>
      </c>
      <c r="DN87" s="159">
        <f t="shared" si="267"/>
        <v>0.49127161718084039</v>
      </c>
      <c r="DO87" s="159">
        <f t="shared" si="267"/>
        <v>0.48995471770350413</v>
      </c>
      <c r="DP87" s="159">
        <f t="shared" si="267"/>
        <v>0.49021475072886117</v>
      </c>
      <c r="DQ87" s="159">
        <f t="shared" si="267"/>
        <v>0.48777738683102612</v>
      </c>
      <c r="DR87" s="159">
        <f t="shared" si="267"/>
        <v>0.49123173253583718</v>
      </c>
      <c r="DS87" s="159">
        <f t="shared" si="267"/>
        <v>0.45558666704133777</v>
      </c>
      <c r="DT87" s="159">
        <f t="shared" si="267"/>
        <v>0.42442187561638539</v>
      </c>
      <c r="DU87" s="159">
        <f t="shared" si="267"/>
        <v>0.43216889101214584</v>
      </c>
      <c r="DV87" s="159">
        <f t="shared" si="267"/>
        <v>0.46751853845232511</v>
      </c>
      <c r="DW87" s="159">
        <f t="shared" si="267"/>
        <v>0.42596704154660109</v>
      </c>
      <c r="DX87" s="159">
        <f t="shared" si="267"/>
        <v>0.41269877299241076</v>
      </c>
      <c r="DY87" s="159">
        <f t="shared" si="267"/>
        <v>0.42257814061282734</v>
      </c>
      <c r="DZ87" s="159">
        <f t="shared" ref="DZ87:EP87" si="268">DZ25/DZ11</f>
        <v>0.33596325558693957</v>
      </c>
      <c r="EA87" s="159">
        <f t="shared" si="268"/>
        <v>0.26693247401602399</v>
      </c>
      <c r="EB87" s="159">
        <f t="shared" ref="EB87:EC87" si="269">EB25/EB11</f>
        <v>0.30722316731727412</v>
      </c>
      <c r="EC87" s="159">
        <f t="shared" si="269"/>
        <v>0.31472501126992619</v>
      </c>
      <c r="ED87" s="159">
        <f t="shared" ref="ED87" si="270">ED25/ED11</f>
        <v>0.34611046338397222</v>
      </c>
      <c r="EE87" s="159">
        <f t="shared" si="268"/>
        <v>0.3345843092326255</v>
      </c>
      <c r="EF87" s="159">
        <f t="shared" si="268"/>
        <v>0.3415768848370267</v>
      </c>
      <c r="EG87" s="159">
        <f t="shared" si="268"/>
        <v>0.3621997393556789</v>
      </c>
      <c r="EH87" s="159">
        <f t="shared" si="268"/>
        <v>0.37416275510386976</v>
      </c>
      <c r="EI87" s="159">
        <f t="shared" si="268"/>
        <v>0.38898906161486368</v>
      </c>
      <c r="EJ87" s="159">
        <f t="shared" si="268"/>
        <v>0.38799749674735257</v>
      </c>
      <c r="EK87" s="159">
        <f t="shared" si="268"/>
        <v>0.38718384297884206</v>
      </c>
      <c r="EL87" s="159">
        <f t="shared" si="268"/>
        <v>0.38855132033990214</v>
      </c>
      <c r="EM87" s="159">
        <f t="shared" si="268"/>
        <v>0.38570213303293421</v>
      </c>
      <c r="EN87" s="159">
        <f t="shared" si="268"/>
        <v>0.38318410300812977</v>
      </c>
      <c r="EO87" s="159">
        <f t="shared" si="268"/>
        <v>0.38099439597053869</v>
      </c>
      <c r="EP87" s="159">
        <f t="shared" si="268"/>
        <v>0.37843373995586815</v>
      </c>
      <c r="EQ87" s="5"/>
      <c r="ER87" s="5"/>
      <c r="ES87" s="355">
        <f t="shared" si="201"/>
        <v>82</v>
      </c>
      <c r="ET87"/>
      <c r="EU87"/>
      <c r="EV87"/>
      <c r="EW87"/>
      <c r="EX87"/>
      <c r="EY87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</row>
    <row r="88" spans="1:257" s="4" customFormat="1" hidden="1" outlineLevel="2">
      <c r="A88" s="15"/>
      <c r="B88" s="14" t="s">
        <v>177</v>
      </c>
      <c r="C88" s="163"/>
      <c r="D88" s="163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>
        <f t="shared" ref="O88:AF88" si="271">O26/O12</f>
        <v>0.46206706737812192</v>
      </c>
      <c r="P88" s="159">
        <f t="shared" si="271"/>
        <v>0.37098459127709593</v>
      </c>
      <c r="Q88" s="159">
        <f t="shared" si="271"/>
        <v>0.3784105227211173</v>
      </c>
      <c r="R88" s="159">
        <f t="shared" si="271"/>
        <v>0.32775764939000135</v>
      </c>
      <c r="S88" s="159">
        <f t="shared" si="271"/>
        <v>0.30525871309318869</v>
      </c>
      <c r="T88" s="159">
        <f t="shared" si="271"/>
        <v>0.32371222127262844</v>
      </c>
      <c r="U88" s="159">
        <f t="shared" si="271"/>
        <v>0.34811579759846023</v>
      </c>
      <c r="V88" s="159">
        <f t="shared" si="271"/>
        <v>0.3524963745597679</v>
      </c>
      <c r="W88" s="159">
        <f t="shared" si="271"/>
        <v>0.32792167493309904</v>
      </c>
      <c r="X88" s="159">
        <f t="shared" si="271"/>
        <v>0.3311509048792613</v>
      </c>
      <c r="Y88" s="159">
        <f t="shared" si="271"/>
        <v>0.34110689930272287</v>
      </c>
      <c r="Z88" s="159">
        <f t="shared" si="271"/>
        <v>0.3667183656219225</v>
      </c>
      <c r="AA88" s="159">
        <f t="shared" si="271"/>
        <v>0.34394278199325429</v>
      </c>
      <c r="AB88" s="159">
        <f t="shared" si="271"/>
        <v>0.23997436526431987</v>
      </c>
      <c r="AC88" s="159">
        <f t="shared" si="271"/>
        <v>0.29112818593455303</v>
      </c>
      <c r="AD88" s="159">
        <f t="shared" si="271"/>
        <v>0.32903713673984714</v>
      </c>
      <c r="AE88" s="159">
        <f t="shared" si="271"/>
        <v>0.33628054264702456</v>
      </c>
      <c r="AF88" s="159">
        <f t="shared" si="271"/>
        <v>0.34099110096000307</v>
      </c>
      <c r="AG88" s="42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  <c r="BH88" s="159"/>
      <c r="BI88" s="159"/>
      <c r="BJ88" s="159"/>
      <c r="BK88" s="159"/>
      <c r="BL88" s="159"/>
      <c r="BM88" s="159"/>
      <c r="BN88" s="159"/>
      <c r="BO88" s="159"/>
      <c r="BP88" s="159"/>
      <c r="BQ88" s="159"/>
      <c r="BR88" s="159"/>
      <c r="BS88" s="159"/>
      <c r="BT88" s="159"/>
      <c r="BU88" s="159">
        <f t="shared" ref="BU88:CZ88" si="272">BU26/BU12</f>
        <v>0.43910683524555527</v>
      </c>
      <c r="BV88" s="159">
        <f t="shared" si="272"/>
        <v>0.41903937064703545</v>
      </c>
      <c r="BW88" s="159">
        <f t="shared" si="272"/>
        <v>0.4508351437016988</v>
      </c>
      <c r="BX88" s="159">
        <f t="shared" si="272"/>
        <v>0.48944306445286967</v>
      </c>
      <c r="BY88" s="159">
        <f t="shared" si="272"/>
        <v>0.48759858269516515</v>
      </c>
      <c r="BZ88" s="159">
        <f t="shared" si="272"/>
        <v>0.38547000289827077</v>
      </c>
      <c r="CA88" s="159">
        <f t="shared" si="272"/>
        <v>0.41113788487282465</v>
      </c>
      <c r="CB88" s="159">
        <f t="shared" si="272"/>
        <v>0.3595954844778928</v>
      </c>
      <c r="CC88" s="159">
        <f t="shared" si="272"/>
        <v>0.33676539129697891</v>
      </c>
      <c r="CD88" s="159">
        <f t="shared" si="272"/>
        <v>0.36888386716447247</v>
      </c>
      <c r="CE88" s="159">
        <f t="shared" si="272"/>
        <v>0.41058501796342967</v>
      </c>
      <c r="CF88" s="159">
        <f t="shared" si="272"/>
        <v>0.42205476011052506</v>
      </c>
      <c r="CG88" s="159">
        <f t="shared" si="272"/>
        <v>0.32939910038060816</v>
      </c>
      <c r="CH88" s="159">
        <f t="shared" si="272"/>
        <v>0.31205962059620596</v>
      </c>
      <c r="CI88" s="159">
        <f t="shared" si="272"/>
        <v>0.35257988903065013</v>
      </c>
      <c r="CJ88" s="159">
        <f t="shared" si="272"/>
        <v>0.3425711640823883</v>
      </c>
      <c r="CK88" s="159">
        <f t="shared" si="272"/>
        <v>0.30589310412961862</v>
      </c>
      <c r="CL88" s="159">
        <f t="shared" si="272"/>
        <v>0.32488672596073159</v>
      </c>
      <c r="CM88" s="159">
        <f t="shared" si="272"/>
        <v>0.27850747308643697</v>
      </c>
      <c r="CN88" s="159">
        <f t="shared" si="272"/>
        <v>0.2659150745966381</v>
      </c>
      <c r="CO88" s="159">
        <f t="shared" si="272"/>
        <v>0.34763461207638063</v>
      </c>
      <c r="CP88" s="159">
        <f t="shared" si="272"/>
        <v>0.29581027088449841</v>
      </c>
      <c r="CQ88" s="159">
        <f t="shared" si="272"/>
        <v>0.26422504951492165</v>
      </c>
      <c r="CR88" s="159">
        <f t="shared" si="272"/>
        <v>0.34107150408051085</v>
      </c>
      <c r="CS88" s="159">
        <f t="shared" si="272"/>
        <v>0.35789873013337598</v>
      </c>
      <c r="CT88" s="159">
        <f t="shared" si="272"/>
        <v>0.37090001584534937</v>
      </c>
      <c r="CU88" s="159">
        <f t="shared" si="272"/>
        <v>0.38822543881864768</v>
      </c>
      <c r="CV88" s="159">
        <f t="shared" si="272"/>
        <v>0.30124988760003596</v>
      </c>
      <c r="CW88" s="159">
        <f t="shared" si="272"/>
        <v>0.33535682558483865</v>
      </c>
      <c r="CX88" s="159">
        <f t="shared" si="272"/>
        <v>0.37701281315739144</v>
      </c>
      <c r="CY88" s="159">
        <f t="shared" si="272"/>
        <v>0.37828954255207786</v>
      </c>
      <c r="CZ88" s="159">
        <f t="shared" si="272"/>
        <v>0.29743464267565067</v>
      </c>
      <c r="DA88" s="159">
        <f t="shared" ref="DA88:EF88" si="273">DA26/DA12</f>
        <v>0.36080164688786637</v>
      </c>
      <c r="DB88" s="159">
        <f t="shared" si="273"/>
        <v>0.31069605723583033</v>
      </c>
      <c r="DC88" s="159">
        <f t="shared" si="273"/>
        <v>0.32914245048037005</v>
      </c>
      <c r="DD88" s="159">
        <f t="shared" si="273"/>
        <v>0.32811669629276696</v>
      </c>
      <c r="DE88" s="159">
        <f t="shared" si="273"/>
        <v>0.34155073450724782</v>
      </c>
      <c r="DF88" s="159">
        <f t="shared" si="273"/>
        <v>0.34633406835722164</v>
      </c>
      <c r="DG88" s="159">
        <f t="shared" si="273"/>
        <v>0.34425738697865088</v>
      </c>
      <c r="DH88" s="159">
        <f t="shared" si="273"/>
        <v>0.303842179878415</v>
      </c>
      <c r="DI88" s="159">
        <f t="shared" si="273"/>
        <v>0.32732462070001506</v>
      </c>
      <c r="DJ88" s="159">
        <f t="shared" si="273"/>
        <v>0.35536574378876612</v>
      </c>
      <c r="DK88" s="159">
        <f t="shared" si="273"/>
        <v>0.35066990378563073</v>
      </c>
      <c r="DL88" s="159">
        <f t="shared" si="273"/>
        <v>0.3694461464193543</v>
      </c>
      <c r="DM88" s="159">
        <f t="shared" si="273"/>
        <v>0.28841828057277669</v>
      </c>
      <c r="DN88" s="159">
        <f t="shared" si="273"/>
        <v>0.40942188505435712</v>
      </c>
      <c r="DO88" s="159">
        <f t="shared" si="273"/>
        <v>0.39188633921233962</v>
      </c>
      <c r="DP88" s="159">
        <f t="shared" si="273"/>
        <v>0.3424729683675683</v>
      </c>
      <c r="DQ88" s="159">
        <f t="shared" si="273"/>
        <v>0.32684155364712875</v>
      </c>
      <c r="DR88" s="159">
        <f t="shared" si="273"/>
        <v>0.36322024383573476</v>
      </c>
      <c r="DS88" s="159">
        <f t="shared" si="273"/>
        <v>0.37034139175422348</v>
      </c>
      <c r="DT88" s="159">
        <f t="shared" si="273"/>
        <v>0.32498697752950267</v>
      </c>
      <c r="DU88" s="159">
        <f t="shared" si="273"/>
        <v>0.30757823205871859</v>
      </c>
      <c r="DV88" s="159">
        <f t="shared" si="273"/>
        <v>0.27667144221585488</v>
      </c>
      <c r="DW88" s="159">
        <f t="shared" si="273"/>
        <v>0.22231804806991992</v>
      </c>
      <c r="DX88" s="159">
        <f t="shared" si="273"/>
        <v>0.23056316410861868</v>
      </c>
      <c r="DY88" s="159">
        <f t="shared" si="273"/>
        <v>0.21979338014042121</v>
      </c>
      <c r="DZ88" s="159">
        <f t="shared" si="273"/>
        <v>0.32435230095823964</v>
      </c>
      <c r="EA88" s="159">
        <f t="shared" si="273"/>
        <v>0.28182696288119219</v>
      </c>
      <c r="EB88" s="159">
        <f t="shared" ref="EB88:EC88" si="274">EB26/EB12</f>
        <v>0.29827059416807572</v>
      </c>
      <c r="EC88" s="159">
        <f t="shared" si="274"/>
        <v>0.25952930318412559</v>
      </c>
      <c r="ED88" s="159">
        <f t="shared" ref="ED88" si="275">ED26/ED12</f>
        <v>0.36696037882874782</v>
      </c>
      <c r="EE88" s="159">
        <f t="shared" si="273"/>
        <v>0.31187050010785489</v>
      </c>
      <c r="EF88" s="159">
        <f t="shared" si="273"/>
        <v>0.3051491177077657</v>
      </c>
      <c r="EG88" s="159">
        <f t="shared" ref="EG88:EP88" si="276">EG26/EG12</f>
        <v>0.32676664003249828</v>
      </c>
      <c r="EH88" s="159">
        <f t="shared" si="276"/>
        <v>0.33311028355226086</v>
      </c>
      <c r="EI88" s="159">
        <f t="shared" si="276"/>
        <v>0.33490060561106377</v>
      </c>
      <c r="EJ88" s="159">
        <f t="shared" si="276"/>
        <v>0.33722041975260236</v>
      </c>
      <c r="EK88" s="159">
        <f t="shared" si="276"/>
        <v>0.33932603250224724</v>
      </c>
      <c r="EL88" s="159">
        <f t="shared" si="276"/>
        <v>0.34101162853231892</v>
      </c>
      <c r="EM88" s="159">
        <f t="shared" si="276"/>
        <v>0.34084027332470984</v>
      </c>
      <c r="EN88" s="159">
        <f t="shared" si="276"/>
        <v>0.3409054792177813</v>
      </c>
      <c r="EO88" s="159">
        <f t="shared" si="276"/>
        <v>0.34120496498874997</v>
      </c>
      <c r="EP88" s="159">
        <f t="shared" si="276"/>
        <v>0.34126971233304149</v>
      </c>
      <c r="EQ88" s="5"/>
      <c r="ER88" s="5"/>
      <c r="ES88" s="355">
        <f t="shared" si="201"/>
        <v>83</v>
      </c>
      <c r="ET88"/>
      <c r="EU88"/>
      <c r="EV88"/>
      <c r="EW88"/>
      <c r="EX88"/>
      <c r="EY88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</row>
    <row r="89" spans="1:257" s="4" customFormat="1" hidden="1" outlineLevel="2">
      <c r="A89" s="15"/>
      <c r="B89" s="14" t="s">
        <v>174</v>
      </c>
      <c r="C89" s="163"/>
      <c r="D89" s="163"/>
      <c r="E89" s="159"/>
      <c r="F89" s="159"/>
      <c r="G89" s="159"/>
      <c r="H89" s="159"/>
      <c r="I89" s="159"/>
      <c r="J89" s="159"/>
      <c r="K89" s="159"/>
      <c r="L89" s="159"/>
      <c r="M89" s="159"/>
      <c r="N89" s="159">
        <f>N27/N13</f>
        <v>0.23844060452335658</v>
      </c>
      <c r="O89" s="159">
        <f t="shared" ref="O89:AF89" si="277">O27/O13</f>
        <v>0.25817761264706951</v>
      </c>
      <c r="P89" s="159">
        <f t="shared" si="277"/>
        <v>0.23388982982498593</v>
      </c>
      <c r="Q89" s="159">
        <f t="shared" si="277"/>
        <v>0.23463488843813385</v>
      </c>
      <c r="R89" s="159">
        <f t="shared" si="277"/>
        <v>0.32032878308976781</v>
      </c>
      <c r="S89" s="159">
        <f t="shared" si="277"/>
        <v>0.41275059868928415</v>
      </c>
      <c r="T89" s="159">
        <f t="shared" si="277"/>
        <v>0.31550005483725518</v>
      </c>
      <c r="U89" s="159">
        <f t="shared" si="277"/>
        <v>0.10044356078636212</v>
      </c>
      <c r="V89" s="159">
        <f t="shared" si="277"/>
        <v>0.31708450493450852</v>
      </c>
      <c r="W89" s="159">
        <f t="shared" si="277"/>
        <v>0.2253525472891659</v>
      </c>
      <c r="X89" s="159">
        <f t="shared" si="277"/>
        <v>0.20140578534739118</v>
      </c>
      <c r="Y89" s="159">
        <f t="shared" si="277"/>
        <v>0.23036138272439557</v>
      </c>
      <c r="Z89" s="159">
        <f t="shared" si="277"/>
        <v>0.22680940112282438</v>
      </c>
      <c r="AA89" s="159">
        <f t="shared" si="277"/>
        <v>0.2099141448751187</v>
      </c>
      <c r="AB89" s="159">
        <f t="shared" si="277"/>
        <v>0.24306532575882803</v>
      </c>
      <c r="AC89" s="159">
        <f t="shared" si="277"/>
        <v>0.17762122056170096</v>
      </c>
      <c r="AD89" s="159">
        <f t="shared" si="277"/>
        <v>0.24440927033657406</v>
      </c>
      <c r="AE89" s="159">
        <f t="shared" si="277"/>
        <v>0.30045004378253998</v>
      </c>
      <c r="AF89" s="159">
        <f t="shared" si="277"/>
        <v>0.31384847867020066</v>
      </c>
      <c r="AG89" s="42"/>
      <c r="AH89" s="159">
        <f t="shared" ref="AH89:BT89" si="278">AH27/AH13</f>
        <v>0</v>
      </c>
      <c r="AI89" s="159">
        <f t="shared" si="278"/>
        <v>0</v>
      </c>
      <c r="AJ89" s="159">
        <f t="shared" si="278"/>
        <v>0</v>
      </c>
      <c r="AK89" s="159">
        <f t="shared" si="278"/>
        <v>0</v>
      </c>
      <c r="AL89" s="159">
        <f t="shared" si="278"/>
        <v>0</v>
      </c>
      <c r="AM89" s="159">
        <f t="shared" si="278"/>
        <v>0</v>
      </c>
      <c r="AN89" s="159">
        <f t="shared" si="278"/>
        <v>0</v>
      </c>
      <c r="AO89" s="159">
        <f t="shared" si="278"/>
        <v>0</v>
      </c>
      <c r="AP89" s="159">
        <f t="shared" si="278"/>
        <v>0</v>
      </c>
      <c r="AQ89" s="159">
        <f t="shared" si="278"/>
        <v>0</v>
      </c>
      <c r="AR89" s="159">
        <f t="shared" si="278"/>
        <v>0</v>
      </c>
      <c r="AS89" s="159">
        <f t="shared" si="278"/>
        <v>0</v>
      </c>
      <c r="AT89" s="159">
        <f t="shared" si="278"/>
        <v>0</v>
      </c>
      <c r="AU89" s="159">
        <f t="shared" si="278"/>
        <v>0</v>
      </c>
      <c r="AV89" s="159">
        <f t="shared" si="278"/>
        <v>0</v>
      </c>
      <c r="AW89" s="159">
        <f t="shared" si="278"/>
        <v>0</v>
      </c>
      <c r="AX89" s="159">
        <f t="shared" si="278"/>
        <v>0</v>
      </c>
      <c r="AY89" s="159">
        <f t="shared" si="278"/>
        <v>0</v>
      </c>
      <c r="AZ89" s="159">
        <f t="shared" si="278"/>
        <v>0</v>
      </c>
      <c r="BA89" s="159">
        <f t="shared" si="278"/>
        <v>0</v>
      </c>
      <c r="BB89" s="159">
        <f t="shared" si="278"/>
        <v>0</v>
      </c>
      <c r="BC89" s="159">
        <f t="shared" si="278"/>
        <v>0</v>
      </c>
      <c r="BD89" s="159">
        <f t="shared" si="278"/>
        <v>0</v>
      </c>
      <c r="BE89" s="159">
        <f t="shared" si="278"/>
        <v>0</v>
      </c>
      <c r="BF89" s="159">
        <f t="shared" si="278"/>
        <v>0</v>
      </c>
      <c r="BG89" s="159">
        <f t="shared" si="278"/>
        <v>0</v>
      </c>
      <c r="BH89" s="159">
        <f t="shared" si="278"/>
        <v>0</v>
      </c>
      <c r="BI89" s="159">
        <f t="shared" si="278"/>
        <v>0</v>
      </c>
      <c r="BJ89" s="159">
        <f t="shared" si="278"/>
        <v>0</v>
      </c>
      <c r="BK89" s="159">
        <f t="shared" si="278"/>
        <v>0</v>
      </c>
      <c r="BL89" s="159">
        <f t="shared" si="278"/>
        <v>0</v>
      </c>
      <c r="BM89" s="159">
        <f t="shared" si="278"/>
        <v>0</v>
      </c>
      <c r="BN89" s="159">
        <f t="shared" si="278"/>
        <v>0</v>
      </c>
      <c r="BO89" s="159">
        <f t="shared" si="278"/>
        <v>0</v>
      </c>
      <c r="BP89" s="159">
        <f t="shared" si="278"/>
        <v>0</v>
      </c>
      <c r="BQ89" s="159">
        <f t="shared" si="278"/>
        <v>0</v>
      </c>
      <c r="BR89" s="159">
        <f t="shared" si="278"/>
        <v>0</v>
      </c>
      <c r="BS89" s="159">
        <f t="shared" si="278"/>
        <v>1</v>
      </c>
      <c r="BT89" s="159">
        <f t="shared" si="278"/>
        <v>1</v>
      </c>
      <c r="BU89" s="159">
        <f t="shared" ref="BU89:CZ89" si="279">BU27/BU13</f>
        <v>0.24428264425698432</v>
      </c>
      <c r="BV89" s="159">
        <f t="shared" si="279"/>
        <v>0.21378166978405033</v>
      </c>
      <c r="BW89" s="159">
        <f t="shared" si="279"/>
        <v>0.24427014362839969</v>
      </c>
      <c r="BX89" s="159">
        <f t="shared" si="279"/>
        <v>0.32357159534371771</v>
      </c>
      <c r="BY89" s="159">
        <f t="shared" si="279"/>
        <v>0.23931337503723574</v>
      </c>
      <c r="BZ89" s="159">
        <f t="shared" si="279"/>
        <v>0.25830761102305272</v>
      </c>
      <c r="CA89" s="159">
        <f t="shared" si="279"/>
        <v>0.1845539416448323</v>
      </c>
      <c r="CB89" s="159">
        <f t="shared" si="279"/>
        <v>0.20506100825654466</v>
      </c>
      <c r="CC89" s="159">
        <f t="shared" si="279"/>
        <v>0.28870072839149075</v>
      </c>
      <c r="CD89" s="159">
        <f t="shared" si="279"/>
        <v>0.27350427350427342</v>
      </c>
      <c r="CE89" s="159">
        <f t="shared" si="279"/>
        <v>0.21242134979305721</v>
      </c>
      <c r="CF89" s="159">
        <f t="shared" si="279"/>
        <v>0.23545513795350859</v>
      </c>
      <c r="CG89" s="159">
        <f t="shared" si="279"/>
        <v>0.21852479864349306</v>
      </c>
      <c r="CH89" s="159">
        <f t="shared" si="279"/>
        <v>0.28979047694848481</v>
      </c>
      <c r="CI89" s="159">
        <f t="shared" si="279"/>
        <v>0.30628139470196503</v>
      </c>
      <c r="CJ89" s="159">
        <f t="shared" si="279"/>
        <v>0.34752546770650589</v>
      </c>
      <c r="CK89" s="159">
        <f t="shared" si="279"/>
        <v>0.3284085552674994</v>
      </c>
      <c r="CL89" s="159">
        <f t="shared" si="279"/>
        <v>0.38776558846954251</v>
      </c>
      <c r="CM89" s="159">
        <f t="shared" si="279"/>
        <v>0.36478109798471164</v>
      </c>
      <c r="CN89" s="159">
        <f t="shared" si="279"/>
        <v>0.42399568869571336</v>
      </c>
      <c r="CO89" s="159">
        <f t="shared" si="279"/>
        <v>0.46486549982379888</v>
      </c>
      <c r="CP89" s="159">
        <f t="shared" si="279"/>
        <v>0.3539350143762246</v>
      </c>
      <c r="CQ89" s="159">
        <f t="shared" si="279"/>
        <v>0.33829217102049985</v>
      </c>
      <c r="CR89" s="159">
        <f t="shared" si="279"/>
        <v>0.3163367872432834</v>
      </c>
      <c r="CS89" s="159">
        <f t="shared" si="279"/>
        <v>0.2638906752411575</v>
      </c>
      <c r="CT89" s="159">
        <f t="shared" si="279"/>
        <v>0.31026077454874029</v>
      </c>
      <c r="CU89" s="159">
        <f t="shared" si="279"/>
        <v>-0.15354338304810045</v>
      </c>
      <c r="CV89" s="159">
        <f t="shared" si="279"/>
        <v>-1.3174032565024267E-2</v>
      </c>
      <c r="CW89" s="159">
        <f t="shared" si="279"/>
        <v>6.7192575406032504E-2</v>
      </c>
      <c r="CX89" s="159">
        <f t="shared" si="279"/>
        <v>0.30474090036701579</v>
      </c>
      <c r="CY89" s="159">
        <f t="shared" si="279"/>
        <v>0.29882036455837102</v>
      </c>
      <c r="CZ89" s="159">
        <f t="shared" si="279"/>
        <v>0.31529686068781748</v>
      </c>
      <c r="DA89" s="159">
        <f t="shared" ref="DA89:EF89" si="280">DA27/DA13</f>
        <v>0.34605025643964366</v>
      </c>
      <c r="DB89" s="159">
        <f t="shared" si="280"/>
        <v>0.32512979667604491</v>
      </c>
      <c r="DC89" s="159">
        <f t="shared" si="280"/>
        <v>0.18087557603686633</v>
      </c>
      <c r="DD89" s="159">
        <f t="shared" si="280"/>
        <v>0.15026818092983868</v>
      </c>
      <c r="DE89" s="159">
        <f t="shared" si="280"/>
        <v>0.20803009097270816</v>
      </c>
      <c r="DF89" s="159">
        <f t="shared" si="280"/>
        <v>0.25637605993249357</v>
      </c>
      <c r="DG89" s="159">
        <f t="shared" si="280"/>
        <v>0.11626201472974651</v>
      </c>
      <c r="DH89" s="159">
        <f t="shared" si="280"/>
        <v>0.22208885332384934</v>
      </c>
      <c r="DI89" s="159">
        <f t="shared" si="280"/>
        <v>0.21069967319420496</v>
      </c>
      <c r="DJ89" s="159">
        <f t="shared" si="280"/>
        <v>0.21345984163544068</v>
      </c>
      <c r="DK89" s="159">
        <f t="shared" si="280"/>
        <v>0.23806487267780477</v>
      </c>
      <c r="DL89" s="159">
        <f t="shared" si="280"/>
        <v>0.21462898664029978</v>
      </c>
      <c r="DM89" s="159">
        <f t="shared" si="280"/>
        <v>0.25186794444895638</v>
      </c>
      <c r="DN89" s="159">
        <f t="shared" si="280"/>
        <v>0.24555018302723894</v>
      </c>
      <c r="DO89" s="159">
        <f t="shared" si="280"/>
        <v>0.25539850116329366</v>
      </c>
      <c r="DP89" s="159">
        <f t="shared" si="280"/>
        <v>0.21308772318407218</v>
      </c>
      <c r="DQ89" s="159">
        <f t="shared" si="280"/>
        <v>0.19343405681489662</v>
      </c>
      <c r="DR89" s="159">
        <f t="shared" si="280"/>
        <v>0.25782419120417727</v>
      </c>
      <c r="DS89" s="159">
        <f t="shared" si="280"/>
        <v>0.20590503501032764</v>
      </c>
      <c r="DT89" s="159">
        <f t="shared" si="280"/>
        <v>0.24959208324164875</v>
      </c>
      <c r="DU89" s="159">
        <f t="shared" si="280"/>
        <v>0.11107618629768604</v>
      </c>
      <c r="DV89" s="159">
        <f t="shared" si="280"/>
        <v>0.23112724049089961</v>
      </c>
      <c r="DW89" s="159">
        <f t="shared" si="280"/>
        <v>0.26320462688892349</v>
      </c>
      <c r="DX89" s="159">
        <f t="shared" si="280"/>
        <v>0.22779267657295299</v>
      </c>
      <c r="DY89" s="159">
        <f t="shared" si="280"/>
        <v>0.25266855135783428</v>
      </c>
      <c r="DZ89" s="159">
        <f t="shared" si="280"/>
        <v>0.15723456545797837</v>
      </c>
      <c r="EA89" s="159">
        <f t="shared" si="280"/>
        <v>7.4114566849843216E-2</v>
      </c>
      <c r="EB89" s="159">
        <f t="shared" ref="EB89:EC89" si="281">EB27/EB13</f>
        <v>0.23277839990002411</v>
      </c>
      <c r="EC89" s="159">
        <f t="shared" si="281"/>
        <v>0.22065361374730086</v>
      </c>
      <c r="ED89" s="159">
        <f t="shared" ref="ED89" si="282">ED27/ED13</f>
        <v>0.26065428544309799</v>
      </c>
      <c r="EE89" s="159">
        <f t="shared" si="280"/>
        <v>0.2169171341118393</v>
      </c>
      <c r="EF89" s="159">
        <f t="shared" si="280"/>
        <v>0.23843180384609172</v>
      </c>
      <c r="EG89" s="159">
        <f t="shared" ref="EG89:EP89" si="283">EG27/EG13</f>
        <v>0.25821340027754819</v>
      </c>
      <c r="EH89" s="159">
        <f t="shared" si="283"/>
        <v>0.27752038680811159</v>
      </c>
      <c r="EI89" s="159">
        <f t="shared" si="283"/>
        <v>0.2950352978389959</v>
      </c>
      <c r="EJ89" s="159">
        <f t="shared" si="283"/>
        <v>0.31271064352837002</v>
      </c>
      <c r="EK89" s="159">
        <f t="shared" si="283"/>
        <v>0.31339763666537734</v>
      </c>
      <c r="EL89" s="159">
        <f t="shared" si="283"/>
        <v>0.31390701614153971</v>
      </c>
      <c r="EM89" s="159">
        <f t="shared" si="283"/>
        <v>0.31378932011912086</v>
      </c>
      <c r="EN89" s="159">
        <f t="shared" si="283"/>
        <v>0.31378932011912086</v>
      </c>
      <c r="EO89" s="159">
        <f t="shared" si="283"/>
        <v>0.31390701614153971</v>
      </c>
      <c r="EP89" s="159">
        <f t="shared" si="283"/>
        <v>0.31390701614153971</v>
      </c>
      <c r="EQ89" s="5"/>
      <c r="ER89" s="5"/>
      <c r="ES89" s="355">
        <f t="shared" si="201"/>
        <v>84</v>
      </c>
      <c r="ET89"/>
      <c r="EU89"/>
      <c r="EV89"/>
      <c r="EW89"/>
      <c r="EX89"/>
      <c r="EY89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</row>
    <row r="90" spans="1:257" s="4" customFormat="1" hidden="1" outlineLevel="2">
      <c r="A90" s="15"/>
      <c r="B90" s="14" t="s">
        <v>38</v>
      </c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>
        <f>N28/N14</f>
        <v>-0.71240247511433596</v>
      </c>
      <c r="O90" s="159">
        <f t="shared" ref="O90:AF90" si="284">O28/O14</f>
        <v>0.80822546589553046</v>
      </c>
      <c r="P90" s="159">
        <f t="shared" si="284"/>
        <v>0.54428357463804211</v>
      </c>
      <c r="Q90" s="159">
        <f t="shared" si="284"/>
        <v>0.86489520958083932</v>
      </c>
      <c r="R90" s="159">
        <f t="shared" si="284"/>
        <v>0.82744002312361531</v>
      </c>
      <c r="S90" s="159">
        <f t="shared" si="284"/>
        <v>0.93017478484606209</v>
      </c>
      <c r="T90" s="159">
        <f t="shared" si="284"/>
        <v>0.94063849606232108</v>
      </c>
      <c r="U90" s="159">
        <f t="shared" si="284"/>
        <v>0.89058004640370947</v>
      </c>
      <c r="V90" s="159">
        <f t="shared" si="284"/>
        <v>0.85424180649208026</v>
      </c>
      <c r="W90" s="159">
        <f t="shared" si="284"/>
        <v>0.88055555555555665</v>
      </c>
      <c r="X90" s="159">
        <f t="shared" si="284"/>
        <v>0.97101449275362473</v>
      </c>
      <c r="Y90" s="159">
        <f t="shared" si="284"/>
        <v>1.0346928162840829</v>
      </c>
      <c r="Z90" s="159">
        <f t="shared" si="284"/>
        <v>1.0386278896346033</v>
      </c>
      <c r="AA90" s="159">
        <f t="shared" si="284"/>
        <v>0.94015648128567275</v>
      </c>
      <c r="AB90" s="159">
        <f t="shared" si="284"/>
        <v>0.69468188323917091</v>
      </c>
      <c r="AC90" s="159">
        <f t="shared" si="284"/>
        <v>0.68510292185446764</v>
      </c>
      <c r="AD90" s="159">
        <f t="shared" si="284"/>
        <v>0.36481334059580312</v>
      </c>
      <c r="AE90" s="159">
        <f t="shared" si="284"/>
        <v>0.5</v>
      </c>
      <c r="AF90" s="159">
        <f t="shared" si="284"/>
        <v>0.5</v>
      </c>
      <c r="AG90" s="42"/>
      <c r="AH90" s="159">
        <f t="shared" ref="AH90:BT90" si="285">AH28/AH14</f>
        <v>0</v>
      </c>
      <c r="AI90" s="159">
        <f t="shared" si="285"/>
        <v>0</v>
      </c>
      <c r="AJ90" s="159">
        <f t="shared" si="285"/>
        <v>0</v>
      </c>
      <c r="AK90" s="159">
        <f t="shared" si="285"/>
        <v>0</v>
      </c>
      <c r="AL90" s="159">
        <f t="shared" si="285"/>
        <v>0</v>
      </c>
      <c r="AM90" s="159">
        <f t="shared" si="285"/>
        <v>0</v>
      </c>
      <c r="AN90" s="159">
        <f t="shared" si="285"/>
        <v>0</v>
      </c>
      <c r="AO90" s="159">
        <f t="shared" si="285"/>
        <v>0</v>
      </c>
      <c r="AP90" s="159">
        <f t="shared" si="285"/>
        <v>0</v>
      </c>
      <c r="AQ90" s="159">
        <f t="shared" si="285"/>
        <v>0</v>
      </c>
      <c r="AR90" s="159">
        <f t="shared" si="285"/>
        <v>0</v>
      </c>
      <c r="AS90" s="159">
        <f t="shared" si="285"/>
        <v>0</v>
      </c>
      <c r="AT90" s="159">
        <f t="shared" si="285"/>
        <v>0</v>
      </c>
      <c r="AU90" s="159">
        <f t="shared" si="285"/>
        <v>0</v>
      </c>
      <c r="AV90" s="159">
        <f t="shared" si="285"/>
        <v>0</v>
      </c>
      <c r="AW90" s="159">
        <f t="shared" si="285"/>
        <v>0</v>
      </c>
      <c r="AX90" s="159">
        <f t="shared" si="285"/>
        <v>0</v>
      </c>
      <c r="AY90" s="159">
        <f t="shared" si="285"/>
        <v>0</v>
      </c>
      <c r="AZ90" s="159">
        <f t="shared" si="285"/>
        <v>0</v>
      </c>
      <c r="BA90" s="159">
        <f t="shared" si="285"/>
        <v>0</v>
      </c>
      <c r="BB90" s="159">
        <f t="shared" si="285"/>
        <v>0</v>
      </c>
      <c r="BC90" s="159">
        <f t="shared" si="285"/>
        <v>0</v>
      </c>
      <c r="BD90" s="159">
        <f t="shared" si="285"/>
        <v>0</v>
      </c>
      <c r="BE90" s="159">
        <f t="shared" si="285"/>
        <v>0</v>
      </c>
      <c r="BF90" s="159">
        <f t="shared" si="285"/>
        <v>0</v>
      </c>
      <c r="BG90" s="159">
        <f t="shared" si="285"/>
        <v>0</v>
      </c>
      <c r="BH90" s="159">
        <f t="shared" si="285"/>
        <v>0</v>
      </c>
      <c r="BI90" s="159">
        <f t="shared" si="285"/>
        <v>0</v>
      </c>
      <c r="BJ90" s="159">
        <f t="shared" si="285"/>
        <v>0</v>
      </c>
      <c r="BK90" s="159">
        <f t="shared" si="285"/>
        <v>0</v>
      </c>
      <c r="BL90" s="159">
        <f t="shared" si="285"/>
        <v>0</v>
      </c>
      <c r="BM90" s="159">
        <f t="shared" si="285"/>
        <v>0</v>
      </c>
      <c r="BN90" s="159">
        <f t="shared" si="285"/>
        <v>0</v>
      </c>
      <c r="BO90" s="159">
        <f t="shared" si="285"/>
        <v>0</v>
      </c>
      <c r="BP90" s="159">
        <f t="shared" si="285"/>
        <v>0</v>
      </c>
      <c r="BQ90" s="159">
        <f t="shared" si="285"/>
        <v>0</v>
      </c>
      <c r="BR90" s="159">
        <f t="shared" si="285"/>
        <v>0</v>
      </c>
      <c r="BS90" s="159">
        <f t="shared" si="285"/>
        <v>1</v>
      </c>
      <c r="BT90" s="159">
        <f t="shared" si="285"/>
        <v>1</v>
      </c>
      <c r="BU90" s="159">
        <f t="shared" ref="BU90:CZ90" si="286">BU28/BU14</f>
        <v>0.42110874200426668</v>
      </c>
      <c r="BV90" s="159">
        <f t="shared" si="286"/>
        <v>0.72837292693859612</v>
      </c>
      <c r="BW90" s="159">
        <f t="shared" si="286"/>
        <v>0.7854588796185964</v>
      </c>
      <c r="BX90" s="159">
        <f t="shared" si="286"/>
        <v>0.74639175257731705</v>
      </c>
      <c r="BY90" s="159">
        <f t="shared" si="286"/>
        <v>0.89274673008323546</v>
      </c>
      <c r="BZ90" s="159">
        <f t="shared" si="286"/>
        <v>0.66492342174075247</v>
      </c>
      <c r="CA90" s="159">
        <f t="shared" si="286"/>
        <v>0.62748926200702548</v>
      </c>
      <c r="CB90" s="159">
        <f t="shared" si="286"/>
        <v>0.60192147034252774</v>
      </c>
      <c r="CC90" s="159">
        <f t="shared" si="286"/>
        <v>0.26143516575744646</v>
      </c>
      <c r="CD90" s="159">
        <f t="shared" si="286"/>
        <v>0.7852852852852843</v>
      </c>
      <c r="CE90" s="159">
        <f t="shared" si="286"/>
        <v>0.7262269938650312</v>
      </c>
      <c r="CF90" s="159">
        <f t="shared" si="286"/>
        <v>0.95058565153733865</v>
      </c>
      <c r="CG90" s="159">
        <f t="shared" si="286"/>
        <v>0.99143070044709536</v>
      </c>
      <c r="CH90" s="159">
        <f t="shared" si="286"/>
        <v>0.86699334966748498</v>
      </c>
      <c r="CI90" s="159">
        <f t="shared" si="286"/>
        <v>0.77327070879589843</v>
      </c>
      <c r="CJ90" s="159">
        <f t="shared" si="286"/>
        <v>0.86142913541255461</v>
      </c>
      <c r="CK90" s="159">
        <f t="shared" si="286"/>
        <v>0.80015111446921183</v>
      </c>
      <c r="CL90" s="159">
        <f t="shared" si="286"/>
        <v>0.89237668161434569</v>
      </c>
      <c r="CM90" s="159">
        <f t="shared" si="286"/>
        <v>0.76479181884588132</v>
      </c>
      <c r="CN90" s="159">
        <f t="shared" si="286"/>
        <v>0.87288440763413444</v>
      </c>
      <c r="CO90" s="159">
        <f t="shared" si="286"/>
        <v>1.1827091354567598</v>
      </c>
      <c r="CP90" s="159">
        <f t="shared" si="286"/>
        <v>0.92442602040816491</v>
      </c>
      <c r="CQ90" s="159">
        <f t="shared" si="286"/>
        <v>0.9456790123456803</v>
      </c>
      <c r="CR90" s="159">
        <f t="shared" si="286"/>
        <v>0.95206668982284348</v>
      </c>
      <c r="CS90" s="159">
        <f t="shared" si="286"/>
        <v>0.9418722541399035</v>
      </c>
      <c r="CT90" s="159">
        <f t="shared" si="286"/>
        <v>0.92649098474341574</v>
      </c>
      <c r="CU90" s="159">
        <f t="shared" si="286"/>
        <v>0.97296268088346294</v>
      </c>
      <c r="CV90" s="159">
        <f t="shared" si="286"/>
        <v>0.78878281622911461</v>
      </c>
      <c r="CW90" s="159">
        <f t="shared" si="286"/>
        <v>0.86732097419119991</v>
      </c>
      <c r="CX90" s="159">
        <f t="shared" si="286"/>
        <v>0.84931950745300333</v>
      </c>
      <c r="CY90" s="159">
        <f t="shared" si="286"/>
        <v>0.87359154929577154</v>
      </c>
      <c r="CZ90" s="159">
        <f t="shared" si="286"/>
        <v>0.86486486486486414</v>
      </c>
      <c r="DA90" s="159">
        <f t="shared" ref="DA90:EF90" si="287">DA28/DA14</f>
        <v>0.83374896093101525</v>
      </c>
      <c r="DB90" s="159">
        <f t="shared" si="287"/>
        <v>0.91356482638022818</v>
      </c>
      <c r="DC90" s="159">
        <f t="shared" si="287"/>
        <v>0.87054664128365544</v>
      </c>
      <c r="DD90" s="159">
        <f t="shared" si="287"/>
        <v>0.88301242992930173</v>
      </c>
      <c r="DE90" s="159">
        <f t="shared" si="287"/>
        <v>0.84896613724903736</v>
      </c>
      <c r="DF90" s="159">
        <f t="shared" si="287"/>
        <v>0.89000609384521934</v>
      </c>
      <c r="DG90" s="159">
        <f t="shared" si="287"/>
        <v>0.94548923412374253</v>
      </c>
      <c r="DH90" s="159">
        <f t="shared" si="287"/>
        <v>0.98717948717948423</v>
      </c>
      <c r="DI90" s="159">
        <f t="shared" si="287"/>
        <v>1.0591733571216213</v>
      </c>
      <c r="DJ90" s="159">
        <f t="shared" si="287"/>
        <v>1.0120888389091949</v>
      </c>
      <c r="DK90" s="159">
        <f t="shared" si="287"/>
        <v>1.0796002756719485</v>
      </c>
      <c r="DL90" s="159">
        <f t="shared" si="287"/>
        <v>1.0369638826185184</v>
      </c>
      <c r="DM90" s="159">
        <f t="shared" si="287"/>
        <v>1.0179294389820739</v>
      </c>
      <c r="DN90" s="159">
        <f t="shared" si="287"/>
        <v>0.98183587414854367</v>
      </c>
      <c r="DO90" s="159">
        <f t="shared" si="287"/>
        <v>1.1226148409893921</v>
      </c>
      <c r="DP90" s="159">
        <f t="shared" si="287"/>
        <v>1.0368698269375591</v>
      </c>
      <c r="DQ90" s="159">
        <f t="shared" si="287"/>
        <v>1.0227920227920344</v>
      </c>
      <c r="DR90" s="159">
        <f t="shared" si="287"/>
        <v>1.0141148325358507</v>
      </c>
      <c r="DS90" s="159">
        <f t="shared" si="287"/>
        <v>1.0122961774926469</v>
      </c>
      <c r="DT90" s="159">
        <f t="shared" si="287"/>
        <v>1.0358478802992548</v>
      </c>
      <c r="DU90" s="159">
        <f t="shared" si="287"/>
        <v>0.65042511445388596</v>
      </c>
      <c r="DV90" s="159">
        <f t="shared" si="287"/>
        <v>0.79788306451612379</v>
      </c>
      <c r="DW90" s="159">
        <f t="shared" si="287"/>
        <v>0.83000278551531992</v>
      </c>
      <c r="DX90" s="159">
        <f t="shared" si="287"/>
        <v>0.67387294669795561</v>
      </c>
      <c r="DY90" s="159">
        <f t="shared" si="287"/>
        <v>0.44099579696088426</v>
      </c>
      <c r="DZ90" s="159">
        <f t="shared" si="287"/>
        <v>0.71777563484409701</v>
      </c>
      <c r="EA90" s="159">
        <f t="shared" si="287"/>
        <v>0.8868832731648516</v>
      </c>
      <c r="EB90" s="159">
        <f t="shared" ref="EB90:EC90" si="288">EB28/EB14</f>
        <v>0.66471140309713028</v>
      </c>
      <c r="EC90" s="159">
        <f t="shared" si="288"/>
        <v>0.55542943624669583</v>
      </c>
      <c r="ED90" s="159">
        <f t="shared" ref="ED90" si="289">ED28/ED14</f>
        <v>-4.9940344298613971E-2</v>
      </c>
      <c r="EE90" s="159">
        <f t="shared" si="287"/>
        <v>0.5</v>
      </c>
      <c r="EF90" s="159">
        <f t="shared" si="287"/>
        <v>0.5</v>
      </c>
      <c r="EG90" s="159">
        <f t="shared" ref="EG90:EP90" si="290">EG28/EG14</f>
        <v>0.5</v>
      </c>
      <c r="EH90" s="159">
        <f t="shared" si="290"/>
        <v>0.5</v>
      </c>
      <c r="EI90" s="159">
        <f t="shared" si="290"/>
        <v>0.5</v>
      </c>
      <c r="EJ90" s="159">
        <f t="shared" si="290"/>
        <v>0.5</v>
      </c>
      <c r="EK90" s="159">
        <f t="shared" si="290"/>
        <v>0.5</v>
      </c>
      <c r="EL90" s="159">
        <f t="shared" si="290"/>
        <v>0.5</v>
      </c>
      <c r="EM90" s="159">
        <f t="shared" si="290"/>
        <v>0.5</v>
      </c>
      <c r="EN90" s="159">
        <f t="shared" si="290"/>
        <v>0.5</v>
      </c>
      <c r="EO90" s="159">
        <f t="shared" si="290"/>
        <v>0.5</v>
      </c>
      <c r="EP90" s="159">
        <f t="shared" si="290"/>
        <v>0.5</v>
      </c>
      <c r="EQ90" s="20"/>
      <c r="ER90" s="20"/>
      <c r="ES90" s="355">
        <f t="shared" si="201"/>
        <v>85</v>
      </c>
      <c r="ET90"/>
      <c r="EU90"/>
      <c r="EV90"/>
      <c r="EW90"/>
      <c r="EX90"/>
      <c r="EY90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</row>
    <row r="91" spans="1:257" s="4" customFormat="1" ht="12.75" hidden="1" customHeight="1" outlineLevel="2">
      <c r="A91" s="15"/>
      <c r="B91" s="63" t="s">
        <v>203</v>
      </c>
      <c r="C91" s="281"/>
      <c r="D91" s="281"/>
      <c r="E91" s="281">
        <f t="shared" ref="E91:AF91" si="291">-E30/E15</f>
        <v>2.2284158969047237E-2</v>
      </c>
      <c r="F91" s="281">
        <f t="shared" si="291"/>
        <v>2.7604757389261787E-2</v>
      </c>
      <c r="G91" s="281">
        <f t="shared" si="291"/>
        <v>2.9745669623996621E-2</v>
      </c>
      <c r="H91" s="281">
        <f t="shared" si="291"/>
        <v>2.3441633352517467E-2</v>
      </c>
      <c r="I91" s="281">
        <f t="shared" si="291"/>
        <v>1.8454964436774073E-2</v>
      </c>
      <c r="J91" s="281">
        <f t="shared" si="291"/>
        <v>1.9867001555646014E-2</v>
      </c>
      <c r="K91" s="281">
        <f t="shared" si="291"/>
        <v>2.5510185747499831E-2</v>
      </c>
      <c r="L91" s="281">
        <f t="shared" si="291"/>
        <v>1.9324945503586915E-2</v>
      </c>
      <c r="M91" s="281">
        <f t="shared" si="291"/>
        <v>1.9518760472067107E-2</v>
      </c>
      <c r="N91" s="281">
        <f t="shared" si="291"/>
        <v>4.8747215290966268E-2</v>
      </c>
      <c r="O91" s="281">
        <f t="shared" si="291"/>
        <v>8.0821002461903574E-2</v>
      </c>
      <c r="P91" s="281">
        <f t="shared" si="291"/>
        <v>6.393449858757061E-2</v>
      </c>
      <c r="Q91" s="281">
        <f t="shared" si="291"/>
        <v>5.1222265793792125E-2</v>
      </c>
      <c r="R91" s="281">
        <f t="shared" si="291"/>
        <v>4.2351771249978569E-2</v>
      </c>
      <c r="S91" s="281">
        <f t="shared" si="291"/>
        <v>2.9086470903711092E-2</v>
      </c>
      <c r="T91" s="281">
        <f t="shared" si="291"/>
        <v>2.8017576844682385E-2</v>
      </c>
      <c r="U91" s="281">
        <f t="shared" si="291"/>
        <v>3.136843083401706E-2</v>
      </c>
      <c r="V91" s="281">
        <f t="shared" si="291"/>
        <v>4.356480573715308E-2</v>
      </c>
      <c r="W91" s="281">
        <f t="shared" si="291"/>
        <v>3.3339439457776149E-2</v>
      </c>
      <c r="X91" s="281">
        <f t="shared" si="291"/>
        <v>3.4046237676097678E-2</v>
      </c>
      <c r="Y91" s="281">
        <f t="shared" si="291"/>
        <v>3.7449857236694729E-2</v>
      </c>
      <c r="Z91" s="281">
        <f t="shared" si="291"/>
        <v>3.6427519237781043E-2</v>
      </c>
      <c r="AA91" s="281">
        <f t="shared" si="291"/>
        <v>4.5831008687972866E-2</v>
      </c>
      <c r="AB91" s="281">
        <f t="shared" si="291"/>
        <v>9.9064070539413518E-2</v>
      </c>
      <c r="AC91" s="281">
        <f t="shared" si="291"/>
        <v>8.3532470197121858E-2</v>
      </c>
      <c r="AD91" s="281">
        <f t="shared" si="291"/>
        <v>7.7741259749700226E-2</v>
      </c>
      <c r="AE91" s="281">
        <f t="shared" si="291"/>
        <v>6.759109809702131E-2</v>
      </c>
      <c r="AF91" s="281">
        <f t="shared" si="291"/>
        <v>6.5451190755273572E-2</v>
      </c>
      <c r="AG91" s="281"/>
      <c r="AH91" s="281">
        <f t="shared" ref="AH91:BM91" si="292">-AH30/AH15</f>
        <v>2.2086947826304344E-2</v>
      </c>
      <c r="AI91" s="281">
        <f t="shared" si="292"/>
        <v>2.1527478614068559E-2</v>
      </c>
      <c r="AJ91" s="281">
        <f t="shared" si="292"/>
        <v>2.3635480962618766E-2</v>
      </c>
      <c r="AK91" s="281">
        <f t="shared" si="292"/>
        <v>2.2006739563991476E-2</v>
      </c>
      <c r="AL91" s="281">
        <f t="shared" si="292"/>
        <v>3.3257278904816223E-2</v>
      </c>
      <c r="AM91" s="281">
        <f t="shared" si="292"/>
        <v>2.5949814147917416E-2</v>
      </c>
      <c r="AN91" s="281">
        <f t="shared" si="292"/>
        <v>2.3905933655193893E-2</v>
      </c>
      <c r="AO91" s="281">
        <f t="shared" si="292"/>
        <v>2.7249723433744894E-2</v>
      </c>
      <c r="AP91" s="281">
        <f t="shared" si="292"/>
        <v>2.6656482719113993E-2</v>
      </c>
      <c r="AQ91" s="281">
        <f t="shared" si="292"/>
        <v>3.5357185089805412E-2</v>
      </c>
      <c r="AR91" s="281">
        <f t="shared" si="292"/>
        <v>2.6657767657335792E-2</v>
      </c>
      <c r="AS91" s="281">
        <f t="shared" si="292"/>
        <v>3.0541066082286492E-2</v>
      </c>
      <c r="AT91" s="281">
        <f t="shared" si="292"/>
        <v>2.6908090763236303E-2</v>
      </c>
      <c r="AU91" s="281">
        <f t="shared" si="292"/>
        <v>2.8793219111712155E-2</v>
      </c>
      <c r="AV91" s="281">
        <f t="shared" si="292"/>
        <v>1.9237327235160778E-2</v>
      </c>
      <c r="AW91" s="281">
        <f t="shared" si="292"/>
        <v>1.9821763602251408E-2</v>
      </c>
      <c r="AX91" s="281">
        <f t="shared" si="292"/>
        <v>1.9353014752497302E-2</v>
      </c>
      <c r="AY91" s="281">
        <f t="shared" si="292"/>
        <v>2.2519939131166219E-2</v>
      </c>
      <c r="AZ91" s="281">
        <f t="shared" si="292"/>
        <v>1.57745839514279E-2</v>
      </c>
      <c r="BA91" s="281">
        <f t="shared" si="292"/>
        <v>1.6199468869873116E-2</v>
      </c>
      <c r="BB91" s="281">
        <f t="shared" si="292"/>
        <v>1.7736205173753749E-2</v>
      </c>
      <c r="BC91" s="281">
        <f t="shared" si="292"/>
        <v>2.7261365411654429E-2</v>
      </c>
      <c r="BD91" s="281">
        <f t="shared" si="292"/>
        <v>1.5633325102987618E-2</v>
      </c>
      <c r="BE91" s="281">
        <f t="shared" si="292"/>
        <v>1.9327550081265781E-2</v>
      </c>
      <c r="BF91" s="281">
        <f t="shared" si="292"/>
        <v>2.5189800586592568E-2</v>
      </c>
      <c r="BG91" s="281">
        <f t="shared" si="292"/>
        <v>2.9388088962750421E-2</v>
      </c>
      <c r="BH91" s="281">
        <f t="shared" si="292"/>
        <v>2.5494260697379412E-2</v>
      </c>
      <c r="BI91" s="281">
        <f t="shared" si="292"/>
        <v>2.1305405529460364E-2</v>
      </c>
      <c r="BJ91" s="281">
        <f t="shared" si="292"/>
        <v>2.086631063508736E-2</v>
      </c>
      <c r="BK91" s="281">
        <f t="shared" si="292"/>
        <v>2.3773361570439456E-2</v>
      </c>
      <c r="BL91" s="281">
        <f t="shared" si="292"/>
        <v>1.6466346153846158E-2</v>
      </c>
      <c r="BM91" s="281">
        <f t="shared" si="292"/>
        <v>1.7001385638802487E-2</v>
      </c>
      <c r="BN91" s="281">
        <f t="shared" ref="BN91:CS91" si="293">-BN30/BN15</f>
        <v>1.8798617113223857E-2</v>
      </c>
      <c r="BO91" s="281">
        <f t="shared" si="293"/>
        <v>2.1232353976153587E-2</v>
      </c>
      <c r="BP91" s="281">
        <f t="shared" si="293"/>
        <v>1.6225014465618869E-2</v>
      </c>
      <c r="BQ91" s="281">
        <f t="shared" si="293"/>
        <v>2.2673862549528623E-2</v>
      </c>
      <c r="BR91" s="281">
        <f t="shared" si="293"/>
        <v>3.1442879587027267E-2</v>
      </c>
      <c r="BS91" s="281">
        <f t="shared" si="293"/>
        <v>4.6760335127201562E-2</v>
      </c>
      <c r="BT91" s="281">
        <f t="shared" si="293"/>
        <v>3.62939246610538E-2</v>
      </c>
      <c r="BU91" s="281">
        <f t="shared" si="293"/>
        <v>8.3582307075712306E-2</v>
      </c>
      <c r="BV91" s="281">
        <f t="shared" si="293"/>
        <v>9.7596529901159065E-2</v>
      </c>
      <c r="BW91" s="281">
        <f t="shared" si="293"/>
        <v>9.1950358284379752E-2</v>
      </c>
      <c r="BX91" s="281">
        <f t="shared" si="293"/>
        <v>6.8603399412682259E-2</v>
      </c>
      <c r="BY91" s="281">
        <f t="shared" si="293"/>
        <v>6.8659413469864095E-2</v>
      </c>
      <c r="BZ91" s="281">
        <f t="shared" si="293"/>
        <v>6.7787269220170851E-2</v>
      </c>
      <c r="CA91" s="281">
        <f t="shared" si="293"/>
        <v>6.8443058507663052E-2</v>
      </c>
      <c r="CB91" s="281">
        <f t="shared" si="293"/>
        <v>6.4431820490077257E-2</v>
      </c>
      <c r="CC91" s="281">
        <f t="shared" si="293"/>
        <v>5.6403442475071307E-2</v>
      </c>
      <c r="CD91" s="281">
        <f t="shared" si="293"/>
        <v>5.2931376982922961E-2</v>
      </c>
      <c r="CE91" s="281">
        <f t="shared" si="293"/>
        <v>5.1728228633054728E-2</v>
      </c>
      <c r="CF91" s="281">
        <f t="shared" si="293"/>
        <v>5.6319827182996038E-2</v>
      </c>
      <c r="CG91" s="281">
        <f t="shared" si="293"/>
        <v>4.5006646370224258E-2</v>
      </c>
      <c r="CH91" s="281">
        <f t="shared" si="293"/>
        <v>4.6744561216658577E-2</v>
      </c>
      <c r="CI91" s="281">
        <f t="shared" si="293"/>
        <v>4.7990234845098519E-2</v>
      </c>
      <c r="CJ91" s="281">
        <f t="shared" si="293"/>
        <v>4.0804137637744056E-2</v>
      </c>
      <c r="CK91" s="281">
        <f t="shared" si="293"/>
        <v>3.6034102659148991E-2</v>
      </c>
      <c r="CL91" s="281">
        <f t="shared" si="293"/>
        <v>2.7466427190546559E-2</v>
      </c>
      <c r="CM91" s="281">
        <f t="shared" si="293"/>
        <v>3.5835462881439649E-2</v>
      </c>
      <c r="CN91" s="281">
        <f t="shared" si="293"/>
        <v>2.7388350574685364E-2</v>
      </c>
      <c r="CO91" s="281">
        <f t="shared" si="293"/>
        <v>2.6476863893344964E-2</v>
      </c>
      <c r="CP91" s="281">
        <f t="shared" si="293"/>
        <v>3.0444769994503601E-2</v>
      </c>
      <c r="CQ91" s="281">
        <f t="shared" si="293"/>
        <v>2.9748080837084395E-2</v>
      </c>
      <c r="CR91" s="281">
        <f t="shared" si="293"/>
        <v>2.8177073664588902E-2</v>
      </c>
      <c r="CS91" s="281">
        <f t="shared" si="293"/>
        <v>2.4571754559985202E-2</v>
      </c>
      <c r="CT91" s="281">
        <f t="shared" ref="CT91:DY91" si="294">-CT30/CT15</f>
        <v>2.4285215004633237E-2</v>
      </c>
      <c r="CU91" s="281">
        <f t="shared" si="294"/>
        <v>3.1585623678646937E-2</v>
      </c>
      <c r="CV91" s="281">
        <f t="shared" si="294"/>
        <v>3.6684400683915853E-2</v>
      </c>
      <c r="CW91" s="281">
        <f t="shared" si="294"/>
        <v>3.7563118241275256E-2</v>
      </c>
      <c r="CX91" s="281">
        <f t="shared" si="294"/>
        <v>5.2130461206023354E-2</v>
      </c>
      <c r="CY91" s="281">
        <f t="shared" si="294"/>
        <v>4.7402353743817162E-2</v>
      </c>
      <c r="CZ91" s="281">
        <f t="shared" si="294"/>
        <v>4.1610810452973206E-2</v>
      </c>
      <c r="DA91" s="281">
        <f t="shared" si="294"/>
        <v>3.6108323180495103E-2</v>
      </c>
      <c r="DB91" s="281">
        <f t="shared" si="294"/>
        <v>3.344701517888074E-2</v>
      </c>
      <c r="DC91" s="281">
        <f t="shared" si="294"/>
        <v>2.939414896609233E-2</v>
      </c>
      <c r="DD91" s="281">
        <f t="shared" si="294"/>
        <v>3.7371816269339157E-2</v>
      </c>
      <c r="DE91" s="281">
        <f t="shared" si="294"/>
        <v>3.2944655091466157E-2</v>
      </c>
      <c r="DF91" s="281">
        <f t="shared" si="294"/>
        <v>3.5713115693950755E-2</v>
      </c>
      <c r="DG91" s="281">
        <f t="shared" si="294"/>
        <v>3.6111233769101095E-2</v>
      </c>
      <c r="DH91" s="281">
        <f t="shared" si="294"/>
        <v>3.1198423977018372E-2</v>
      </c>
      <c r="DI91" s="281">
        <f t="shared" si="294"/>
        <v>3.3471698613654642E-2</v>
      </c>
      <c r="DJ91" s="281">
        <f t="shared" si="294"/>
        <v>3.8387490942157688E-2</v>
      </c>
      <c r="DK91" s="281">
        <f t="shared" si="294"/>
        <v>3.9169327777704877E-2</v>
      </c>
      <c r="DL91" s="281">
        <f t="shared" si="294"/>
        <v>3.7003226624232173E-2</v>
      </c>
      <c r="DM91" s="281">
        <f t="shared" si="294"/>
        <v>3.5258963485754684E-2</v>
      </c>
      <c r="DN91" s="281">
        <f t="shared" si="294"/>
        <v>3.6671018435216904E-2</v>
      </c>
      <c r="DO91" s="281">
        <f t="shared" si="294"/>
        <v>3.8537994023034816E-2</v>
      </c>
      <c r="DP91" s="281">
        <f t="shared" si="294"/>
        <v>3.5944194175532282E-2</v>
      </c>
      <c r="DQ91" s="281">
        <f t="shared" si="294"/>
        <v>3.4763125889559592E-2</v>
      </c>
      <c r="DR91" s="281">
        <f t="shared" si="294"/>
        <v>3.1837729843215597E-2</v>
      </c>
      <c r="DS91" s="281">
        <f t="shared" si="294"/>
        <v>4.3016254721342698E-2</v>
      </c>
      <c r="DT91" s="281">
        <f t="shared" si="294"/>
        <v>5.1120661156702947E-2</v>
      </c>
      <c r="DU91" s="281">
        <f t="shared" si="294"/>
        <v>7.2014009536215395E-2</v>
      </c>
      <c r="DV91" s="281">
        <f t="shared" si="294"/>
        <v>6.988165948177652E-2</v>
      </c>
      <c r="DW91" s="281">
        <f t="shared" si="294"/>
        <v>9.4278879267135324E-2</v>
      </c>
      <c r="DX91" s="281">
        <f t="shared" si="294"/>
        <v>0.13832290624177698</v>
      </c>
      <c r="DY91" s="281">
        <f t="shared" si="294"/>
        <v>0.11195514851925885</v>
      </c>
      <c r="DZ91" s="281">
        <f t="shared" ref="DZ91:EP91" si="295">-DZ30/DZ15</f>
        <v>9.648923324966821E-2</v>
      </c>
      <c r="EA91" s="281">
        <f t="shared" si="295"/>
        <v>8.3940450166932024E-2</v>
      </c>
      <c r="EB91" s="281">
        <f t="shared" ref="EB91:EC91" si="296">-EB30/EB15</f>
        <v>8.1441241071602416E-2</v>
      </c>
      <c r="EC91" s="281">
        <f t="shared" si="296"/>
        <v>7.6423575988182765E-2</v>
      </c>
      <c r="ED91" s="281">
        <f t="shared" ref="ED91" si="297">-ED30/ED15</f>
        <v>8.3149839980858897E-2</v>
      </c>
      <c r="EE91" s="281">
        <f t="shared" si="295"/>
        <v>8.0997570214639311E-2</v>
      </c>
      <c r="EF91" s="281">
        <f t="shared" si="295"/>
        <v>7.613231011301011E-2</v>
      </c>
      <c r="EG91" s="281">
        <f t="shared" si="295"/>
        <v>7.1561709356266573E-2</v>
      </c>
      <c r="EH91" s="281">
        <f t="shared" si="295"/>
        <v>6.9387931551639262E-2</v>
      </c>
      <c r="EI91" s="281">
        <f t="shared" si="295"/>
        <v>6.8559529430390828E-2</v>
      </c>
      <c r="EJ91" s="281">
        <f t="shared" si="295"/>
        <v>6.6981572847192292E-2</v>
      </c>
      <c r="EK91" s="281">
        <f t="shared" si="295"/>
        <v>6.5624261656311134E-2</v>
      </c>
      <c r="EL91" s="281">
        <f t="shared" si="295"/>
        <v>6.3846563995782604E-2</v>
      </c>
      <c r="EM91" s="281">
        <f t="shared" si="295"/>
        <v>6.5336310074536677E-2</v>
      </c>
      <c r="EN91" s="281">
        <f t="shared" si="295"/>
        <v>6.6207311877053088E-2</v>
      </c>
      <c r="EO91" s="281">
        <f t="shared" si="295"/>
        <v>6.6435068955733381E-2</v>
      </c>
      <c r="EP91" s="281">
        <f t="shared" si="295"/>
        <v>6.7322440636790021E-2</v>
      </c>
      <c r="EQ91" s="5"/>
      <c r="ER91" s="5"/>
      <c r="ES91" s="355">
        <f t="shared" si="201"/>
        <v>86</v>
      </c>
      <c r="ET91"/>
      <c r="EU91"/>
      <c r="EV91"/>
      <c r="EW91"/>
      <c r="EX91"/>
      <c r="EY9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</row>
    <row r="92" spans="1:257" s="4" customFormat="1" ht="12.75" hidden="1" customHeight="1" outlineLevel="2">
      <c r="A92" s="15"/>
      <c r="B92" s="63" t="s">
        <v>202</v>
      </c>
      <c r="C92" s="281"/>
      <c r="D92" s="281"/>
      <c r="E92" s="281">
        <f t="shared" ref="E92:AF92" si="298">-E31/E15</f>
        <v>0</v>
      </c>
      <c r="F92" s="281">
        <f t="shared" si="298"/>
        <v>0</v>
      </c>
      <c r="G92" s="281">
        <f t="shared" si="298"/>
        <v>0</v>
      </c>
      <c r="H92" s="281">
        <f t="shared" si="298"/>
        <v>0</v>
      </c>
      <c r="I92" s="281">
        <f t="shared" si="298"/>
        <v>0</v>
      </c>
      <c r="J92" s="281">
        <f t="shared" si="298"/>
        <v>0</v>
      </c>
      <c r="K92" s="281">
        <f t="shared" si="298"/>
        <v>0</v>
      </c>
      <c r="L92" s="281">
        <f t="shared" si="298"/>
        <v>0</v>
      </c>
      <c r="M92" s="281">
        <f t="shared" si="298"/>
        <v>0</v>
      </c>
      <c r="N92" s="281">
        <f t="shared" si="298"/>
        <v>0</v>
      </c>
      <c r="O92" s="281">
        <f t="shared" si="298"/>
        <v>0</v>
      </c>
      <c r="P92" s="281">
        <f t="shared" si="298"/>
        <v>0</v>
      </c>
      <c r="Q92" s="281">
        <f t="shared" si="298"/>
        <v>0</v>
      </c>
      <c r="R92" s="281">
        <f t="shared" si="298"/>
        <v>0</v>
      </c>
      <c r="S92" s="281">
        <f t="shared" si="298"/>
        <v>0</v>
      </c>
      <c r="T92" s="281">
        <f t="shared" si="298"/>
        <v>9.0005465143628205E-4</v>
      </c>
      <c r="U92" s="281">
        <f t="shared" si="298"/>
        <v>5.1060221600622594E-3</v>
      </c>
      <c r="V92" s="281">
        <f t="shared" si="298"/>
        <v>6.5157241928276025E-3</v>
      </c>
      <c r="W92" s="281">
        <f t="shared" si="298"/>
        <v>6.1967990804648312E-3</v>
      </c>
      <c r="X92" s="281">
        <f t="shared" si="298"/>
        <v>5.0954977501759318E-3</v>
      </c>
      <c r="Y92" s="281">
        <f t="shared" si="298"/>
        <v>4.5191966336716382E-3</v>
      </c>
      <c r="Z92" s="281">
        <f t="shared" si="298"/>
        <v>4.2872871153176164E-3</v>
      </c>
      <c r="AA92" s="281">
        <f t="shared" si="298"/>
        <v>5.470939497954983E-3</v>
      </c>
      <c r="AB92" s="281">
        <f t="shared" si="298"/>
        <v>7.3074802486081487E-3</v>
      </c>
      <c r="AC92" s="281">
        <f t="shared" si="298"/>
        <v>6.8211982952999352E-3</v>
      </c>
      <c r="AD92" s="281">
        <f t="shared" si="298"/>
        <v>5.6230124687289317E-3</v>
      </c>
      <c r="AE92" s="281">
        <f t="shared" si="298"/>
        <v>5.0047354456916639E-3</v>
      </c>
      <c r="AF92" s="281">
        <f t="shared" si="298"/>
        <v>4.8462875076456229E-3</v>
      </c>
      <c r="AG92" s="281"/>
      <c r="AH92" s="281">
        <f t="shared" ref="AH92:BM92" si="299">-AH31/AH15</f>
        <v>0</v>
      </c>
      <c r="AI92" s="281">
        <f t="shared" si="299"/>
        <v>0</v>
      </c>
      <c r="AJ92" s="281">
        <f t="shared" si="299"/>
        <v>0</v>
      </c>
      <c r="AK92" s="281">
        <f t="shared" si="299"/>
        <v>0</v>
      </c>
      <c r="AL92" s="281">
        <f t="shared" si="299"/>
        <v>0</v>
      </c>
      <c r="AM92" s="281">
        <f t="shared" si="299"/>
        <v>0</v>
      </c>
      <c r="AN92" s="281">
        <f t="shared" si="299"/>
        <v>0</v>
      </c>
      <c r="AO92" s="281">
        <f t="shared" si="299"/>
        <v>0</v>
      </c>
      <c r="AP92" s="281">
        <f t="shared" si="299"/>
        <v>0</v>
      </c>
      <c r="AQ92" s="281">
        <f t="shared" si="299"/>
        <v>0</v>
      </c>
      <c r="AR92" s="281">
        <f t="shared" si="299"/>
        <v>0</v>
      </c>
      <c r="AS92" s="281">
        <f t="shared" si="299"/>
        <v>0</v>
      </c>
      <c r="AT92" s="281">
        <f t="shared" si="299"/>
        <v>0</v>
      </c>
      <c r="AU92" s="281">
        <f t="shared" si="299"/>
        <v>0</v>
      </c>
      <c r="AV92" s="281">
        <f t="shared" si="299"/>
        <v>0</v>
      </c>
      <c r="AW92" s="281">
        <f t="shared" si="299"/>
        <v>0</v>
      </c>
      <c r="AX92" s="281">
        <f t="shared" si="299"/>
        <v>0</v>
      </c>
      <c r="AY92" s="281">
        <f t="shared" si="299"/>
        <v>0</v>
      </c>
      <c r="AZ92" s="281">
        <f t="shared" si="299"/>
        <v>0</v>
      </c>
      <c r="BA92" s="281">
        <f t="shared" si="299"/>
        <v>0</v>
      </c>
      <c r="BB92" s="281">
        <f t="shared" si="299"/>
        <v>0</v>
      </c>
      <c r="BC92" s="281">
        <f t="shared" si="299"/>
        <v>0</v>
      </c>
      <c r="BD92" s="281">
        <f t="shared" si="299"/>
        <v>0</v>
      </c>
      <c r="BE92" s="281">
        <f t="shared" si="299"/>
        <v>0</v>
      </c>
      <c r="BF92" s="281">
        <f t="shared" si="299"/>
        <v>0</v>
      </c>
      <c r="BG92" s="281">
        <f t="shared" si="299"/>
        <v>0</v>
      </c>
      <c r="BH92" s="281">
        <f t="shared" si="299"/>
        <v>0</v>
      </c>
      <c r="BI92" s="281">
        <f t="shared" si="299"/>
        <v>0</v>
      </c>
      <c r="BJ92" s="281">
        <f t="shared" si="299"/>
        <v>0</v>
      </c>
      <c r="BK92" s="281">
        <f t="shared" si="299"/>
        <v>0</v>
      </c>
      <c r="BL92" s="281">
        <f t="shared" si="299"/>
        <v>0</v>
      </c>
      <c r="BM92" s="281">
        <f t="shared" si="299"/>
        <v>0</v>
      </c>
      <c r="BN92" s="281">
        <f t="shared" ref="BN92:CS92" si="300">-BN31/BN15</f>
        <v>0</v>
      </c>
      <c r="BO92" s="281">
        <f t="shared" si="300"/>
        <v>0</v>
      </c>
      <c r="BP92" s="281">
        <f t="shared" si="300"/>
        <v>0</v>
      </c>
      <c r="BQ92" s="281">
        <f t="shared" si="300"/>
        <v>0</v>
      </c>
      <c r="BR92" s="281">
        <f t="shared" si="300"/>
        <v>0</v>
      </c>
      <c r="BS92" s="281">
        <f t="shared" si="300"/>
        <v>0</v>
      </c>
      <c r="BT92" s="281">
        <f t="shared" si="300"/>
        <v>0</v>
      </c>
      <c r="BU92" s="281">
        <f t="shared" si="300"/>
        <v>0</v>
      </c>
      <c r="BV92" s="281">
        <f t="shared" si="300"/>
        <v>0</v>
      </c>
      <c r="BW92" s="281">
        <f t="shared" si="300"/>
        <v>0</v>
      </c>
      <c r="BX92" s="281">
        <f t="shared" si="300"/>
        <v>0</v>
      </c>
      <c r="BY92" s="281">
        <f t="shared" si="300"/>
        <v>0</v>
      </c>
      <c r="BZ92" s="281">
        <f t="shared" si="300"/>
        <v>0</v>
      </c>
      <c r="CA92" s="281">
        <f t="shared" si="300"/>
        <v>0</v>
      </c>
      <c r="CB92" s="281">
        <f t="shared" si="300"/>
        <v>0</v>
      </c>
      <c r="CC92" s="281">
        <f t="shared" si="300"/>
        <v>0</v>
      </c>
      <c r="CD92" s="281">
        <f t="shared" si="300"/>
        <v>0</v>
      </c>
      <c r="CE92" s="281">
        <f t="shared" si="300"/>
        <v>0</v>
      </c>
      <c r="CF92" s="281">
        <f t="shared" si="300"/>
        <v>0</v>
      </c>
      <c r="CG92" s="281">
        <f t="shared" si="300"/>
        <v>0</v>
      </c>
      <c r="CH92" s="281">
        <f t="shared" si="300"/>
        <v>0</v>
      </c>
      <c r="CI92" s="281">
        <f t="shared" si="300"/>
        <v>0</v>
      </c>
      <c r="CJ92" s="281">
        <f t="shared" si="300"/>
        <v>0</v>
      </c>
      <c r="CK92" s="281">
        <f t="shared" si="300"/>
        <v>0</v>
      </c>
      <c r="CL92" s="281">
        <f t="shared" si="300"/>
        <v>0</v>
      </c>
      <c r="CM92" s="281">
        <f t="shared" si="300"/>
        <v>0</v>
      </c>
      <c r="CN92" s="281">
        <f t="shared" si="300"/>
        <v>0</v>
      </c>
      <c r="CO92" s="281">
        <f t="shared" si="300"/>
        <v>0</v>
      </c>
      <c r="CP92" s="281">
        <f t="shared" si="300"/>
        <v>0</v>
      </c>
      <c r="CQ92" s="281">
        <f t="shared" si="300"/>
        <v>0</v>
      </c>
      <c r="CR92" s="281">
        <f t="shared" si="300"/>
        <v>9.9901055850814408E-4</v>
      </c>
      <c r="CS92" s="281">
        <f t="shared" si="300"/>
        <v>2.2459436818058004E-3</v>
      </c>
      <c r="CT92" s="281">
        <f t="shared" ref="CT92:DY92" si="301">-CT31/CT15</f>
        <v>2.688559913042642E-3</v>
      </c>
      <c r="CU92" s="281">
        <f t="shared" si="301"/>
        <v>4.1822025754372485E-3</v>
      </c>
      <c r="CV92" s="281">
        <f t="shared" si="301"/>
        <v>7.161517096606982E-3</v>
      </c>
      <c r="CW92" s="281">
        <f t="shared" si="301"/>
        <v>8.3955198127089545E-3</v>
      </c>
      <c r="CX92" s="281">
        <f t="shared" si="301"/>
        <v>4.5392816680547106E-3</v>
      </c>
      <c r="CY92" s="281">
        <f t="shared" si="301"/>
        <v>7.6002046733754059E-3</v>
      </c>
      <c r="CZ92" s="281">
        <f t="shared" si="301"/>
        <v>6.7317081243897193E-3</v>
      </c>
      <c r="DA92" s="281">
        <f t="shared" si="301"/>
        <v>6.8896176271162181E-3</v>
      </c>
      <c r="DB92" s="281">
        <f t="shared" si="301"/>
        <v>5.8354438468860266E-3</v>
      </c>
      <c r="DC92" s="281">
        <f t="shared" si="301"/>
        <v>6.0224418685453163E-3</v>
      </c>
      <c r="DD92" s="281">
        <f t="shared" si="301"/>
        <v>6.8297378492303161E-3</v>
      </c>
      <c r="DE92" s="281">
        <f t="shared" si="301"/>
        <v>6.0720569788698126E-3</v>
      </c>
      <c r="DF92" s="281">
        <f t="shared" si="301"/>
        <v>4.4349620796409438E-3</v>
      </c>
      <c r="DG92" s="281">
        <f t="shared" si="301"/>
        <v>4.9741422526760372E-3</v>
      </c>
      <c r="DH92" s="281">
        <f t="shared" si="301"/>
        <v>5.2440578932281042E-3</v>
      </c>
      <c r="DI92" s="281">
        <f t="shared" si="301"/>
        <v>5.6447247382894871E-3</v>
      </c>
      <c r="DJ92" s="281">
        <f t="shared" si="301"/>
        <v>3.9700582069971541E-3</v>
      </c>
      <c r="DK92" s="281">
        <f t="shared" si="301"/>
        <v>4.4088754862467178E-3</v>
      </c>
      <c r="DL92" s="281">
        <f t="shared" si="301"/>
        <v>5.2047317474354232E-3</v>
      </c>
      <c r="DM92" s="281">
        <f t="shared" si="301"/>
        <v>4.4959511678153569E-3</v>
      </c>
      <c r="DN92" s="281">
        <f t="shared" si="301"/>
        <v>4.8416253288688501E-3</v>
      </c>
      <c r="DO92" s="281">
        <f t="shared" si="301"/>
        <v>4.0573967742296539E-3</v>
      </c>
      <c r="DP92" s="281">
        <f t="shared" si="301"/>
        <v>4.0584526414077712E-3</v>
      </c>
      <c r="DQ92" s="281">
        <f t="shared" si="301"/>
        <v>4.2221721395519765E-3</v>
      </c>
      <c r="DR92" s="281">
        <f t="shared" si="301"/>
        <v>4.0228911990789346E-3</v>
      </c>
      <c r="DS92" s="281">
        <f t="shared" si="301"/>
        <v>5.9861884471251355E-3</v>
      </c>
      <c r="DT92" s="281">
        <f t="shared" si="301"/>
        <v>5.7876710988526772E-3</v>
      </c>
      <c r="DU92" s="281">
        <f t="shared" si="301"/>
        <v>7.1836329253752657E-3</v>
      </c>
      <c r="DV92" s="281">
        <f t="shared" si="301"/>
        <v>6.3598105639242281E-3</v>
      </c>
      <c r="DW92" s="281">
        <f t="shared" si="301"/>
        <v>6.4551656414604201E-3</v>
      </c>
      <c r="DX92" s="281">
        <f t="shared" si="301"/>
        <v>9.4735004983299217E-3</v>
      </c>
      <c r="DY92" s="281">
        <f t="shared" si="301"/>
        <v>7.7105374165089219E-3</v>
      </c>
      <c r="DZ92" s="281">
        <f t="shared" ref="DZ92:EP92" si="302">-DZ31/DZ15</f>
        <v>7.9079378601677758E-3</v>
      </c>
      <c r="EA92" s="281">
        <f t="shared" si="302"/>
        <v>6.8090958561976252E-3</v>
      </c>
      <c r="EB92" s="281">
        <f t="shared" ref="EB92:EC92" si="303">-EB31/EB15</f>
        <v>6.3184807188730137E-3</v>
      </c>
      <c r="EC92" s="281">
        <f t="shared" si="303"/>
        <v>6.5601750532118894E-3</v>
      </c>
      <c r="ED92" s="281">
        <f t="shared" ref="ED92" si="304">-ED31/ED15</f>
        <v>5.7769739300957655E-3</v>
      </c>
      <c r="EE92" s="281">
        <f t="shared" si="302"/>
        <v>5.879235633219666E-3</v>
      </c>
      <c r="EF92" s="281">
        <f t="shared" si="302"/>
        <v>5.5813499980594391E-3</v>
      </c>
      <c r="EG92" s="281">
        <f t="shared" si="302"/>
        <v>5.2987365711310358E-3</v>
      </c>
      <c r="EH92" s="281">
        <f t="shared" si="302"/>
        <v>5.1377807184200767E-3</v>
      </c>
      <c r="EI92" s="281">
        <f t="shared" si="302"/>
        <v>5.0764422644487108E-3</v>
      </c>
      <c r="EJ92" s="281">
        <f t="shared" si="302"/>
        <v>4.9596035761297194E-3</v>
      </c>
      <c r="EK92" s="281">
        <f t="shared" si="302"/>
        <v>4.8591024211094812E-3</v>
      </c>
      <c r="EL92" s="281">
        <f t="shared" si="302"/>
        <v>4.727474044831299E-3</v>
      </c>
      <c r="EM92" s="281">
        <f t="shared" si="302"/>
        <v>4.8377812482254283E-3</v>
      </c>
      <c r="EN92" s="281">
        <f t="shared" si="302"/>
        <v>4.9022739657140256E-3</v>
      </c>
      <c r="EO92" s="281">
        <f t="shared" si="302"/>
        <v>4.9191380788409086E-3</v>
      </c>
      <c r="EP92" s="281">
        <f t="shared" si="302"/>
        <v>4.9848428925030937E-3</v>
      </c>
      <c r="EQ92" s="5"/>
      <c r="ER92" s="5"/>
      <c r="ES92" s="355">
        <f t="shared" si="201"/>
        <v>87</v>
      </c>
      <c r="ET92"/>
      <c r="EU92"/>
      <c r="EV92"/>
      <c r="EW92"/>
      <c r="EX92"/>
      <c r="EY92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</row>
    <row r="93" spans="1:257" s="278" customFormat="1" ht="12.75" hidden="1" customHeight="1" outlineLevel="2">
      <c r="A93" s="280"/>
      <c r="B93" s="47" t="s">
        <v>201</v>
      </c>
      <c r="C93" s="279"/>
      <c r="D93" s="279"/>
      <c r="E93" s="279">
        <f t="shared" ref="E93:AF93" si="305">E32/E15</f>
        <v>0.34102931902616274</v>
      </c>
      <c r="F93" s="279">
        <f t="shared" si="305"/>
        <v>0.31101215377845537</v>
      </c>
      <c r="G93" s="279">
        <f t="shared" si="305"/>
        <v>0.33317110266159689</v>
      </c>
      <c r="H93" s="279">
        <f t="shared" si="305"/>
        <v>0.3840422429433793</v>
      </c>
      <c r="I93" s="279">
        <f t="shared" si="305"/>
        <v>0.43635939986809424</v>
      </c>
      <c r="J93" s="279">
        <f t="shared" si="305"/>
        <v>0.39559858589919217</v>
      </c>
      <c r="K93" s="279">
        <f t="shared" si="305"/>
        <v>0.37737754284338493</v>
      </c>
      <c r="L93" s="279">
        <f t="shared" si="305"/>
        <v>0.45167929069538426</v>
      </c>
      <c r="M93" s="279">
        <f t="shared" si="305"/>
        <v>0.47269640581719252</v>
      </c>
      <c r="N93" s="279">
        <f t="shared" si="305"/>
        <v>0.23913342529719486</v>
      </c>
      <c r="O93" s="279">
        <f t="shared" si="305"/>
        <v>0.23809110817198234</v>
      </c>
      <c r="P93" s="279">
        <f t="shared" si="305"/>
        <v>0.22693767655367236</v>
      </c>
      <c r="Q93" s="279">
        <f t="shared" si="305"/>
        <v>0.34403778570946875</v>
      </c>
      <c r="R93" s="279">
        <f t="shared" si="305"/>
        <v>0.41751434708808605</v>
      </c>
      <c r="S93" s="279">
        <f t="shared" si="305"/>
        <v>0.44181233117623436</v>
      </c>
      <c r="T93" s="279">
        <f t="shared" si="305"/>
        <v>0.4374987417402923</v>
      </c>
      <c r="U93" s="279">
        <f t="shared" si="305"/>
        <v>0.4294507290772413</v>
      </c>
      <c r="V93" s="279">
        <f t="shared" si="305"/>
        <v>0.37640289727080317</v>
      </c>
      <c r="W93" s="279">
        <f t="shared" si="305"/>
        <v>0.39871551251742404</v>
      </c>
      <c r="X93" s="279">
        <f t="shared" si="305"/>
        <v>0.40545852816896499</v>
      </c>
      <c r="Y93" s="279">
        <f t="shared" si="305"/>
        <v>0.40843968202890951</v>
      </c>
      <c r="Z93" s="279">
        <f t="shared" si="305"/>
        <v>0.41750148911862328</v>
      </c>
      <c r="AA93" s="279">
        <f t="shared" si="305"/>
        <v>0.36975041969450817</v>
      </c>
      <c r="AB93" s="279">
        <f t="shared" si="305"/>
        <v>0.28151703742542428</v>
      </c>
      <c r="AC93" s="279">
        <f t="shared" si="305"/>
        <v>0.20303924375857338</v>
      </c>
      <c r="AD93" s="279">
        <f t="shared" si="305"/>
        <v>0.25173128939272843</v>
      </c>
      <c r="AE93" s="279">
        <f t="shared" si="305"/>
        <v>0.30149608938942912</v>
      </c>
      <c r="AF93" s="279">
        <f t="shared" si="305"/>
        <v>0.30481549939456598</v>
      </c>
      <c r="AG93" s="279"/>
      <c r="AH93" s="279">
        <f t="shared" ref="AH93:BM93" si="306">AH32/AH15</f>
        <v>0.36977825554361138</v>
      </c>
      <c r="AI93" s="279">
        <f t="shared" si="306"/>
        <v>0.36058834389808603</v>
      </c>
      <c r="AJ93" s="279">
        <f t="shared" si="306"/>
        <v>0.33221443928150357</v>
      </c>
      <c r="AK93" s="279">
        <f t="shared" si="306"/>
        <v>0.29627948559246287</v>
      </c>
      <c r="AL93" s="279">
        <f t="shared" si="306"/>
        <v>0.3403973017211448</v>
      </c>
      <c r="AM93" s="279">
        <f t="shared" si="306"/>
        <v>0.32051089058465237</v>
      </c>
      <c r="AN93" s="279">
        <f t="shared" si="306"/>
        <v>0.30184810258007588</v>
      </c>
      <c r="AO93" s="279">
        <f t="shared" si="306"/>
        <v>0.2794272853273651</v>
      </c>
      <c r="AP93" s="279">
        <f t="shared" si="306"/>
        <v>0.32095983705683923</v>
      </c>
      <c r="AQ93" s="279">
        <f t="shared" si="306"/>
        <v>0.33275959479168032</v>
      </c>
      <c r="AR93" s="279">
        <f t="shared" si="306"/>
        <v>0.32260217502257466</v>
      </c>
      <c r="AS93" s="279">
        <f t="shared" si="306"/>
        <v>0.36092163338374617</v>
      </c>
      <c r="AT93" s="279">
        <f t="shared" si="306"/>
        <v>0.36269768507907413</v>
      </c>
      <c r="AU93" s="279">
        <f t="shared" si="306"/>
        <v>0.38681304639499098</v>
      </c>
      <c r="AV93" s="279">
        <f t="shared" si="306"/>
        <v>0.41072395739303119</v>
      </c>
      <c r="AW93" s="279">
        <f t="shared" si="306"/>
        <v>0.37411819887429665</v>
      </c>
      <c r="AX93" s="279">
        <f t="shared" si="306"/>
        <v>0.43321110977845556</v>
      </c>
      <c r="AY93" s="279">
        <f t="shared" si="306"/>
        <v>0.43908910860804601</v>
      </c>
      <c r="AZ93" s="279">
        <f t="shared" si="306"/>
        <v>0.43896468146851164</v>
      </c>
      <c r="BA93" s="279">
        <f t="shared" si="306"/>
        <v>0.43406609619356773</v>
      </c>
      <c r="BB93" s="279">
        <f t="shared" si="306"/>
        <v>0.45149605862107256</v>
      </c>
      <c r="BC93" s="279">
        <f t="shared" si="306"/>
        <v>0.39483177344449022</v>
      </c>
      <c r="BD93" s="279">
        <f t="shared" si="306"/>
        <v>0.38673961352029207</v>
      </c>
      <c r="BE93" s="279">
        <f t="shared" si="306"/>
        <v>0.35262171917937934</v>
      </c>
      <c r="BF93" s="279">
        <f t="shared" si="306"/>
        <v>0.3670694228097503</v>
      </c>
      <c r="BG93" s="279">
        <f t="shared" si="306"/>
        <v>0.34551615793095392</v>
      </c>
      <c r="BH93" s="279">
        <f t="shared" si="306"/>
        <v>0.40298876891185292</v>
      </c>
      <c r="BI93" s="279">
        <f t="shared" si="306"/>
        <v>0.40083232607598063</v>
      </c>
      <c r="BJ93" s="279">
        <f t="shared" si="306"/>
        <v>0.41182300989688886</v>
      </c>
      <c r="BK93" s="279">
        <f t="shared" si="306"/>
        <v>0.43633459544641012</v>
      </c>
      <c r="BL93" s="279">
        <f t="shared" si="306"/>
        <v>0.46854967948717952</v>
      </c>
      <c r="BM93" s="279">
        <f t="shared" si="306"/>
        <v>0.48050618937830236</v>
      </c>
      <c r="BN93" s="279">
        <f t="shared" ref="BN93:CS93" si="307">BN32/BN15</f>
        <v>0.48556506524442944</v>
      </c>
      <c r="BO93" s="279">
        <f t="shared" si="307"/>
        <v>0.48942723828587364</v>
      </c>
      <c r="BP93" s="279">
        <f t="shared" si="307"/>
        <v>0.4610369143776491</v>
      </c>
      <c r="BQ93" s="279">
        <f t="shared" si="307"/>
        <v>0.44793687662248932</v>
      </c>
      <c r="BR93" s="279">
        <f t="shared" si="307"/>
        <v>0.29402564246436991</v>
      </c>
      <c r="BS93" s="279">
        <f t="shared" si="307"/>
        <v>0.2080938111545988</v>
      </c>
      <c r="BT93" s="279">
        <f t="shared" si="307"/>
        <v>0.23164551958575436</v>
      </c>
      <c r="BU93" s="279">
        <f t="shared" si="307"/>
        <v>0.21631162606168072</v>
      </c>
      <c r="BV93" s="279">
        <f t="shared" si="307"/>
        <v>0.18193130910900951</v>
      </c>
      <c r="BW93" s="279">
        <f t="shared" si="307"/>
        <v>0.21178233526490731</v>
      </c>
      <c r="BX93" s="279">
        <f t="shared" si="307"/>
        <v>0.28168549940316212</v>
      </c>
      <c r="BY93" s="279">
        <f t="shared" si="307"/>
        <v>0.26569288107517974</v>
      </c>
      <c r="BZ93" s="279">
        <f t="shared" si="307"/>
        <v>0.23377745339718328</v>
      </c>
      <c r="CA93" s="279">
        <f t="shared" si="307"/>
        <v>0.19776401163441099</v>
      </c>
      <c r="CB93" s="279">
        <f t="shared" si="307"/>
        <v>0.22081914266949243</v>
      </c>
      <c r="CC93" s="279">
        <f t="shared" si="307"/>
        <v>0.2522795426286662</v>
      </c>
      <c r="CD93" s="279">
        <f t="shared" si="307"/>
        <v>0.31017466323942777</v>
      </c>
      <c r="CE93" s="279">
        <f t="shared" si="307"/>
        <v>0.33181989754650854</v>
      </c>
      <c r="CF93" s="279">
        <f t="shared" si="307"/>
        <v>0.35796361391986958</v>
      </c>
      <c r="CG93" s="279">
        <f t="shared" si="307"/>
        <v>0.36673384503237433</v>
      </c>
      <c r="CH93" s="279">
        <f t="shared" si="307"/>
        <v>0.40273622879696774</v>
      </c>
      <c r="CI93" s="279">
        <f t="shared" si="307"/>
        <v>0.41286318467833438</v>
      </c>
      <c r="CJ93" s="279">
        <f t="shared" si="307"/>
        <v>0.42939248771091576</v>
      </c>
      <c r="CK93" s="279">
        <f t="shared" si="307"/>
        <v>0.42121633560851623</v>
      </c>
      <c r="CL93" s="279">
        <f t="shared" si="307"/>
        <v>0.45631329273626481</v>
      </c>
      <c r="CM93" s="279">
        <f t="shared" si="307"/>
        <v>0.42876393153950221</v>
      </c>
      <c r="CN93" s="279">
        <f t="shared" si="307"/>
        <v>0.42896309765140966</v>
      </c>
      <c r="CO93" s="279">
        <f t="shared" si="307"/>
        <v>0.45220481077942098</v>
      </c>
      <c r="CP93" s="279">
        <f t="shared" si="307"/>
        <v>0.45321166812288288</v>
      </c>
      <c r="CQ93" s="279">
        <f t="shared" si="307"/>
        <v>0.43407284796176027</v>
      </c>
      <c r="CR93" s="279">
        <f t="shared" si="307"/>
        <v>0.44611754258713116</v>
      </c>
      <c r="CS93" s="279">
        <f t="shared" si="307"/>
        <v>0.42027071244896941</v>
      </c>
      <c r="CT93" s="279">
        <f t="shared" ref="CT93:DY93" si="308">CT32/CT15</f>
        <v>0.44248373557524273</v>
      </c>
      <c r="CU93" s="279">
        <f t="shared" si="308"/>
        <v>0.4581895060541995</v>
      </c>
      <c r="CV93" s="279">
        <f t="shared" si="308"/>
        <v>0.38792883355210744</v>
      </c>
      <c r="CW93" s="279">
        <f t="shared" si="308"/>
        <v>0.41017677248721074</v>
      </c>
      <c r="CX93" s="279">
        <f t="shared" si="308"/>
        <v>0.41138897017079212</v>
      </c>
      <c r="CY93" s="279">
        <f t="shared" si="308"/>
        <v>0.37229404741599853</v>
      </c>
      <c r="CZ93" s="279">
        <f t="shared" si="308"/>
        <v>0.36085803419227774</v>
      </c>
      <c r="DA93" s="279">
        <f t="shared" si="308"/>
        <v>0.36805156747298989</v>
      </c>
      <c r="DB93" s="279">
        <f t="shared" si="308"/>
        <v>0.40568442861419135</v>
      </c>
      <c r="DC93" s="279">
        <f t="shared" si="308"/>
        <v>0.40198310407242815</v>
      </c>
      <c r="DD93" s="279">
        <f t="shared" si="308"/>
        <v>0.39375092183606442</v>
      </c>
      <c r="DE93" s="279">
        <f t="shared" si="308"/>
        <v>0.39454670774640349</v>
      </c>
      <c r="DF93" s="279">
        <f t="shared" si="308"/>
        <v>0.42608396533931764</v>
      </c>
      <c r="DG93" s="279">
        <f t="shared" si="308"/>
        <v>0.37681270471257766</v>
      </c>
      <c r="DH93" s="279">
        <f t="shared" si="308"/>
        <v>0.3976347456955176</v>
      </c>
      <c r="DI93" s="279">
        <f t="shared" si="308"/>
        <v>0.42156641714298809</v>
      </c>
      <c r="DJ93" s="279">
        <f t="shared" si="308"/>
        <v>0.40485239861136757</v>
      </c>
      <c r="DK93" s="279">
        <f t="shared" si="308"/>
        <v>0.40562608775523107</v>
      </c>
      <c r="DL93" s="279">
        <f t="shared" si="308"/>
        <v>0.42102506912069437</v>
      </c>
      <c r="DM93" s="279">
        <f t="shared" si="308"/>
        <v>0.40232501871249543</v>
      </c>
      <c r="DN93" s="279">
        <f t="shared" si="308"/>
        <v>0.41933706168585061</v>
      </c>
      <c r="DO93" s="279">
        <f t="shared" si="308"/>
        <v>0.41996239212920999</v>
      </c>
      <c r="DP93" s="279">
        <f t="shared" si="308"/>
        <v>0.41882937168557066</v>
      </c>
      <c r="DQ93" s="279">
        <f t="shared" si="308"/>
        <v>0.41234754395261913</v>
      </c>
      <c r="DR93" s="279">
        <f t="shared" si="308"/>
        <v>0.42790578423641984</v>
      </c>
      <c r="DS93" s="279">
        <f t="shared" si="308"/>
        <v>0.37255698620926631</v>
      </c>
      <c r="DT93" s="279">
        <f t="shared" si="308"/>
        <v>0.3316917592633627</v>
      </c>
      <c r="DU93" s="279">
        <f t="shared" si="308"/>
        <v>0.2923834987404616</v>
      </c>
      <c r="DV93" s="279">
        <f t="shared" si="308"/>
        <v>0.33953617851445744</v>
      </c>
      <c r="DW93" s="279">
        <f t="shared" si="308"/>
        <v>0.28607541050538415</v>
      </c>
      <c r="DX93" s="279">
        <f t="shared" si="308"/>
        <v>0.21714309531772863</v>
      </c>
      <c r="DY93" s="279">
        <f t="shared" si="308"/>
        <v>0.24882789563800858</v>
      </c>
      <c r="DZ93" s="279">
        <f t="shared" ref="DZ93:EP93" si="309">DZ32/DZ15</f>
        <v>0.20194251396667717</v>
      </c>
      <c r="EA93" s="279">
        <f t="shared" si="309"/>
        <v>0.16591205239566956</v>
      </c>
      <c r="EB93" s="279">
        <f t="shared" ref="EB93:EC93" si="310">EB32/EB15</f>
        <v>0.21496968997111904</v>
      </c>
      <c r="EC93" s="279">
        <f t="shared" si="310"/>
        <v>0.22092899734185936</v>
      </c>
      <c r="ED93" s="279">
        <f t="shared" ref="ED93" si="311">ED32/ED15</f>
        <v>0.2446258253092313</v>
      </c>
      <c r="EE93" s="279">
        <f t="shared" si="309"/>
        <v>0.23640436117287242</v>
      </c>
      <c r="EF93" s="279">
        <f t="shared" si="309"/>
        <v>0.24891027360051984</v>
      </c>
      <c r="EG93" s="279">
        <f t="shared" si="309"/>
        <v>0.27424993253605645</v>
      </c>
      <c r="EH93" s="279">
        <f t="shared" si="309"/>
        <v>0.2885012089549967</v>
      </c>
      <c r="EI93" s="279">
        <f t="shared" si="309"/>
        <v>0.30380804295243702</v>
      </c>
      <c r="EJ93" s="279">
        <f t="shared" si="309"/>
        <v>0.30611949905580893</v>
      </c>
      <c r="EK93" s="279">
        <f t="shared" si="309"/>
        <v>0.30677042779383373</v>
      </c>
      <c r="EL93" s="279">
        <f t="shared" si="309"/>
        <v>0.30983225160832817</v>
      </c>
      <c r="EM93" s="279">
        <f t="shared" si="309"/>
        <v>0.30583455654885505</v>
      </c>
      <c r="EN93" s="279">
        <f t="shared" si="309"/>
        <v>0.30279617239927603</v>
      </c>
      <c r="EO93" s="279">
        <f t="shared" si="309"/>
        <v>0.30073931273648813</v>
      </c>
      <c r="EP93" s="279">
        <f t="shared" si="309"/>
        <v>0.2976540120568974</v>
      </c>
      <c r="EQ93" s="81"/>
      <c r="ER93" s="81"/>
      <c r="ES93" s="355">
        <f t="shared" si="201"/>
        <v>88</v>
      </c>
      <c r="ET93"/>
      <c r="EU93"/>
      <c r="EV93"/>
      <c r="EW93"/>
      <c r="EX93"/>
      <c r="EY93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</row>
    <row r="94" spans="1:257" s="4" customFormat="1" ht="12.75" hidden="1" customHeight="1" outlineLevel="2">
      <c r="A94" s="15"/>
      <c r="B94" s="63" t="s">
        <v>200</v>
      </c>
      <c r="C94" s="281"/>
      <c r="D94" s="281"/>
      <c r="E94" s="281">
        <f t="shared" ref="E94:AF94" si="312">IFERROR(-E33/D260,0)</f>
        <v>0</v>
      </c>
      <c r="F94" s="281">
        <f t="shared" si="312"/>
        <v>0.13954369868282432</v>
      </c>
      <c r="G94" s="281">
        <f t="shared" si="312"/>
        <v>0.13588634497355553</v>
      </c>
      <c r="H94" s="281">
        <f t="shared" si="312"/>
        <v>0.142106131348122</v>
      </c>
      <c r="I94" s="281">
        <f t="shared" si="312"/>
        <v>0.15467447399761811</v>
      </c>
      <c r="J94" s="281">
        <f t="shared" si="312"/>
        <v>0.16390705440378461</v>
      </c>
      <c r="K94" s="281">
        <f t="shared" si="312"/>
        <v>0.15767124850694209</v>
      </c>
      <c r="L94" s="281">
        <f t="shared" si="312"/>
        <v>0.16037123036971129</v>
      </c>
      <c r="M94" s="281">
        <f t="shared" si="312"/>
        <v>0.11180588030076974</v>
      </c>
      <c r="N94" s="281">
        <f t="shared" si="312"/>
        <v>9.4524891123927188E-2</v>
      </c>
      <c r="O94" s="281">
        <f t="shared" si="312"/>
        <v>9.1942124587022042E-2</v>
      </c>
      <c r="P94" s="281">
        <f t="shared" si="312"/>
        <v>8.9231292613435015E-2</v>
      </c>
      <c r="Q94" s="281">
        <f t="shared" si="312"/>
        <v>9.6401828825021976E-2</v>
      </c>
      <c r="R94" s="281">
        <f t="shared" si="312"/>
        <v>0.10344869725499381</v>
      </c>
      <c r="S94" s="281">
        <f t="shared" si="312"/>
        <v>9.846851329684303E-2</v>
      </c>
      <c r="T94" s="281">
        <f t="shared" si="312"/>
        <v>9.7911564347751764E-2</v>
      </c>
      <c r="U94" s="281">
        <f t="shared" si="312"/>
        <v>8.8148722845102861E-2</v>
      </c>
      <c r="V94" s="281">
        <f t="shared" si="312"/>
        <v>8.1767790693366343E-2</v>
      </c>
      <c r="W94" s="281">
        <f t="shared" si="312"/>
        <v>9.6325518622787029E-2</v>
      </c>
      <c r="X94" s="281">
        <f t="shared" si="312"/>
        <v>0.10671730481062366</v>
      </c>
      <c r="Y94" s="281">
        <f t="shared" si="312"/>
        <v>0.10470310607364558</v>
      </c>
      <c r="Z94" s="281">
        <f t="shared" si="312"/>
        <v>0.10832716901231644</v>
      </c>
      <c r="AA94" s="281">
        <f t="shared" si="312"/>
        <v>0.10985586707947355</v>
      </c>
      <c r="AB94" s="281">
        <f t="shared" si="312"/>
        <v>0.10067600882664375</v>
      </c>
      <c r="AC94" s="281">
        <f t="shared" si="312"/>
        <v>0.10563371121494547</v>
      </c>
      <c r="AD94" s="281">
        <f t="shared" si="312"/>
        <v>0.10885424399491227</v>
      </c>
      <c r="AE94" s="281">
        <f t="shared" si="312"/>
        <v>0.11147676596036768</v>
      </c>
      <c r="AF94" s="281">
        <f t="shared" si="312"/>
        <v>0.11522110904589511</v>
      </c>
      <c r="AG94" s="281"/>
      <c r="AH94" s="281"/>
      <c r="AI94" s="281">
        <f t="shared" ref="AI94:BN94" si="313">IFERROR(-AI33*4/AH260,0)</f>
        <v>0</v>
      </c>
      <c r="AJ94" s="281">
        <f t="shared" si="313"/>
        <v>0</v>
      </c>
      <c r="AK94" s="281">
        <f t="shared" si="313"/>
        <v>0</v>
      </c>
      <c r="AL94" s="281">
        <f t="shared" si="313"/>
        <v>0.13175101310486681</v>
      </c>
      <c r="AM94" s="281">
        <f t="shared" si="313"/>
        <v>0.15011249504519342</v>
      </c>
      <c r="AN94" s="281">
        <f t="shared" si="313"/>
        <v>0.13769703192970612</v>
      </c>
      <c r="AO94" s="281">
        <f t="shared" si="313"/>
        <v>0.13089886018576105</v>
      </c>
      <c r="AP94" s="281">
        <f t="shared" si="313"/>
        <v>0.13607853218886262</v>
      </c>
      <c r="AQ94" s="281">
        <f t="shared" si="313"/>
        <v>0.12896189295399912</v>
      </c>
      <c r="AR94" s="281">
        <f t="shared" si="313"/>
        <v>0.13049484340997256</v>
      </c>
      <c r="AS94" s="281">
        <f t="shared" si="313"/>
        <v>0.12648167149226341</v>
      </c>
      <c r="AT94" s="281">
        <f t="shared" si="313"/>
        <v>0.12979418732802128</v>
      </c>
      <c r="AU94" s="281">
        <f t="shared" si="313"/>
        <v>0.128627164377976</v>
      </c>
      <c r="AV94" s="281">
        <f t="shared" si="313"/>
        <v>0.12544299862326241</v>
      </c>
      <c r="AW94" s="281">
        <f t="shared" si="313"/>
        <v>0.15027035471580208</v>
      </c>
      <c r="AX94" s="281">
        <f t="shared" si="313"/>
        <v>0.13352434540966912</v>
      </c>
      <c r="AY94" s="281">
        <f t="shared" si="313"/>
        <v>0.14459425167337125</v>
      </c>
      <c r="AZ94" s="281">
        <f t="shared" si="313"/>
        <v>0.15404280154042801</v>
      </c>
      <c r="BA94" s="281">
        <f t="shared" si="313"/>
        <v>0.15939888381129877</v>
      </c>
      <c r="BB94" s="281">
        <f t="shared" si="313"/>
        <v>0.13840545429247253</v>
      </c>
      <c r="BC94" s="281">
        <f t="shared" si="313"/>
        <v>0.13851532451218038</v>
      </c>
      <c r="BD94" s="281">
        <f t="shared" si="313"/>
        <v>0.14528044197607448</v>
      </c>
      <c r="BE94" s="281">
        <f t="shared" si="313"/>
        <v>0.18454110993439587</v>
      </c>
      <c r="BF94" s="281">
        <f t="shared" si="313"/>
        <v>0.13864821028032659</v>
      </c>
      <c r="BG94" s="281">
        <f t="shared" si="313"/>
        <v>0.18807954111545241</v>
      </c>
      <c r="BH94" s="281">
        <f t="shared" si="313"/>
        <v>0.14406071459026179</v>
      </c>
      <c r="BI94" s="281">
        <f t="shared" si="313"/>
        <v>0.15258176700944112</v>
      </c>
      <c r="BJ94" s="281">
        <f t="shared" si="313"/>
        <v>0.15125829155906628</v>
      </c>
      <c r="BK94" s="281">
        <f t="shared" si="313"/>
        <v>0.16180318676697353</v>
      </c>
      <c r="BL94" s="281">
        <f t="shared" si="313"/>
        <v>0.15776814072266102</v>
      </c>
      <c r="BM94" s="281">
        <f t="shared" si="313"/>
        <v>0.18085149244711188</v>
      </c>
      <c r="BN94" s="281">
        <f t="shared" si="313"/>
        <v>0.10675692727934027</v>
      </c>
      <c r="BO94" s="281">
        <f t="shared" ref="BO94:CT94" si="314">IFERROR(-BO33*4/BN260,0)</f>
        <v>0.13295189801030224</v>
      </c>
      <c r="BP94" s="281">
        <f t="shared" si="314"/>
        <v>0.11902282046884652</v>
      </c>
      <c r="BQ94" s="281">
        <f t="shared" si="314"/>
        <v>6.9358577545357417E-2</v>
      </c>
      <c r="BR94" s="281">
        <f t="shared" si="314"/>
        <v>8.5119475241173387E-2</v>
      </c>
      <c r="BS94" s="281">
        <f t="shared" si="314"/>
        <v>6.992577996105423E-2</v>
      </c>
      <c r="BT94" s="281">
        <f t="shared" si="314"/>
        <v>6.6341709625030318E-2</v>
      </c>
      <c r="BU94" s="281">
        <f t="shared" si="314"/>
        <v>7.0808471669456904E-2</v>
      </c>
      <c r="BV94" s="281">
        <f t="shared" si="314"/>
        <v>8.1279632735153678E-2</v>
      </c>
      <c r="BW94" s="281">
        <f t="shared" si="314"/>
        <v>8.4135875452072656E-2</v>
      </c>
      <c r="BX94" s="281">
        <f t="shared" si="314"/>
        <v>8.6484596300378927E-2</v>
      </c>
      <c r="BY94" s="281">
        <f t="shared" si="314"/>
        <v>8.8067877534045394E-2</v>
      </c>
      <c r="BZ94" s="281">
        <f t="shared" si="314"/>
        <v>8.417272645659396E-2</v>
      </c>
      <c r="CA94" s="281">
        <f t="shared" si="314"/>
        <v>8.7872723108175593E-2</v>
      </c>
      <c r="CB94" s="281">
        <f t="shared" si="314"/>
        <v>8.9983955605809823E-2</v>
      </c>
      <c r="CC94" s="281">
        <f t="shared" si="314"/>
        <v>9.3876968259176241E-2</v>
      </c>
      <c r="CD94" s="281">
        <f t="shared" si="314"/>
        <v>9.317154546929228E-2</v>
      </c>
      <c r="CE94" s="281">
        <f t="shared" si="314"/>
        <v>9.8717802075959121E-2</v>
      </c>
      <c r="CF94" s="281">
        <f t="shared" si="314"/>
        <v>9.7631338413131194E-2</v>
      </c>
      <c r="CG94" s="281">
        <f t="shared" si="314"/>
        <v>0.10605560857485838</v>
      </c>
      <c r="CH94" s="281">
        <f t="shared" si="314"/>
        <v>9.3376036824123043E-2</v>
      </c>
      <c r="CI94" s="281">
        <f t="shared" si="314"/>
        <v>9.1798490830455437E-2</v>
      </c>
      <c r="CJ94" s="281">
        <f t="shared" si="314"/>
        <v>8.9674921258188212E-2</v>
      </c>
      <c r="CK94" s="281">
        <f t="shared" si="314"/>
        <v>9.719907722191333E-2</v>
      </c>
      <c r="CL94" s="281">
        <f t="shared" si="314"/>
        <v>8.131699495797412E-2</v>
      </c>
      <c r="CM94" s="281">
        <f t="shared" si="314"/>
        <v>8.2175690689024403E-2</v>
      </c>
      <c r="CN94" s="281">
        <f t="shared" si="314"/>
        <v>8.4348977994596133E-2</v>
      </c>
      <c r="CO94" s="281">
        <f t="shared" si="314"/>
        <v>8.9218398333252041E-2</v>
      </c>
      <c r="CP94" s="281">
        <f t="shared" si="314"/>
        <v>8.1731251649156192E-2</v>
      </c>
      <c r="CQ94" s="281">
        <f t="shared" si="314"/>
        <v>9.0844849039966161E-2</v>
      </c>
      <c r="CR94" s="281">
        <f t="shared" si="314"/>
        <v>8.5497411787490263E-2</v>
      </c>
      <c r="CS94" s="281">
        <f t="shared" si="314"/>
        <v>0.1005155564392088</v>
      </c>
      <c r="CT94" s="281">
        <f t="shared" si="314"/>
        <v>8.1680648082524704E-2</v>
      </c>
      <c r="CU94" s="281">
        <f t="shared" ref="CU94:ED94" si="315">IFERROR(-CU33*4/CT260,0)</f>
        <v>7.9173675962257578E-2</v>
      </c>
      <c r="CV94" s="281">
        <f t="shared" si="315"/>
        <v>7.9104186523273612E-2</v>
      </c>
      <c r="CW94" s="281">
        <f t="shared" si="315"/>
        <v>7.9155117058190089E-2</v>
      </c>
      <c r="CX94" s="281">
        <f t="shared" si="315"/>
        <v>7.6919520366011643E-2</v>
      </c>
      <c r="CY94" s="281">
        <f t="shared" si="315"/>
        <v>8.0393616530574655E-2</v>
      </c>
      <c r="CZ94" s="281">
        <f t="shared" si="315"/>
        <v>7.9397553649936878E-2</v>
      </c>
      <c r="DA94" s="281">
        <f t="shared" si="315"/>
        <v>9.0535353319964415E-2</v>
      </c>
      <c r="DB94" s="281">
        <f t="shared" si="315"/>
        <v>8.937960684209563E-2</v>
      </c>
      <c r="DC94" s="281">
        <f t="shared" si="315"/>
        <v>9.1303065613626236E-2</v>
      </c>
      <c r="DD94" s="281">
        <f t="shared" si="315"/>
        <v>9.2507970011416002E-2</v>
      </c>
      <c r="DE94" s="281">
        <f t="shared" si="315"/>
        <v>9.7945180616606217E-2</v>
      </c>
      <c r="DF94" s="281">
        <f t="shared" si="315"/>
        <v>9.3866040080825219E-2</v>
      </c>
      <c r="DG94" s="281">
        <f t="shared" si="315"/>
        <v>9.492064328793233E-2</v>
      </c>
      <c r="DH94" s="281">
        <f t="shared" si="315"/>
        <v>9.5774870391440614E-2</v>
      </c>
      <c r="DI94" s="281">
        <f t="shared" si="315"/>
        <v>0.11510242780920235</v>
      </c>
      <c r="DJ94" s="281">
        <f t="shared" si="315"/>
        <v>9.7986681131940631E-2</v>
      </c>
      <c r="DK94" s="281">
        <f t="shared" si="315"/>
        <v>0.1001395887065188</v>
      </c>
      <c r="DL94" s="281">
        <f t="shared" si="315"/>
        <v>0.1033118286737468</v>
      </c>
      <c r="DM94" s="281">
        <f t="shared" si="315"/>
        <v>0.10300736934355681</v>
      </c>
      <c r="DN94" s="281">
        <f t="shared" si="315"/>
        <v>0.10285231099486046</v>
      </c>
      <c r="DO94" s="281">
        <f t="shared" si="315"/>
        <v>0.10564045532695465</v>
      </c>
      <c r="DP94" s="281">
        <f t="shared" si="315"/>
        <v>0.10745399726237162</v>
      </c>
      <c r="DQ94" s="281">
        <f t="shared" si="315"/>
        <v>0.10791276099084485</v>
      </c>
      <c r="DR94" s="281">
        <f t="shared" si="315"/>
        <v>0.10608987800816569</v>
      </c>
      <c r="DS94" s="281">
        <f t="shared" si="315"/>
        <v>0.10570931641684025</v>
      </c>
      <c r="DT94" s="281">
        <f t="shared" si="315"/>
        <v>0.1035705813468159</v>
      </c>
      <c r="DU94" s="281">
        <f t="shared" si="315"/>
        <v>0.10328097328904212</v>
      </c>
      <c r="DV94" s="281">
        <f t="shared" si="315"/>
        <v>0.10211819691462638</v>
      </c>
      <c r="DW94" s="281">
        <f t="shared" si="315"/>
        <v>0.10234798945616895</v>
      </c>
      <c r="DX94" s="281">
        <f t="shared" si="315"/>
        <v>0.10185900580792427</v>
      </c>
      <c r="DY94" s="281">
        <f t="shared" si="315"/>
        <v>0.10413848546877244</v>
      </c>
      <c r="DZ94" s="281">
        <f t="shared" si="315"/>
        <v>0.10406526441702611</v>
      </c>
      <c r="EA94" s="281">
        <f t="shared" si="315"/>
        <v>0.10565195263115708</v>
      </c>
      <c r="EB94" s="281">
        <f t="shared" si="315"/>
        <v>0.10776315019970886</v>
      </c>
      <c r="EC94" s="281">
        <f t="shared" si="315"/>
        <v>0.10940418897101552</v>
      </c>
      <c r="ED94" s="281">
        <f t="shared" si="315"/>
        <v>0.10883072378186105</v>
      </c>
      <c r="EE94" s="282">
        <v>0.11</v>
      </c>
      <c r="EF94" s="282">
        <v>0.11</v>
      </c>
      <c r="EG94" s="282">
        <f t="shared" ref="EG94:EP94" si="316">EF94+0.001</f>
        <v>0.111</v>
      </c>
      <c r="EH94" s="282">
        <f t="shared" si="316"/>
        <v>0.112</v>
      </c>
      <c r="EI94" s="282">
        <f t="shared" si="316"/>
        <v>0.113</v>
      </c>
      <c r="EJ94" s="282">
        <f t="shared" si="316"/>
        <v>0.114</v>
      </c>
      <c r="EK94" s="282">
        <f t="shared" si="316"/>
        <v>0.115</v>
      </c>
      <c r="EL94" s="282">
        <f t="shared" si="316"/>
        <v>0.11600000000000001</v>
      </c>
      <c r="EM94" s="282">
        <f t="shared" si="316"/>
        <v>0.11700000000000001</v>
      </c>
      <c r="EN94" s="282">
        <f t="shared" si="316"/>
        <v>0.11800000000000001</v>
      </c>
      <c r="EO94" s="282">
        <f t="shared" si="316"/>
        <v>0.11900000000000001</v>
      </c>
      <c r="EP94" s="282">
        <f t="shared" si="316"/>
        <v>0.12000000000000001</v>
      </c>
      <c r="EQ94" s="5"/>
      <c r="ER94" s="5"/>
      <c r="ES94" s="355">
        <f t="shared" si="201"/>
        <v>89</v>
      </c>
      <c r="ET94"/>
      <c r="EU94"/>
      <c r="EV94"/>
      <c r="EW94"/>
      <c r="EX94"/>
      <c r="EY94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</row>
    <row r="95" spans="1:257" s="4" customFormat="1" ht="12.75" hidden="1" customHeight="1" outlineLevel="2">
      <c r="A95" s="15"/>
      <c r="B95" s="63" t="s">
        <v>199</v>
      </c>
      <c r="C95" s="281"/>
      <c r="D95" s="281"/>
      <c r="E95" s="281">
        <f t="shared" ref="E95:AF95" si="317">-E33/E15</f>
        <v>0.1588285459422899</v>
      </c>
      <c r="F95" s="281">
        <f t="shared" si="317"/>
        <v>0.15515435484570714</v>
      </c>
      <c r="G95" s="281">
        <f t="shared" si="317"/>
        <v>0.18400675961132235</v>
      </c>
      <c r="H95" s="281">
        <f t="shared" si="317"/>
        <v>0.15340939884843588</v>
      </c>
      <c r="I95" s="281">
        <f t="shared" si="317"/>
        <v>0.14156375512912156</v>
      </c>
      <c r="J95" s="281">
        <f t="shared" si="317"/>
        <v>0.14923053795624258</v>
      </c>
      <c r="K95" s="281">
        <f t="shared" si="317"/>
        <v>0.19614526324111239</v>
      </c>
      <c r="L95" s="281">
        <f t="shared" si="317"/>
        <v>0.18502241613561179</v>
      </c>
      <c r="M95" s="281">
        <f t="shared" si="317"/>
        <v>9.8125385984432933E-2</v>
      </c>
      <c r="N95" s="281">
        <f t="shared" si="317"/>
        <v>0.11739912952765985</v>
      </c>
      <c r="O95" s="281">
        <f t="shared" si="317"/>
        <v>0.16264135248979464</v>
      </c>
      <c r="P95" s="281">
        <f t="shared" si="317"/>
        <v>0.16029885104302474</v>
      </c>
      <c r="Q95" s="281">
        <f t="shared" si="317"/>
        <v>0.12023338820020829</v>
      </c>
      <c r="R95" s="281">
        <f t="shared" si="317"/>
        <v>8.2937558631399233E-2</v>
      </c>
      <c r="S95" s="281">
        <f t="shared" si="317"/>
        <v>8.9615121700381328E-2</v>
      </c>
      <c r="T95" s="281">
        <f t="shared" si="317"/>
        <v>0.10349204509799205</v>
      </c>
      <c r="U95" s="281">
        <f t="shared" si="317"/>
        <v>0.12483223673442666</v>
      </c>
      <c r="V95" s="281">
        <f t="shared" si="317"/>
        <v>0.14190165411823843</v>
      </c>
      <c r="W95" s="281">
        <f t="shared" si="317"/>
        <v>0.12400988405963456</v>
      </c>
      <c r="X95" s="281">
        <f t="shared" si="317"/>
        <v>0.12450242750020464</v>
      </c>
      <c r="Y95" s="281">
        <f t="shared" si="317"/>
        <v>0.13515260438617477</v>
      </c>
      <c r="Z95" s="281">
        <f t="shared" si="317"/>
        <v>0.13654328833555635</v>
      </c>
      <c r="AA95" s="281">
        <f t="shared" si="317"/>
        <v>0.19364081882255071</v>
      </c>
      <c r="AB95" s="281">
        <f t="shared" si="317"/>
        <v>0.3988458157660566</v>
      </c>
      <c r="AC95" s="281">
        <f t="shared" si="317"/>
        <v>0.3077139203998015</v>
      </c>
      <c r="AD95" s="281">
        <f t="shared" si="317"/>
        <v>0.23311313998587035</v>
      </c>
      <c r="AE95" s="281">
        <f t="shared" si="317"/>
        <v>0.20014814331230352</v>
      </c>
      <c r="AF95" s="281">
        <f t="shared" si="317"/>
        <v>0.18321879610503869</v>
      </c>
      <c r="AG95" s="281"/>
      <c r="AH95" s="281">
        <f t="shared" ref="AH95:BM95" si="318">-AH33/AH15</f>
        <v>0.16065848353791157</v>
      </c>
      <c r="AI95" s="281">
        <f t="shared" si="318"/>
        <v>0.15757277370915132</v>
      </c>
      <c r="AJ95" s="281">
        <f t="shared" si="318"/>
        <v>0.16496289617865317</v>
      </c>
      <c r="AK95" s="281">
        <f t="shared" si="318"/>
        <v>0.15213534144831853</v>
      </c>
      <c r="AL95" s="281">
        <f t="shared" si="318"/>
        <v>0.14654531025246761</v>
      </c>
      <c r="AM95" s="281">
        <f t="shared" si="318"/>
        <v>0.15567572574948763</v>
      </c>
      <c r="AN95" s="281">
        <f t="shared" si="318"/>
        <v>0.16011265119659449</v>
      </c>
      <c r="AO95" s="281">
        <f t="shared" si="318"/>
        <v>0.15855193723535468</v>
      </c>
      <c r="AP95" s="281">
        <f t="shared" si="318"/>
        <v>0.17350900642861689</v>
      </c>
      <c r="AQ95" s="281">
        <f t="shared" si="318"/>
        <v>0.17322524274395931</v>
      </c>
      <c r="AR95" s="281">
        <f t="shared" si="318"/>
        <v>0.18049284807558924</v>
      </c>
      <c r="AS95" s="281">
        <f t="shared" si="318"/>
        <v>0.21354054137473372</v>
      </c>
      <c r="AT95" s="281">
        <f t="shared" si="318"/>
        <v>0.15554664221865688</v>
      </c>
      <c r="AU95" s="281">
        <f t="shared" si="318"/>
        <v>0.15367741798085421</v>
      </c>
      <c r="AV95" s="281">
        <f t="shared" si="318"/>
        <v>0.14165212332751601</v>
      </c>
      <c r="AW95" s="281">
        <f t="shared" si="318"/>
        <v>0.16242026266416507</v>
      </c>
      <c r="AX95" s="281">
        <f t="shared" si="318"/>
        <v>0.1325497318506588</v>
      </c>
      <c r="AY95" s="281">
        <f t="shared" si="318"/>
        <v>0.13289440480833201</v>
      </c>
      <c r="AZ95" s="281">
        <f t="shared" si="318"/>
        <v>0.15190940557541563</v>
      </c>
      <c r="BA95" s="281">
        <f t="shared" si="318"/>
        <v>0.14827382708763648</v>
      </c>
      <c r="BB95" s="281">
        <f t="shared" si="318"/>
        <v>0.12942017319862328</v>
      </c>
      <c r="BC95" s="281">
        <f t="shared" si="318"/>
        <v>0.13624291658973739</v>
      </c>
      <c r="BD95" s="281">
        <f t="shared" si="318"/>
        <v>0.1377175085443984</v>
      </c>
      <c r="BE95" s="281">
        <f t="shared" si="318"/>
        <v>0.19136950803193176</v>
      </c>
      <c r="BF95" s="281">
        <f t="shared" si="318"/>
        <v>0.16839276442273957</v>
      </c>
      <c r="BG95" s="281">
        <f t="shared" si="318"/>
        <v>0.21663572272497111</v>
      </c>
      <c r="BH95" s="281">
        <f t="shared" si="318"/>
        <v>0.19601033383868074</v>
      </c>
      <c r="BI95" s="281">
        <f t="shared" si="318"/>
        <v>0.20238987744610523</v>
      </c>
      <c r="BJ95" s="281">
        <f t="shared" si="318"/>
        <v>0.19333698241046204</v>
      </c>
      <c r="BK95" s="281">
        <f t="shared" si="318"/>
        <v>0.1975313923888164</v>
      </c>
      <c r="BL95" s="281">
        <f t="shared" si="318"/>
        <v>0.17836538461538462</v>
      </c>
      <c r="BM95" s="281">
        <f t="shared" si="318"/>
        <v>0.17420527002708033</v>
      </c>
      <c r="BN95" s="281">
        <f t="shared" ref="BN95:CS95" si="319">-BN33/BN15</f>
        <v>9.4746716697936217E-2</v>
      </c>
      <c r="BO95" s="281">
        <f t="shared" si="319"/>
        <v>0.10412353701951858</v>
      </c>
      <c r="BP95" s="281">
        <f t="shared" si="319"/>
        <v>0.10039374708923524</v>
      </c>
      <c r="BQ95" s="281">
        <f t="shared" si="319"/>
        <v>9.0244568930181721E-2</v>
      </c>
      <c r="BR95" s="281">
        <f t="shared" si="319"/>
        <v>9.7021939176298963E-2</v>
      </c>
      <c r="BS95" s="281">
        <f t="shared" si="319"/>
        <v>0.11501651174168297</v>
      </c>
      <c r="BT95" s="281">
        <f t="shared" si="319"/>
        <v>0.12053440847464326</v>
      </c>
      <c r="BU95" s="281">
        <f t="shared" si="319"/>
        <v>0.14023496643914921</v>
      </c>
      <c r="BV95" s="281">
        <f t="shared" si="319"/>
        <v>0.16209201450615088</v>
      </c>
      <c r="BW95" s="281">
        <f t="shared" si="319"/>
        <v>0.15896029778652787</v>
      </c>
      <c r="BX95" s="281">
        <f t="shared" si="319"/>
        <v>0.15757251763051708</v>
      </c>
      <c r="BY95" s="281">
        <f t="shared" si="319"/>
        <v>0.17179535444038702</v>
      </c>
      <c r="BZ95" s="281">
        <f t="shared" si="319"/>
        <v>0.16584123390406114</v>
      </c>
      <c r="CA95" s="281">
        <f t="shared" si="319"/>
        <v>0.1636228884662714</v>
      </c>
      <c r="CB95" s="281">
        <f t="shared" si="319"/>
        <v>0.16205455985808209</v>
      </c>
      <c r="CC95" s="281">
        <f t="shared" si="319"/>
        <v>0.15128483311797547</v>
      </c>
      <c r="CD95" s="281">
        <f t="shared" si="319"/>
        <v>0.13316998608876854</v>
      </c>
      <c r="CE95" s="281">
        <f t="shared" si="319"/>
        <v>0.12914532218926933</v>
      </c>
      <c r="CF95" s="281">
        <f t="shared" si="319"/>
        <v>0.1129241466437144</v>
      </c>
      <c r="CG95" s="281">
        <f t="shared" si="319"/>
        <v>0.10995669139402256</v>
      </c>
      <c r="CH95" s="281">
        <f t="shared" si="319"/>
        <v>8.9757545381928663E-2</v>
      </c>
      <c r="CI95" s="281">
        <f t="shared" si="319"/>
        <v>8.0407798370181902E-2</v>
      </c>
      <c r="CJ95" s="281">
        <f t="shared" si="319"/>
        <v>7.8412487961075181E-2</v>
      </c>
      <c r="CK95" s="281">
        <f t="shared" si="319"/>
        <v>8.4166901245544157E-2</v>
      </c>
      <c r="CL95" s="281">
        <f t="shared" si="319"/>
        <v>7.8030740245186969E-2</v>
      </c>
      <c r="CM95" s="281">
        <f t="shared" si="319"/>
        <v>8.8453196469602952E-2</v>
      </c>
      <c r="CN95" s="281">
        <f t="shared" si="319"/>
        <v>9.0499294995656052E-2</v>
      </c>
      <c r="CO95" s="281">
        <f t="shared" si="319"/>
        <v>9.9708754497173202E-2</v>
      </c>
      <c r="CP95" s="281">
        <f t="shared" si="319"/>
        <v>9.63161018081167E-2</v>
      </c>
      <c r="CQ95" s="281">
        <f t="shared" si="319"/>
        <v>0.10951685231946358</v>
      </c>
      <c r="CR95" s="281">
        <f t="shared" si="319"/>
        <v>9.8006380653643796E-2</v>
      </c>
      <c r="CS95" s="281">
        <f t="shared" si="319"/>
        <v>0.10912785090086156</v>
      </c>
      <c r="CT95" s="281">
        <f t="shared" ref="CT95:DY95" si="320">-CT33/CT15</f>
        <v>8.7810258531408211E-2</v>
      </c>
      <c r="CU95" s="281">
        <f t="shared" si="320"/>
        <v>0.10976936382856045</v>
      </c>
      <c r="CV95" s="281">
        <f t="shared" si="320"/>
        <v>0.15742185384522148</v>
      </c>
      <c r="CW95" s="281">
        <f t="shared" si="320"/>
        <v>0.17533412291526901</v>
      </c>
      <c r="CX95" s="281">
        <f t="shared" si="320"/>
        <v>0.15706914964123414</v>
      </c>
      <c r="CY95" s="281">
        <f t="shared" si="320"/>
        <v>0.14962760816419354</v>
      </c>
      <c r="CZ95" s="281">
        <f t="shared" si="320"/>
        <v>0.1348989623156745</v>
      </c>
      <c r="DA95" s="281">
        <f t="shared" si="320"/>
        <v>0.13102975720851515</v>
      </c>
      <c r="DB95" s="281">
        <f t="shared" si="320"/>
        <v>0.12306564285738313</v>
      </c>
      <c r="DC95" s="281">
        <f t="shared" si="320"/>
        <v>0.12600966899732963</v>
      </c>
      <c r="DD95" s="281">
        <f t="shared" si="320"/>
        <v>0.12282194396789295</v>
      </c>
      <c r="DE95" s="281">
        <f t="shared" si="320"/>
        <v>0.12417820309924639</v>
      </c>
      <c r="DF95" s="281">
        <f t="shared" si="320"/>
        <v>0.11778516710620429</v>
      </c>
      <c r="DG95" s="281">
        <f t="shared" si="320"/>
        <v>0.118098864648784</v>
      </c>
      <c r="DH95" s="281">
        <f t="shared" si="320"/>
        <v>0.11610605219661255</v>
      </c>
      <c r="DI95" s="281">
        <f t="shared" si="320"/>
        <v>0.14467832182164744</v>
      </c>
      <c r="DJ95" s="281">
        <f t="shared" si="320"/>
        <v>0.12621659254628381</v>
      </c>
      <c r="DK95" s="281">
        <f t="shared" si="320"/>
        <v>0.13411880344837046</v>
      </c>
      <c r="DL95" s="281">
        <f t="shared" si="320"/>
        <v>0.14019331180663583</v>
      </c>
      <c r="DM95" s="281">
        <f t="shared" si="320"/>
        <v>0.14007959472531661</v>
      </c>
      <c r="DN95" s="281">
        <f t="shared" si="320"/>
        <v>0.13674947255513364</v>
      </c>
      <c r="DO95" s="281">
        <f t="shared" si="320"/>
        <v>0.13874953829622913</v>
      </c>
      <c r="DP95" s="281">
        <f t="shared" si="320"/>
        <v>0.13546871241808786</v>
      </c>
      <c r="DQ95" s="281">
        <f t="shared" si="320"/>
        <v>0.13539680702673401</v>
      </c>
      <c r="DR95" s="281">
        <f t="shared" si="320"/>
        <v>0.13314144458365784</v>
      </c>
      <c r="DS95" s="281">
        <f t="shared" si="320"/>
        <v>0.17588572800336294</v>
      </c>
      <c r="DT95" s="281">
        <f t="shared" si="320"/>
        <v>0.25086572580623218</v>
      </c>
      <c r="DU95" s="281">
        <f t="shared" si="320"/>
        <v>0.27774676068067944</v>
      </c>
      <c r="DV95" s="281">
        <f t="shared" si="320"/>
        <v>0.30966547298389396</v>
      </c>
      <c r="DW95" s="281">
        <f t="shared" si="320"/>
        <v>0.39460720349138412</v>
      </c>
      <c r="DX95" s="281">
        <f t="shared" si="320"/>
        <v>0.48536379169315735</v>
      </c>
      <c r="DY95" s="281">
        <f t="shared" si="320"/>
        <v>0.45756806470280253</v>
      </c>
      <c r="DZ95" s="281">
        <f t="shared" ref="DZ95:EP95" si="321">-DZ33/DZ15</f>
        <v>0.37694222178414399</v>
      </c>
      <c r="EA95" s="281">
        <f t="shared" si="321"/>
        <v>0.33751729025772242</v>
      </c>
      <c r="EB95" s="281">
        <f t="shared" si="321"/>
        <v>0.28174316279226302</v>
      </c>
      <c r="EC95" s="281">
        <f t="shared" ref="EC95:ED95" si="322">-EC33/EC15</f>
        <v>0.26239942249236553</v>
      </c>
      <c r="ED95" s="281">
        <f t="shared" si="322"/>
        <v>0.24305983665625866</v>
      </c>
      <c r="EE95" s="281">
        <f t="shared" si="321"/>
        <v>0.24503744930533639</v>
      </c>
      <c r="EF95" s="281">
        <f t="shared" si="321"/>
        <v>0.22956811596122659</v>
      </c>
      <c r="EG95" s="281">
        <f t="shared" si="321"/>
        <v>0.21705519747192625</v>
      </c>
      <c r="EH95" s="281">
        <f t="shared" si="321"/>
        <v>0.20955045174760595</v>
      </c>
      <c r="EI95" s="281">
        <f t="shared" si="321"/>
        <v>0.20441320269660643</v>
      </c>
      <c r="EJ95" s="281">
        <f t="shared" si="321"/>
        <v>0.19713956477000855</v>
      </c>
      <c r="EK95" s="281">
        <f t="shared" si="321"/>
        <v>0.19043375862398071</v>
      </c>
      <c r="EL95" s="281">
        <f t="shared" si="321"/>
        <v>0.18265218666736036</v>
      </c>
      <c r="EM95" s="281">
        <f t="shared" si="321"/>
        <v>0.18424623672494822</v>
      </c>
      <c r="EN95" s="281">
        <f t="shared" si="321"/>
        <v>0.18401682916739553</v>
      </c>
      <c r="EO95" s="281">
        <f t="shared" si="321"/>
        <v>0.18197405404649686</v>
      </c>
      <c r="EP95" s="281">
        <f t="shared" si="321"/>
        <v>0.18171357754601553</v>
      </c>
      <c r="EQ95" s="5"/>
      <c r="ER95" s="5"/>
      <c r="ES95" s="355">
        <f t="shared" si="201"/>
        <v>90</v>
      </c>
      <c r="ET95"/>
      <c r="EU95"/>
      <c r="EV95"/>
      <c r="EW95"/>
      <c r="EX95"/>
      <c r="EY95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</row>
    <row r="96" spans="1:257" s="278" customFormat="1" ht="12.75" hidden="1" customHeight="1" outlineLevel="2">
      <c r="A96" s="280"/>
      <c r="B96" s="47" t="s">
        <v>198</v>
      </c>
      <c r="C96" s="279"/>
      <c r="D96" s="279"/>
      <c r="E96" s="279">
        <f t="shared" ref="E96:AF96" si="323">E34/E15</f>
        <v>0.18220077308387284</v>
      </c>
      <c r="F96" s="279">
        <f t="shared" si="323"/>
        <v>0.15585779893274823</v>
      </c>
      <c r="G96" s="279">
        <f t="shared" si="323"/>
        <v>0.14916434305027457</v>
      </c>
      <c r="H96" s="279">
        <f t="shared" si="323"/>
        <v>0.23063284409494339</v>
      </c>
      <c r="I96" s="279">
        <f t="shared" si="323"/>
        <v>0.29479564473897268</v>
      </c>
      <c r="J96" s="279">
        <f t="shared" si="323"/>
        <v>0.24636804794294961</v>
      </c>
      <c r="K96" s="279">
        <f t="shared" si="323"/>
        <v>0.18123227960227256</v>
      </c>
      <c r="L96" s="279">
        <f t="shared" si="323"/>
        <v>0.26665687455977249</v>
      </c>
      <c r="M96" s="279">
        <f t="shared" si="323"/>
        <v>0.37457101983275964</v>
      </c>
      <c r="N96" s="279">
        <f t="shared" si="323"/>
        <v>0.12173429576953503</v>
      </c>
      <c r="O96" s="279">
        <f t="shared" si="323"/>
        <v>7.5449755682187716E-2</v>
      </c>
      <c r="P96" s="279">
        <f t="shared" si="323"/>
        <v>6.6638825510647592E-2</v>
      </c>
      <c r="Q96" s="279">
        <f t="shared" si="323"/>
        <v>0.22380439750926048</v>
      </c>
      <c r="R96" s="279">
        <f t="shared" si="323"/>
        <v>0.33457678845668681</v>
      </c>
      <c r="S96" s="279">
        <f t="shared" si="323"/>
        <v>0.35219720947585303</v>
      </c>
      <c r="T96" s="279">
        <f t="shared" si="323"/>
        <v>0.33400669664230026</v>
      </c>
      <c r="U96" s="279">
        <f t="shared" si="323"/>
        <v>0.30461849234281463</v>
      </c>
      <c r="V96" s="279">
        <f t="shared" si="323"/>
        <v>0.23450124315256476</v>
      </c>
      <c r="W96" s="279">
        <f t="shared" si="323"/>
        <v>0.27470562845778951</v>
      </c>
      <c r="X96" s="279">
        <f t="shared" si="323"/>
        <v>0.28095610066876037</v>
      </c>
      <c r="Y96" s="279">
        <f t="shared" si="323"/>
        <v>0.27328707764273469</v>
      </c>
      <c r="Z96" s="279">
        <f t="shared" si="323"/>
        <v>0.28095820078306699</v>
      </c>
      <c r="AA96" s="279">
        <f t="shared" si="323"/>
        <v>0.17610960087195743</v>
      </c>
      <c r="AB96" s="279">
        <f t="shared" si="323"/>
        <v>-0.11732877834063232</v>
      </c>
      <c r="AC96" s="279">
        <f t="shared" si="323"/>
        <v>-0.10467467664122808</v>
      </c>
      <c r="AD96" s="279">
        <f t="shared" si="323"/>
        <v>1.8618149406858062E-2</v>
      </c>
      <c r="AE96" s="279">
        <f t="shared" si="323"/>
        <v>0.10134794607712561</v>
      </c>
      <c r="AF96" s="279">
        <f t="shared" si="323"/>
        <v>0.12159670328952731</v>
      </c>
      <c r="AG96" s="279"/>
      <c r="AH96" s="279">
        <f t="shared" ref="AH96:BM96" si="324">AH34/AH15</f>
        <v>0.20911977200569984</v>
      </c>
      <c r="AI96" s="279">
        <f t="shared" si="324"/>
        <v>0.20301557018893474</v>
      </c>
      <c r="AJ96" s="279">
        <f t="shared" si="324"/>
        <v>0.1672515431028504</v>
      </c>
      <c r="AK96" s="279">
        <f t="shared" si="324"/>
        <v>0.14414414414414436</v>
      </c>
      <c r="AL96" s="279">
        <f t="shared" si="324"/>
        <v>0.19385199146867718</v>
      </c>
      <c r="AM96" s="279">
        <f t="shared" si="324"/>
        <v>0.16483516483516478</v>
      </c>
      <c r="AN96" s="279">
        <f t="shared" si="324"/>
        <v>0.1417354513834814</v>
      </c>
      <c r="AO96" s="279">
        <f t="shared" si="324"/>
        <v>0.12087534809201042</v>
      </c>
      <c r="AP96" s="279">
        <f t="shared" si="324"/>
        <v>0.14745083062822234</v>
      </c>
      <c r="AQ96" s="279">
        <f t="shared" si="324"/>
        <v>0.15953435204772101</v>
      </c>
      <c r="AR96" s="279">
        <f t="shared" si="324"/>
        <v>0.14210932694698541</v>
      </c>
      <c r="AS96" s="279">
        <f t="shared" si="324"/>
        <v>0.14738109200901248</v>
      </c>
      <c r="AT96" s="279">
        <f t="shared" si="324"/>
        <v>0.20715104286041722</v>
      </c>
      <c r="AU96" s="279">
        <f t="shared" si="324"/>
        <v>0.23313562841413676</v>
      </c>
      <c r="AV96" s="279">
        <f t="shared" si="324"/>
        <v>0.26907183406551521</v>
      </c>
      <c r="AW96" s="279">
        <f t="shared" si="324"/>
        <v>0.21169793621013155</v>
      </c>
      <c r="AX96" s="279">
        <f t="shared" si="324"/>
        <v>0.30066137792779674</v>
      </c>
      <c r="AY96" s="279">
        <f t="shared" si="324"/>
        <v>0.30619470379971403</v>
      </c>
      <c r="AZ96" s="279">
        <f t="shared" si="324"/>
        <v>0.28705527589309604</v>
      </c>
      <c r="BA96" s="279">
        <f t="shared" si="324"/>
        <v>0.28579226910593131</v>
      </c>
      <c r="BB96" s="279">
        <f t="shared" si="324"/>
        <v>0.32207588542244925</v>
      </c>
      <c r="BC96" s="279">
        <f t="shared" si="324"/>
        <v>0.2585888568547528</v>
      </c>
      <c r="BD96" s="279">
        <f t="shared" si="324"/>
        <v>0.24902210497589369</v>
      </c>
      <c r="BE96" s="279">
        <f t="shared" si="324"/>
        <v>0.16125221114744756</v>
      </c>
      <c r="BF96" s="279">
        <f t="shared" si="324"/>
        <v>0.19867665838701073</v>
      </c>
      <c r="BG96" s="279">
        <f t="shared" si="324"/>
        <v>0.1288804352059828</v>
      </c>
      <c r="BH96" s="279">
        <f t="shared" si="324"/>
        <v>0.20697843507317215</v>
      </c>
      <c r="BI96" s="279">
        <f t="shared" si="324"/>
        <v>0.1984424486298754</v>
      </c>
      <c r="BJ96" s="279">
        <f t="shared" si="324"/>
        <v>0.21848602748642681</v>
      </c>
      <c r="BK96" s="279">
        <f t="shared" si="324"/>
        <v>0.23880320305759375</v>
      </c>
      <c r="BL96" s="279">
        <f t="shared" si="324"/>
        <v>0.29018429487179487</v>
      </c>
      <c r="BM96" s="279">
        <f t="shared" si="324"/>
        <v>0.30630091935122206</v>
      </c>
      <c r="BN96" s="279">
        <f t="shared" ref="BN96:CS96" si="325">BN34/BN15</f>
        <v>0.39081834854649317</v>
      </c>
      <c r="BO96" s="279">
        <f t="shared" si="325"/>
        <v>0.38530370126635499</v>
      </c>
      <c r="BP96" s="279">
        <f t="shared" si="325"/>
        <v>0.36064316728841389</v>
      </c>
      <c r="BQ96" s="279">
        <f t="shared" si="325"/>
        <v>0.35769230769230764</v>
      </c>
      <c r="BR96" s="279">
        <f t="shared" si="325"/>
        <v>0.19700370328807093</v>
      </c>
      <c r="BS96" s="279">
        <f t="shared" si="325"/>
        <v>9.3077299412915843E-2</v>
      </c>
      <c r="BT96" s="279">
        <f t="shared" si="325"/>
        <v>0.1111111111111111</v>
      </c>
      <c r="BU96" s="279">
        <f t="shared" si="325"/>
        <v>7.6076659622531517E-2</v>
      </c>
      <c r="BV96" s="279">
        <f t="shared" si="325"/>
        <v>1.9839294602858621E-2</v>
      </c>
      <c r="BW96" s="279">
        <f t="shared" si="325"/>
        <v>5.2822037478379436E-2</v>
      </c>
      <c r="BX96" s="279">
        <f t="shared" si="325"/>
        <v>0.12411298177264503</v>
      </c>
      <c r="BY96" s="279">
        <f t="shared" si="325"/>
        <v>9.3897526634792727E-2</v>
      </c>
      <c r="BZ96" s="279">
        <f t="shared" si="325"/>
        <v>6.7936219493122146E-2</v>
      </c>
      <c r="CA96" s="279">
        <f t="shared" si="325"/>
        <v>3.4141123168139581E-2</v>
      </c>
      <c r="CB96" s="279">
        <f t="shared" si="325"/>
        <v>5.8764582811410344E-2</v>
      </c>
      <c r="CC96" s="279">
        <f t="shared" si="325"/>
        <v>0.10099470951069074</v>
      </c>
      <c r="CD96" s="279">
        <f t="shared" si="325"/>
        <v>0.17700467715065923</v>
      </c>
      <c r="CE96" s="279">
        <f t="shared" si="325"/>
        <v>0.20267457535723921</v>
      </c>
      <c r="CF96" s="279">
        <f t="shared" si="325"/>
        <v>0.24503946727615519</v>
      </c>
      <c r="CG96" s="279">
        <f t="shared" si="325"/>
        <v>0.2567771536383518</v>
      </c>
      <c r="CH96" s="279">
        <f t="shared" si="325"/>
        <v>0.31297868341503904</v>
      </c>
      <c r="CI96" s="279">
        <f t="shared" si="325"/>
        <v>0.33245538630815247</v>
      </c>
      <c r="CJ96" s="279">
        <f t="shared" si="325"/>
        <v>0.35097999974984062</v>
      </c>
      <c r="CK96" s="279">
        <f t="shared" si="325"/>
        <v>0.33704943436297208</v>
      </c>
      <c r="CL96" s="279">
        <f t="shared" si="325"/>
        <v>0.37828255249107784</v>
      </c>
      <c r="CM96" s="279">
        <f t="shared" si="325"/>
        <v>0.34031073506989923</v>
      </c>
      <c r="CN96" s="279">
        <f t="shared" si="325"/>
        <v>0.3384638026557536</v>
      </c>
      <c r="CO96" s="279">
        <f t="shared" si="325"/>
        <v>0.35249605628224784</v>
      </c>
      <c r="CP96" s="279">
        <f t="shared" si="325"/>
        <v>0.35689556631476616</v>
      </c>
      <c r="CQ96" s="279">
        <f t="shared" si="325"/>
        <v>0.32455599564229665</v>
      </c>
      <c r="CR96" s="279">
        <f t="shared" si="325"/>
        <v>0.34811116193348735</v>
      </c>
      <c r="CS96" s="279">
        <f t="shared" si="325"/>
        <v>0.31114286154810783</v>
      </c>
      <c r="CT96" s="279">
        <f t="shared" ref="CT96:DY96" si="326">CT34/CT15</f>
        <v>0.35467347704383456</v>
      </c>
      <c r="CU96" s="279">
        <f t="shared" si="326"/>
        <v>0.34842014222563905</v>
      </c>
      <c r="CV96" s="279">
        <f t="shared" si="326"/>
        <v>0.23050697970688597</v>
      </c>
      <c r="CW96" s="279">
        <f t="shared" si="326"/>
        <v>0.23484264957194176</v>
      </c>
      <c r="CX96" s="279">
        <f t="shared" si="326"/>
        <v>0.25431982052955798</v>
      </c>
      <c r="CY96" s="279">
        <f t="shared" si="326"/>
        <v>0.22266643925180499</v>
      </c>
      <c r="CZ96" s="279">
        <f t="shared" si="326"/>
        <v>0.22595907187660327</v>
      </c>
      <c r="DA96" s="279">
        <f t="shared" si="326"/>
        <v>0.23702181026447475</v>
      </c>
      <c r="DB96" s="279">
        <f t="shared" si="326"/>
        <v>0.28261878575680821</v>
      </c>
      <c r="DC96" s="279">
        <f t="shared" si="326"/>
        <v>0.27597343507509853</v>
      </c>
      <c r="DD96" s="279">
        <f t="shared" si="326"/>
        <v>0.27092897786817149</v>
      </c>
      <c r="DE96" s="279">
        <f t="shared" si="326"/>
        <v>0.27036850464715712</v>
      </c>
      <c r="DF96" s="279">
        <f t="shared" si="326"/>
        <v>0.30829879823311335</v>
      </c>
      <c r="DG96" s="279">
        <f t="shared" si="326"/>
        <v>0.25871384006379367</v>
      </c>
      <c r="DH96" s="279">
        <f t="shared" si="326"/>
        <v>0.28152869349890502</v>
      </c>
      <c r="DI96" s="279">
        <f t="shared" si="326"/>
        <v>0.27688809532134068</v>
      </c>
      <c r="DJ96" s="279">
        <f t="shared" si="326"/>
        <v>0.27863580606508381</v>
      </c>
      <c r="DK96" s="279">
        <f t="shared" si="326"/>
        <v>0.27150728430686061</v>
      </c>
      <c r="DL96" s="279">
        <f t="shared" si="326"/>
        <v>0.28083175731405852</v>
      </c>
      <c r="DM96" s="279">
        <f t="shared" si="326"/>
        <v>0.26224542398717882</v>
      </c>
      <c r="DN96" s="279">
        <f t="shared" si="326"/>
        <v>0.28258758913071697</v>
      </c>
      <c r="DO96" s="279">
        <f t="shared" si="326"/>
        <v>0.28121285383298089</v>
      </c>
      <c r="DP96" s="279">
        <f t="shared" si="326"/>
        <v>0.28336065926748283</v>
      </c>
      <c r="DQ96" s="279">
        <f t="shared" si="326"/>
        <v>0.27695073692588512</v>
      </c>
      <c r="DR96" s="279">
        <f t="shared" si="326"/>
        <v>0.29476433965276194</v>
      </c>
      <c r="DS96" s="279">
        <f t="shared" si="326"/>
        <v>0.19667125820590337</v>
      </c>
      <c r="DT96" s="279">
        <f t="shared" si="326"/>
        <v>8.0826033457130533E-2</v>
      </c>
      <c r="DU96" s="279">
        <f t="shared" si="326"/>
        <v>1.4636738059782169E-2</v>
      </c>
      <c r="DV96" s="279">
        <f t="shared" si="326"/>
        <v>2.9870705530563445E-2</v>
      </c>
      <c r="DW96" s="279">
        <f t="shared" si="326"/>
        <v>-0.10853179298599999</v>
      </c>
      <c r="DX96" s="279">
        <f t="shared" si="326"/>
        <v>-0.26822069637542872</v>
      </c>
      <c r="DY96" s="279">
        <f t="shared" si="326"/>
        <v>-0.20874016906479392</v>
      </c>
      <c r="DZ96" s="279">
        <f t="shared" ref="DZ96:EP96" si="327">DZ34/DZ15</f>
        <v>-0.17499970781746682</v>
      </c>
      <c r="EA96" s="279">
        <f t="shared" si="327"/>
        <v>-0.17160523786205287</v>
      </c>
      <c r="EB96" s="279">
        <f t="shared" si="327"/>
        <v>-6.6773472821143973E-2</v>
      </c>
      <c r="EC96" s="279">
        <f t="shared" ref="EC96:ED96" si="328">EC34/EC15</f>
        <v>-4.1470425150506196E-2</v>
      </c>
      <c r="ED96" s="279">
        <f t="shared" si="328"/>
        <v>1.5659886529726431E-3</v>
      </c>
      <c r="EE96" s="279">
        <f t="shared" si="327"/>
        <v>-8.6330881324639466E-3</v>
      </c>
      <c r="EF96" s="279">
        <f t="shared" si="327"/>
        <v>1.9342157639293252E-2</v>
      </c>
      <c r="EG96" s="279">
        <f t="shared" si="327"/>
        <v>5.7194735064130225E-2</v>
      </c>
      <c r="EH96" s="279">
        <f t="shared" si="327"/>
        <v>7.8950757207390782E-2</v>
      </c>
      <c r="EI96" s="279">
        <f t="shared" si="327"/>
        <v>9.9394840255830605E-2</v>
      </c>
      <c r="EJ96" s="279">
        <f t="shared" si="327"/>
        <v>0.10897993428580041</v>
      </c>
      <c r="EK96" s="279">
        <f t="shared" si="327"/>
        <v>0.11633666916985304</v>
      </c>
      <c r="EL96" s="279">
        <f t="shared" si="327"/>
        <v>0.12718006494096779</v>
      </c>
      <c r="EM96" s="279">
        <f t="shared" si="327"/>
        <v>0.12158831982390682</v>
      </c>
      <c r="EN96" s="279">
        <f t="shared" si="327"/>
        <v>0.11877934323188052</v>
      </c>
      <c r="EO96" s="279">
        <f t="shared" si="327"/>
        <v>0.11876525868999127</v>
      </c>
      <c r="EP96" s="279">
        <f t="shared" si="327"/>
        <v>0.11594043451088187</v>
      </c>
      <c r="EQ96" s="81"/>
      <c r="ER96" s="81"/>
      <c r="ES96" s="355">
        <f t="shared" si="201"/>
        <v>91</v>
      </c>
      <c r="ET96"/>
      <c r="EU96"/>
      <c r="EV96"/>
      <c r="EW96"/>
      <c r="EX96"/>
      <c r="EY96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</row>
    <row r="97" spans="1:257" s="4" customFormat="1" ht="12.75" hidden="1" customHeight="1" outlineLevel="2">
      <c r="A97" s="15"/>
      <c r="B97" s="31" t="s">
        <v>197</v>
      </c>
      <c r="C97" s="25"/>
      <c r="D97" s="25"/>
      <c r="E97" s="277">
        <f t="shared" ref="E97:AF97" si="329">IFERROR(-E36/AVERAGE(D284:E284),0)</f>
        <v>9.9687466321801921E-2</v>
      </c>
      <c r="F97" s="277">
        <f t="shared" si="329"/>
        <v>8.2983080073283755E-2</v>
      </c>
      <c r="G97" s="277">
        <f t="shared" si="329"/>
        <v>0</v>
      </c>
      <c r="H97" s="277">
        <f t="shared" si="329"/>
        <v>0</v>
      </c>
      <c r="I97" s="277">
        <f t="shared" si="329"/>
        <v>0</v>
      </c>
      <c r="J97" s="277">
        <f t="shared" si="329"/>
        <v>3.7679999999999998E-2</v>
      </c>
      <c r="K97" s="277">
        <f t="shared" si="329"/>
        <v>0.12961999999999999</v>
      </c>
      <c r="L97" s="277">
        <f t="shared" si="329"/>
        <v>6.1519999999999991E-2</v>
      </c>
      <c r="M97" s="277">
        <f t="shared" si="329"/>
        <v>2.112E-2</v>
      </c>
      <c r="N97" s="277">
        <f t="shared" si="329"/>
        <v>1.9226666666666666E-2</v>
      </c>
      <c r="O97" s="277">
        <f t="shared" si="329"/>
        <v>8.1926666666666662E-2</v>
      </c>
      <c r="P97" s="277">
        <f t="shared" si="329"/>
        <v>6.3475000000000004E-2</v>
      </c>
      <c r="Q97" s="277">
        <f t="shared" si="329"/>
        <v>6.3210000000000002E-2</v>
      </c>
      <c r="R97" s="277">
        <f t="shared" si="329"/>
        <v>3.322E-2</v>
      </c>
      <c r="S97" s="277">
        <f t="shared" si="329"/>
        <v>3.1398449612403102E-2</v>
      </c>
      <c r="T97" s="277">
        <f t="shared" si="329"/>
        <v>3.9553439153439153E-2</v>
      </c>
      <c r="U97" s="277">
        <f t="shared" si="329"/>
        <v>2.6321951219512196E-2</v>
      </c>
      <c r="V97" s="277">
        <f t="shared" si="329"/>
        <v>3.8806618648319358E-2</v>
      </c>
      <c r="W97" s="277">
        <f t="shared" si="329"/>
        <v>4.8010224476500434E-2</v>
      </c>
      <c r="X97" s="277">
        <f t="shared" si="329"/>
        <v>2.9080435820052829E-2</v>
      </c>
      <c r="Y97" s="277">
        <f t="shared" si="329"/>
        <v>2.7964657491119888E-2</v>
      </c>
      <c r="Z97" s="277">
        <f t="shared" si="329"/>
        <v>3.3074296353939034E-2</v>
      </c>
      <c r="AA97" s="277">
        <f t="shared" si="329"/>
        <v>4.8649881659389355E-2</v>
      </c>
      <c r="AB97" s="277">
        <f t="shared" si="329"/>
        <v>4.4460614527849732E-2</v>
      </c>
      <c r="AC97" s="277">
        <f t="shared" si="329"/>
        <v>4.8033318095577142E-2</v>
      </c>
      <c r="AD97" s="277">
        <f t="shared" si="329"/>
        <v>4.6838638039910757E-2</v>
      </c>
      <c r="AE97" s="277">
        <f t="shared" si="329"/>
        <v>4.6828453172560777E-2</v>
      </c>
      <c r="AF97" s="277">
        <f t="shared" si="329"/>
        <v>4.6828453172560777E-2</v>
      </c>
      <c r="AG97" s="42"/>
      <c r="AH97" s="277">
        <f t="shared" ref="AH97:BM97" si="330">IFERROR(-AH36*4/AVERAGE(AG284:AH284),0)</f>
        <v>0</v>
      </c>
      <c r="AI97" s="277">
        <f t="shared" si="330"/>
        <v>0</v>
      </c>
      <c r="AJ97" s="277">
        <f t="shared" si="330"/>
        <v>0</v>
      </c>
      <c r="AK97" s="277">
        <f t="shared" si="330"/>
        <v>9.0526996443582267E-2</v>
      </c>
      <c r="AL97" s="277">
        <f t="shared" si="330"/>
        <v>8.5682339786971096E-2</v>
      </c>
      <c r="AM97" s="277">
        <f t="shared" si="330"/>
        <v>2.1964775999464274E-2</v>
      </c>
      <c r="AN97" s="277">
        <f t="shared" si="330"/>
        <v>6.3834375673927107E-2</v>
      </c>
      <c r="AO97" s="277">
        <f t="shared" si="330"/>
        <v>6.0968320382546314E-2</v>
      </c>
      <c r="AP97" s="277">
        <f t="shared" si="330"/>
        <v>0</v>
      </c>
      <c r="AQ97" s="277">
        <f t="shared" si="330"/>
        <v>0</v>
      </c>
      <c r="AR97" s="277">
        <f t="shared" si="330"/>
        <v>0</v>
      </c>
      <c r="AS97" s="277">
        <f t="shared" si="330"/>
        <v>0</v>
      </c>
      <c r="AT97" s="277">
        <f t="shared" si="330"/>
        <v>0</v>
      </c>
      <c r="AU97" s="277">
        <f t="shared" si="330"/>
        <v>0</v>
      </c>
      <c r="AV97" s="277">
        <f t="shared" si="330"/>
        <v>4.8211211019705373E-2</v>
      </c>
      <c r="AW97" s="277">
        <f t="shared" si="330"/>
        <v>0.22039410751865315</v>
      </c>
      <c r="AX97" s="277">
        <f t="shared" si="330"/>
        <v>0</v>
      </c>
      <c r="AY97" s="277">
        <f t="shared" si="330"/>
        <v>0</v>
      </c>
      <c r="AZ97" s="277">
        <f t="shared" si="330"/>
        <v>0</v>
      </c>
      <c r="BA97" s="277">
        <f t="shared" si="330"/>
        <v>0</v>
      </c>
      <c r="BB97" s="277">
        <f t="shared" si="330"/>
        <v>0</v>
      </c>
      <c r="BC97" s="277">
        <f t="shared" si="330"/>
        <v>0</v>
      </c>
      <c r="BD97" s="277">
        <f t="shared" si="330"/>
        <v>0</v>
      </c>
      <c r="BE97" s="277">
        <f t="shared" si="330"/>
        <v>4.9759999999999992E-2</v>
      </c>
      <c r="BF97" s="277">
        <f t="shared" si="330"/>
        <v>0.12816</v>
      </c>
      <c r="BG97" s="277">
        <f t="shared" si="330"/>
        <v>0.15015999999999999</v>
      </c>
      <c r="BH97" s="277">
        <f t="shared" si="330"/>
        <v>0.15423999999999999</v>
      </c>
      <c r="BI97" s="277">
        <f t="shared" si="330"/>
        <v>8.5919999999999982E-2</v>
      </c>
      <c r="BJ97" s="277">
        <f t="shared" si="330"/>
        <v>6.5680000000000002E-2</v>
      </c>
      <c r="BK97" s="277">
        <f t="shared" si="330"/>
        <v>6.4079999999999998E-2</v>
      </c>
      <c r="BL97" s="277">
        <f t="shared" si="330"/>
        <v>6.1359999999999998E-2</v>
      </c>
      <c r="BM97" s="277">
        <f t="shared" si="330"/>
        <v>5.4960000000000002E-2</v>
      </c>
      <c r="BN97" s="277">
        <f t="shared" ref="BN97:CS97" si="331">IFERROR(-BN36*4/AVERAGE(BM284:BN284),0)</f>
        <v>4.8559999999999999E-2</v>
      </c>
      <c r="BO97" s="277">
        <f t="shared" si="331"/>
        <v>5.4400000000000004E-3</v>
      </c>
      <c r="BP97" s="277">
        <f t="shared" si="331"/>
        <v>0</v>
      </c>
      <c r="BQ97" s="277">
        <f t="shared" si="331"/>
        <v>3.048E-2</v>
      </c>
      <c r="BR97" s="277">
        <f t="shared" si="331"/>
        <v>3.1359999999999999E-2</v>
      </c>
      <c r="BS97" s="277">
        <f t="shared" si="331"/>
        <v>2.7040000000000002E-2</v>
      </c>
      <c r="BT97" s="277">
        <f t="shared" si="331"/>
        <v>0</v>
      </c>
      <c r="BU97" s="277">
        <f t="shared" si="331"/>
        <v>3.7973333333333331E-2</v>
      </c>
      <c r="BV97" s="277">
        <f t="shared" si="331"/>
        <v>7.3866666666666664E-2</v>
      </c>
      <c r="BW97" s="277">
        <f t="shared" si="331"/>
        <v>6.0639999999999999E-2</v>
      </c>
      <c r="BX97" s="277">
        <f t="shared" si="331"/>
        <v>6.4939999999999998E-2</v>
      </c>
      <c r="BY97" s="277">
        <f t="shared" si="331"/>
        <v>6.480000000000001E-2</v>
      </c>
      <c r="BZ97" s="277">
        <f t="shared" si="331"/>
        <v>6.4439999999999997E-2</v>
      </c>
      <c r="CA97" s="277">
        <f t="shared" si="331"/>
        <v>6.2240000000000004E-2</v>
      </c>
      <c r="CB97" s="277">
        <f t="shared" si="331"/>
        <v>6.2279999999999995E-2</v>
      </c>
      <c r="CC97" s="277">
        <f t="shared" si="331"/>
        <v>6.4939999999999998E-2</v>
      </c>
      <c r="CD97" s="277">
        <f t="shared" si="331"/>
        <v>6.6180000000000003E-2</v>
      </c>
      <c r="CE97" s="277">
        <f t="shared" si="331"/>
        <v>6.4920000000000005E-2</v>
      </c>
      <c r="CF97" s="277">
        <f t="shared" si="331"/>
        <v>6.2539999999999998E-2</v>
      </c>
      <c r="CG97" s="277">
        <f t="shared" si="331"/>
        <v>5.9200000000000003E-2</v>
      </c>
      <c r="CH97" s="277">
        <f t="shared" si="331"/>
        <v>5.16E-2</v>
      </c>
      <c r="CI97" s="277">
        <f t="shared" si="331"/>
        <v>3.8919999999999996E-2</v>
      </c>
      <c r="CJ97" s="277">
        <f t="shared" si="331"/>
        <v>2.5619999999999997E-2</v>
      </c>
      <c r="CK97" s="277">
        <f t="shared" si="331"/>
        <v>1.6739999999999998E-2</v>
      </c>
      <c r="CL97" s="277">
        <f t="shared" si="331"/>
        <v>1.7097674418604651E-2</v>
      </c>
      <c r="CM97" s="277">
        <f t="shared" si="331"/>
        <v>2.616068376068376E-2</v>
      </c>
      <c r="CN97" s="277">
        <f t="shared" si="331"/>
        <v>3.4315789473684209E-2</v>
      </c>
      <c r="CO97" s="277">
        <f t="shared" si="331"/>
        <v>3.7967058823529409E-2</v>
      </c>
      <c r="CP97" s="277">
        <f t="shared" si="331"/>
        <v>4.1556989247311833E-2</v>
      </c>
      <c r="CQ97" s="277">
        <f t="shared" si="331"/>
        <v>3.9568911917098444E-2</v>
      </c>
      <c r="CR97" s="277">
        <f t="shared" si="331"/>
        <v>3.9794652406417108E-2</v>
      </c>
      <c r="CS97" s="277">
        <f t="shared" si="331"/>
        <v>3.7143455497382204E-2</v>
      </c>
      <c r="CT97" s="277">
        <f t="shared" ref="CT97:ED97" si="332">IFERROR(-CT36*4/AVERAGE(CS284:CT284),0)</f>
        <v>2.9162561576354683E-2</v>
      </c>
      <c r="CU97" s="277">
        <f t="shared" si="332"/>
        <v>1.9006511627906977E-2</v>
      </c>
      <c r="CV97" s="277">
        <f t="shared" si="332"/>
        <v>1.9950000000000002E-2</v>
      </c>
      <c r="CW97" s="277">
        <f t="shared" si="332"/>
        <v>3.275944700460829E-2</v>
      </c>
      <c r="CX97" s="277">
        <f t="shared" si="332"/>
        <v>3.7180198019801977E-2</v>
      </c>
      <c r="CY97" s="277">
        <f t="shared" si="332"/>
        <v>3.6384864864864863E-2</v>
      </c>
      <c r="CZ97" s="277">
        <f t="shared" si="332"/>
        <v>3.8178313253012047E-2</v>
      </c>
      <c r="DA97" s="277">
        <f t="shared" si="332"/>
        <v>4.7124507910373724E-2</v>
      </c>
      <c r="DB97" s="277">
        <f t="shared" si="332"/>
        <v>4.9188435026453557E-2</v>
      </c>
      <c r="DC97" s="277">
        <f t="shared" si="332"/>
        <v>6.1961225063220007E-2</v>
      </c>
      <c r="DD97" s="277">
        <f t="shared" si="332"/>
        <v>3.6239262388686057E-2</v>
      </c>
      <c r="DE97" s="277">
        <f t="shared" si="332"/>
        <v>4.6976057137304988E-2</v>
      </c>
      <c r="DF97" s="277">
        <f t="shared" si="332"/>
        <v>2.7723720340773077E-2</v>
      </c>
      <c r="DG97" s="277">
        <f t="shared" si="332"/>
        <v>2.7264703273932281E-2</v>
      </c>
      <c r="DH97" s="277">
        <f t="shared" si="332"/>
        <v>2.7152659096732052E-2</v>
      </c>
      <c r="DI97" s="277">
        <f t="shared" si="332"/>
        <v>1.8276959775569687E-2</v>
      </c>
      <c r="DJ97" s="277">
        <f t="shared" si="332"/>
        <v>2.178484138120558E-2</v>
      </c>
      <c r="DK97" s="277">
        <f t="shared" si="332"/>
        <v>1.9814055282216636E-2</v>
      </c>
      <c r="DL97" s="277">
        <f t="shared" si="332"/>
        <v>3.5023952296405488E-2</v>
      </c>
      <c r="DM97" s="277">
        <f t="shared" si="332"/>
        <v>2.8253873127483252E-2</v>
      </c>
      <c r="DN97" s="277">
        <f t="shared" si="332"/>
        <v>2.4093285812656545E-2</v>
      </c>
      <c r="DO97" s="277">
        <f t="shared" si="332"/>
        <v>3.4796641367659295E-2</v>
      </c>
      <c r="DP97" s="277">
        <f t="shared" si="332"/>
        <v>2.8952100414358025E-2</v>
      </c>
      <c r="DQ97" s="277">
        <f t="shared" si="332"/>
        <v>8.5289968122874427E-3</v>
      </c>
      <c r="DR97" s="277">
        <f t="shared" si="332"/>
        <v>2.6810836643866309E-2</v>
      </c>
      <c r="DS97" s="277">
        <f t="shared" si="332"/>
        <v>2.9969587721080292E-2</v>
      </c>
      <c r="DT97" s="277">
        <f t="shared" si="332"/>
        <v>4.3520175805376211E-2</v>
      </c>
      <c r="DU97" s="277">
        <f t="shared" si="332"/>
        <v>4.1418097712039345E-2</v>
      </c>
      <c r="DV97" s="277">
        <f t="shared" si="332"/>
        <v>3.3604036207373768E-2</v>
      </c>
      <c r="DW97" s="277">
        <f t="shared" si="332"/>
        <v>4.2604826763261466E-2</v>
      </c>
      <c r="DX97" s="277">
        <f t="shared" si="332"/>
        <v>4.8147274901438802E-2</v>
      </c>
      <c r="DY97" s="277">
        <f t="shared" si="332"/>
        <v>4.8713405133930743E-2</v>
      </c>
      <c r="DZ97" s="277">
        <f t="shared" si="332"/>
        <v>4.093216839275448E-2</v>
      </c>
      <c r="EA97" s="277">
        <f t="shared" si="332"/>
        <v>4.9433623842542039E-2</v>
      </c>
      <c r="EB97" s="277">
        <f t="shared" si="332"/>
        <v>5.1680488869489304E-2</v>
      </c>
      <c r="EC97" s="277">
        <f t="shared" si="332"/>
        <v>5.0677036359190943E-2</v>
      </c>
      <c r="ED97" s="277">
        <f t="shared" si="332"/>
        <v>4.6828453172560777E-2</v>
      </c>
      <c r="EE97" s="276">
        <f t="shared" ref="EE97:EP97" si="333">ED97</f>
        <v>4.6828453172560777E-2</v>
      </c>
      <c r="EF97" s="276">
        <f t="shared" si="333"/>
        <v>4.6828453172560777E-2</v>
      </c>
      <c r="EG97" s="276">
        <f t="shared" si="333"/>
        <v>4.6828453172560777E-2</v>
      </c>
      <c r="EH97" s="276">
        <f t="shared" si="333"/>
        <v>4.6828453172560777E-2</v>
      </c>
      <c r="EI97" s="276">
        <f t="shared" si="333"/>
        <v>4.6828453172560777E-2</v>
      </c>
      <c r="EJ97" s="276">
        <f t="shared" si="333"/>
        <v>4.6828453172560777E-2</v>
      </c>
      <c r="EK97" s="276">
        <f t="shared" si="333"/>
        <v>4.6828453172560777E-2</v>
      </c>
      <c r="EL97" s="276">
        <f t="shared" si="333"/>
        <v>4.6828453172560777E-2</v>
      </c>
      <c r="EM97" s="276">
        <f t="shared" si="333"/>
        <v>4.6828453172560777E-2</v>
      </c>
      <c r="EN97" s="276">
        <f t="shared" si="333"/>
        <v>4.6828453172560777E-2</v>
      </c>
      <c r="EO97" s="276">
        <f t="shared" si="333"/>
        <v>4.6828453172560777E-2</v>
      </c>
      <c r="EP97" s="276">
        <f t="shared" si="333"/>
        <v>4.6828453172560777E-2</v>
      </c>
      <c r="EQ97" s="18"/>
      <c r="ER97" s="18"/>
      <c r="ES97" s="355">
        <f t="shared" si="201"/>
        <v>92</v>
      </c>
      <c r="ET97"/>
      <c r="EU97"/>
      <c r="EV97"/>
      <c r="EW97"/>
      <c r="EX97"/>
      <c r="EY97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</row>
    <row r="98" spans="1:257" s="4" customFormat="1" ht="12.75" hidden="1" customHeight="1" outlineLevel="2">
      <c r="A98" s="15"/>
      <c r="B98" s="31" t="s">
        <v>196</v>
      </c>
      <c r="C98" s="159"/>
      <c r="D98" s="159"/>
      <c r="E98" s="159">
        <f t="shared" ref="E98:AF98" si="334">-E39/E38</f>
        <v>0.42525485527196916</v>
      </c>
      <c r="F98" s="159">
        <f t="shared" si="334"/>
        <v>0.3377009142215916</v>
      </c>
      <c r="G98" s="159">
        <f t="shared" si="334"/>
        <v>0.37703333193224348</v>
      </c>
      <c r="H98" s="159">
        <f t="shared" si="334"/>
        <v>0.3708917465242037</v>
      </c>
      <c r="I98" s="159">
        <f t="shared" si="334"/>
        <v>0.35717873455869653</v>
      </c>
      <c r="J98" s="159">
        <f t="shared" si="334"/>
        <v>0.37309084286683974</v>
      </c>
      <c r="K98" s="159">
        <f t="shared" si="334"/>
        <v>0.39796571136130993</v>
      </c>
      <c r="L98" s="159">
        <f t="shared" si="334"/>
        <v>0.43262368096877701</v>
      </c>
      <c r="M98" s="159">
        <f t="shared" si="334"/>
        <v>0.39558007153712615</v>
      </c>
      <c r="N98" s="159">
        <f t="shared" si="334"/>
        <v>0.46415511140060334</v>
      </c>
      <c r="O98" s="159">
        <f t="shared" si="334"/>
        <v>0.43188563921782236</v>
      </c>
      <c r="P98" s="159">
        <f t="shared" si="334"/>
        <v>0.53435221614846196</v>
      </c>
      <c r="Q98" s="159">
        <f t="shared" si="334"/>
        <v>0.4094555531027429</v>
      </c>
      <c r="R98" s="159">
        <f t="shared" si="334"/>
        <v>0.3500015714793423</v>
      </c>
      <c r="S98" s="159">
        <f t="shared" si="334"/>
        <v>0.36433673352314172</v>
      </c>
      <c r="T98" s="159">
        <f t="shared" si="334"/>
        <v>0.3643447691248658</v>
      </c>
      <c r="U98" s="159">
        <f t="shared" si="334"/>
        <v>0.40401634102894729</v>
      </c>
      <c r="V98" s="159">
        <f t="shared" si="334"/>
        <v>0.35801337708110031</v>
      </c>
      <c r="W98" s="159">
        <f t="shared" si="334"/>
        <v>0.367474229447664</v>
      </c>
      <c r="X98" s="159">
        <f t="shared" si="334"/>
        <v>0.36624892314205915</v>
      </c>
      <c r="Y98" s="159">
        <f t="shared" si="334"/>
        <v>0.3456124386925411</v>
      </c>
      <c r="Z98" s="159">
        <f t="shared" si="334"/>
        <v>0.35315566289596845</v>
      </c>
      <c r="AA98" s="159">
        <f t="shared" si="334"/>
        <v>0.38151356806304065</v>
      </c>
      <c r="AB98" s="159">
        <f t="shared" si="334"/>
        <v>0.40906711212531616</v>
      </c>
      <c r="AC98" s="159">
        <f t="shared" si="334"/>
        <v>0.32600448328274984</v>
      </c>
      <c r="AD98" s="159">
        <f t="shared" si="334"/>
        <v>9.6738670458093756E-2</v>
      </c>
      <c r="AE98" s="159">
        <f t="shared" si="334"/>
        <v>0.24999999999999994</v>
      </c>
      <c r="AF98" s="159">
        <f t="shared" si="334"/>
        <v>0.24999999999999986</v>
      </c>
      <c r="AG98" s="42"/>
      <c r="AH98" s="275">
        <f t="shared" ref="AH98:BM98" si="335">-AH39/AH38</f>
        <v>0.40612767514175974</v>
      </c>
      <c r="AI98" s="275">
        <f t="shared" si="335"/>
        <v>0.40792672772689426</v>
      </c>
      <c r="AJ98" s="275">
        <f t="shared" si="335"/>
        <v>0.37712069801260306</v>
      </c>
      <c r="AK98" s="275">
        <f t="shared" si="335"/>
        <v>0.51454884332858108</v>
      </c>
      <c r="AL98" s="275">
        <f t="shared" si="335"/>
        <v>0.37663477573948906</v>
      </c>
      <c r="AM98" s="275">
        <f t="shared" si="335"/>
        <v>0.43618128488977226</v>
      </c>
      <c r="AN98" s="275">
        <f t="shared" si="335"/>
        <v>0.32599765258215918</v>
      </c>
      <c r="AO98" s="275">
        <f t="shared" si="335"/>
        <v>-0.58579881656805866</v>
      </c>
      <c r="AP98" s="275">
        <f t="shared" si="335"/>
        <v>0.36941631923764101</v>
      </c>
      <c r="AQ98" s="275">
        <f t="shared" si="335"/>
        <v>0.3762022727845582</v>
      </c>
      <c r="AR98" s="275">
        <f t="shared" si="335"/>
        <v>0.38873997720382697</v>
      </c>
      <c r="AS98" s="275">
        <f t="shared" si="335"/>
        <v>0.37325905292479239</v>
      </c>
      <c r="AT98" s="275">
        <f t="shared" si="335"/>
        <v>0.36234873487348712</v>
      </c>
      <c r="AU98" s="275">
        <f t="shared" si="335"/>
        <v>0.36694546671127476</v>
      </c>
      <c r="AV98" s="275">
        <f t="shared" si="335"/>
        <v>0.41349171857646427</v>
      </c>
      <c r="AW98" s="275">
        <f t="shared" si="335"/>
        <v>0.33367058948825773</v>
      </c>
      <c r="AX98" s="275">
        <f t="shared" si="335"/>
        <v>0.37462158631018772</v>
      </c>
      <c r="AY98" s="275">
        <f t="shared" si="335"/>
        <v>0.35653430028595856</v>
      </c>
      <c r="AZ98" s="275">
        <f t="shared" si="335"/>
        <v>0.344850948509485</v>
      </c>
      <c r="BA98" s="275">
        <f t="shared" si="335"/>
        <v>0.35385134122583473</v>
      </c>
      <c r="BB98" s="275">
        <f t="shared" si="335"/>
        <v>0.37660303056245176</v>
      </c>
      <c r="BC98" s="275">
        <f t="shared" si="335"/>
        <v>0.38688094909642712</v>
      </c>
      <c r="BD98" s="275">
        <f t="shared" si="335"/>
        <v>0.38764429911856702</v>
      </c>
      <c r="BE98" s="275">
        <f t="shared" si="335"/>
        <v>0.31054861529651068</v>
      </c>
      <c r="BF98" s="275">
        <f t="shared" si="335"/>
        <v>0.40772081963773715</v>
      </c>
      <c r="BG98" s="275">
        <f t="shared" si="335"/>
        <v>0.38355513307984779</v>
      </c>
      <c r="BH98" s="275">
        <f t="shared" si="335"/>
        <v>0.39823267790262207</v>
      </c>
      <c r="BI98" s="275">
        <f t="shared" si="335"/>
        <v>0.40157690765735499</v>
      </c>
      <c r="BJ98" s="275">
        <f t="shared" si="335"/>
        <v>0.45119670905011233</v>
      </c>
      <c r="BK98" s="275">
        <f t="shared" si="335"/>
        <v>0.44675594655258111</v>
      </c>
      <c r="BL98" s="275">
        <f t="shared" si="335"/>
        <v>0.39656816015252627</v>
      </c>
      <c r="BM98" s="275">
        <f t="shared" si="335"/>
        <v>0.43580126643935707</v>
      </c>
      <c r="BN98" s="275">
        <f t="shared" ref="BN98:CS98" si="336">-BN39/BN38</f>
        <v>0.39745670995671006</v>
      </c>
      <c r="BO98" s="275">
        <f t="shared" si="336"/>
        <v>0.39745586908502617</v>
      </c>
      <c r="BP98" s="275">
        <f t="shared" si="336"/>
        <v>0.38960554764485045</v>
      </c>
      <c r="BQ98" s="275">
        <f t="shared" si="336"/>
        <v>0.39873492918519648</v>
      </c>
      <c r="BR98" s="275">
        <f t="shared" si="336"/>
        <v>0.41264696755508051</v>
      </c>
      <c r="BS98" s="275">
        <f t="shared" si="336"/>
        <v>0.44985029940119764</v>
      </c>
      <c r="BT98" s="275">
        <f t="shared" si="336"/>
        <v>0.55769098298546538</v>
      </c>
      <c r="BU98" s="275">
        <f t="shared" si="336"/>
        <v>0.49710101246723637</v>
      </c>
      <c r="BV98" s="275">
        <f t="shared" si="336"/>
        <v>0.43173431734316314</v>
      </c>
      <c r="BW98" s="275">
        <f t="shared" si="336"/>
        <v>0.42975763016157936</v>
      </c>
      <c r="BX98" s="275">
        <f t="shared" si="336"/>
        <v>0.43350031750511547</v>
      </c>
      <c r="BY98" s="275">
        <f t="shared" si="336"/>
        <v>0.43050898008763194</v>
      </c>
      <c r="BZ98" s="275">
        <f t="shared" si="336"/>
        <v>0.3150671345743063</v>
      </c>
      <c r="CA98" s="275">
        <f t="shared" si="336"/>
        <v>0.14010434056761278</v>
      </c>
      <c r="CB98" s="275">
        <f t="shared" si="336"/>
        <v>0.41786996274974558</v>
      </c>
      <c r="CC98" s="275">
        <f t="shared" si="336"/>
        <v>0.75575549945906872</v>
      </c>
      <c r="CD98" s="159">
        <f t="shared" si="336"/>
        <v>0.40340928978963198</v>
      </c>
      <c r="CE98" s="159">
        <f t="shared" si="336"/>
        <v>0.41162871714835142</v>
      </c>
      <c r="CF98" s="159">
        <f t="shared" si="336"/>
        <v>0.41262112530622991</v>
      </c>
      <c r="CG98" s="159">
        <f t="shared" si="336"/>
        <v>0.40839905998593395</v>
      </c>
      <c r="CH98" s="159">
        <f t="shared" si="336"/>
        <v>0.39641228202802142</v>
      </c>
      <c r="CI98" s="159">
        <f t="shared" si="336"/>
        <v>0.38048804319876584</v>
      </c>
      <c r="CJ98" s="159">
        <f t="shared" si="336"/>
        <v>0.38094376476948694</v>
      </c>
      <c r="CK98" s="159">
        <f t="shared" si="336"/>
        <v>0.26666762020743595</v>
      </c>
      <c r="CL98" s="159">
        <f t="shared" si="336"/>
        <v>0.37147130468009043</v>
      </c>
      <c r="CM98" s="159">
        <f t="shared" si="336"/>
        <v>0.36337173024252778</v>
      </c>
      <c r="CN98" s="159">
        <f t="shared" si="336"/>
        <v>0.3668007520938979</v>
      </c>
      <c r="CO98" s="159">
        <f t="shared" si="336"/>
        <v>0.35606866874556498</v>
      </c>
      <c r="CP98" s="159">
        <f t="shared" si="336"/>
        <v>0.36526445171416128</v>
      </c>
      <c r="CQ98" s="159">
        <f t="shared" si="336"/>
        <v>0.37221993867682968</v>
      </c>
      <c r="CR98" s="159">
        <f t="shared" si="336"/>
        <v>0.3673405740623405</v>
      </c>
      <c r="CS98" s="159">
        <f t="shared" si="336"/>
        <v>0.35387128851934052</v>
      </c>
      <c r="CT98" s="159">
        <f t="shared" ref="CT98:EB98" si="337">-CT39/CT38</f>
        <v>0.36818408424966853</v>
      </c>
      <c r="CU98" s="159">
        <f t="shared" si="337"/>
        <v>0.45677989062819668</v>
      </c>
      <c r="CV98" s="159">
        <f t="shared" si="337"/>
        <v>0.40998847637085528</v>
      </c>
      <c r="CW98" s="159">
        <f t="shared" si="337"/>
        <v>0.37692430690511902</v>
      </c>
      <c r="CX98" s="159">
        <f t="shared" si="337"/>
        <v>0.35574562843773067</v>
      </c>
      <c r="CY98" s="159">
        <f t="shared" si="337"/>
        <v>0.29944712719813699</v>
      </c>
      <c r="CZ98" s="159">
        <f t="shared" si="337"/>
        <v>0.40404298104661762</v>
      </c>
      <c r="DA98" s="159">
        <f t="shared" si="337"/>
        <v>0.36420984525799316</v>
      </c>
      <c r="DB98" s="159">
        <f t="shared" si="337"/>
        <v>0.3745343905025415</v>
      </c>
      <c r="DC98" s="159">
        <f t="shared" si="337"/>
        <v>0.37847876447876455</v>
      </c>
      <c r="DD98" s="159">
        <f t="shared" si="337"/>
        <v>0.36457562966580642</v>
      </c>
      <c r="DE98" s="159">
        <f t="shared" si="337"/>
        <v>0.35424290545667403</v>
      </c>
      <c r="DF98" s="159">
        <f t="shared" si="337"/>
        <v>0.36870709535557222</v>
      </c>
      <c r="DG98" s="159">
        <f t="shared" si="337"/>
        <v>0.3694050675298583</v>
      </c>
      <c r="DH98" s="159">
        <f t="shared" si="337"/>
        <v>0.35341454894769037</v>
      </c>
      <c r="DI98" s="159">
        <f t="shared" si="337"/>
        <v>0.37381781426803196</v>
      </c>
      <c r="DJ98" s="159">
        <f t="shared" si="337"/>
        <v>0.35217526962239964</v>
      </c>
      <c r="DK98" s="159">
        <f t="shared" si="337"/>
        <v>0.3492585049308099</v>
      </c>
      <c r="DL98" s="159">
        <f t="shared" si="337"/>
        <v>0.33144716511438255</v>
      </c>
      <c r="DM98" s="159">
        <f t="shared" si="337"/>
        <v>0.34983438873416012</v>
      </c>
      <c r="DN98" s="159">
        <f t="shared" si="337"/>
        <v>0.34197770037182434</v>
      </c>
      <c r="DO98" s="159">
        <f t="shared" si="337"/>
        <v>0.37284630185977086</v>
      </c>
      <c r="DP98" s="159">
        <f t="shared" si="337"/>
        <v>0.34221051927393836</v>
      </c>
      <c r="DQ98" s="159">
        <f t="shared" si="337"/>
        <v>0.35605083606141774</v>
      </c>
      <c r="DR98" s="159">
        <f t="shared" si="337"/>
        <v>0.38979678505556248</v>
      </c>
      <c r="DS98" s="159">
        <f t="shared" si="337"/>
        <v>0.34618971790288167</v>
      </c>
      <c r="DT98" s="159">
        <f t="shared" si="337"/>
        <v>0.27455947473958603</v>
      </c>
      <c r="DU98" s="159">
        <f t="shared" si="337"/>
        <v>3.6352329666595553</v>
      </c>
      <c r="DV98" s="159">
        <f t="shared" si="337"/>
        <v>0.4763787497016686</v>
      </c>
      <c r="DW98" s="159">
        <f t="shared" si="337"/>
        <v>0.32720538193093457</v>
      </c>
      <c r="DX98" s="159">
        <f t="shared" si="337"/>
        <v>0.38073385347766053</v>
      </c>
      <c r="DY98" s="159">
        <f t="shared" si="337"/>
        <v>0.50152636313484944</v>
      </c>
      <c r="DZ98" s="159">
        <f t="shared" si="337"/>
        <v>0.34364464791465082</v>
      </c>
      <c r="EA98" s="159">
        <f t="shared" si="337"/>
        <v>0.30716496137102273</v>
      </c>
      <c r="EB98" s="159">
        <f t="shared" si="337"/>
        <v>0.27509759887038471</v>
      </c>
      <c r="EC98" s="159">
        <f t="shared" ref="EC98:ED98" si="338">-EC39/EC38</f>
        <v>0.41494652359852835</v>
      </c>
      <c r="ED98" s="159">
        <f t="shared" si="338"/>
        <v>1.7861968114697404</v>
      </c>
      <c r="EE98" s="274">
        <v>0.25</v>
      </c>
      <c r="EF98" s="274">
        <v>0.25</v>
      </c>
      <c r="EG98" s="274">
        <v>0.25</v>
      </c>
      <c r="EH98" s="274">
        <v>0.25</v>
      </c>
      <c r="EI98" s="274">
        <v>0.25</v>
      </c>
      <c r="EJ98" s="274">
        <v>0.25</v>
      </c>
      <c r="EK98" s="274">
        <v>0.25</v>
      </c>
      <c r="EL98" s="274">
        <v>0.25</v>
      </c>
      <c r="EM98" s="274">
        <v>0.25</v>
      </c>
      <c r="EN98" s="274">
        <v>0.25</v>
      </c>
      <c r="EO98" s="274">
        <v>0.25</v>
      </c>
      <c r="EP98" s="274">
        <v>0.25</v>
      </c>
      <c r="EQ98" s="20"/>
      <c r="ER98" s="20"/>
      <c r="ES98" s="355">
        <f t="shared" si="201"/>
        <v>93</v>
      </c>
      <c r="ET98"/>
      <c r="EU98"/>
      <c r="EV98"/>
      <c r="EW98"/>
      <c r="EX98"/>
      <c r="EY98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</row>
    <row r="99" spans="1:257" s="4" customFormat="1" ht="12.75" hidden="1" customHeight="1" outlineLevel="2">
      <c r="A99" s="15"/>
      <c r="B99" s="63" t="s">
        <v>195</v>
      </c>
      <c r="C99" s="91"/>
      <c r="D99" s="91"/>
      <c r="E99" s="91">
        <f t="shared" ref="E99:AF99" si="339">E42/E15</f>
        <v>7.4400337203109457E-2</v>
      </c>
      <c r="F99" s="91">
        <f t="shared" si="339"/>
        <v>6.4986457926606275E-2</v>
      </c>
      <c r="G99" s="91">
        <f t="shared" si="339"/>
        <v>5.3762568652302459E-2</v>
      </c>
      <c r="H99" s="91">
        <f t="shared" si="339"/>
        <v>0.11634359039210475</v>
      </c>
      <c r="I99" s="91">
        <f t="shared" si="339"/>
        <v>0.1662427777624195</v>
      </c>
      <c r="J99" s="91">
        <f t="shared" si="339"/>
        <v>0.1313036178482089</v>
      </c>
      <c r="K99" s="91">
        <f t="shared" si="339"/>
        <v>6.2753116454231553E-2</v>
      </c>
      <c r="L99" s="91">
        <f t="shared" si="339"/>
        <v>0.12443208561862194</v>
      </c>
      <c r="M99" s="91">
        <f t="shared" si="339"/>
        <v>0.18668444257984829</v>
      </c>
      <c r="N99" s="91">
        <f t="shared" si="339"/>
        <v>7.3402847567988982E-2</v>
      </c>
      <c r="O99" s="91">
        <f t="shared" si="339"/>
        <v>2.9233971509724371E-2</v>
      </c>
      <c r="P99" s="91">
        <f t="shared" si="339"/>
        <v>2.3932987695567211E-2</v>
      </c>
      <c r="Q99" s="91">
        <f t="shared" si="339"/>
        <v>0.12996598087235847</v>
      </c>
      <c r="R99" s="91">
        <f t="shared" si="339"/>
        <v>0.22544037334678843</v>
      </c>
      <c r="S99" s="91">
        <f t="shared" si="339"/>
        <v>0.2270530135770816</v>
      </c>
      <c r="T99" s="91">
        <f t="shared" si="339"/>
        <v>0.21619557259532457</v>
      </c>
      <c r="U99" s="91">
        <f t="shared" si="339"/>
        <v>0.18445771943329539</v>
      </c>
      <c r="V99" s="91">
        <f t="shared" si="339"/>
        <v>0.14576666565705357</v>
      </c>
      <c r="W99" s="91">
        <f t="shared" si="339"/>
        <v>0.16969130789254583</v>
      </c>
      <c r="X99" s="91">
        <f t="shared" si="339"/>
        <v>0.17762170656659276</v>
      </c>
      <c r="Y99" s="91">
        <f t="shared" si="339"/>
        <v>0.17796506908690321</v>
      </c>
      <c r="Z99" s="91">
        <f t="shared" si="339"/>
        <v>0.181089865917682</v>
      </c>
      <c r="AA99" s="91">
        <f t="shared" si="339"/>
        <v>0.10679860062390753</v>
      </c>
      <c r="AB99" s="91">
        <f t="shared" si="339"/>
        <v>-7.804306359237427E-2</v>
      </c>
      <c r="AC99" s="91">
        <f t="shared" si="339"/>
        <v>-7.6678042978176569E-2</v>
      </c>
      <c r="AD99" s="91">
        <f t="shared" si="339"/>
        <v>1.0244186549198328E-2</v>
      </c>
      <c r="AE99" s="91">
        <f t="shared" si="339"/>
        <v>7.0699025602843038E-2</v>
      </c>
      <c r="AF99" s="91">
        <f t="shared" si="339"/>
        <v>8.6513973844376202E-2</v>
      </c>
      <c r="AG99" s="91"/>
      <c r="AH99" s="91">
        <f t="shared" ref="AH99:BM99" si="340">AH42/AH15</f>
        <v>7.8853028674283121E-2</v>
      </c>
      <c r="AI99" s="91">
        <f t="shared" si="340"/>
        <v>8.5245861283771318E-2</v>
      </c>
      <c r="AJ99" s="91">
        <f t="shared" si="340"/>
        <v>6.8798113600110955E-2</v>
      </c>
      <c r="AK99" s="91">
        <f t="shared" si="340"/>
        <v>6.293652431057041E-2</v>
      </c>
      <c r="AL99" s="91">
        <f t="shared" si="340"/>
        <v>8.9938495114329692E-2</v>
      </c>
      <c r="AM99" s="91">
        <f t="shared" si="340"/>
        <v>7.1272247246957396E-2</v>
      </c>
      <c r="AN99" s="91">
        <f t="shared" si="340"/>
        <v>6.0478637803042225E-2</v>
      </c>
      <c r="AO99" s="91">
        <f t="shared" si="340"/>
        <v>3.6913647749958312E-2</v>
      </c>
      <c r="AP99" s="91">
        <f t="shared" si="340"/>
        <v>5.6215390490739064E-2</v>
      </c>
      <c r="AQ99" s="91">
        <f t="shared" si="340"/>
        <v>6.1799192211884145E-2</v>
      </c>
      <c r="AR99" s="91">
        <f t="shared" si="340"/>
        <v>5.1045310090504295E-2</v>
      </c>
      <c r="AS99" s="91">
        <f t="shared" si="340"/>
        <v>4.4553844254452114E-2</v>
      </c>
      <c r="AT99" s="91">
        <f t="shared" si="340"/>
        <v>0.10850332340132945</v>
      </c>
      <c r="AU99" s="91">
        <f t="shared" si="340"/>
        <v>0.10437541927995651</v>
      </c>
      <c r="AV99" s="91">
        <f t="shared" si="340"/>
        <v>0.12340775511022849</v>
      </c>
      <c r="AW99" s="91">
        <f t="shared" si="340"/>
        <v>0.12669793621013156</v>
      </c>
      <c r="AX99" s="91">
        <f t="shared" si="340"/>
        <v>0.1724123160221373</v>
      </c>
      <c r="AY99" s="91">
        <f t="shared" si="340"/>
        <v>0.17142682357979094</v>
      </c>
      <c r="AZ99" s="91">
        <f t="shared" si="340"/>
        <v>0.19169443025866756</v>
      </c>
      <c r="BA99" s="91">
        <f t="shared" si="340"/>
        <v>0.13276777810563625</v>
      </c>
      <c r="BB99" s="91">
        <f t="shared" si="340"/>
        <v>0.1768763184190075</v>
      </c>
      <c r="BC99" s="91">
        <f t="shared" si="340"/>
        <v>0.13731519222848701</v>
      </c>
      <c r="BD99" s="91">
        <f t="shared" si="340"/>
        <v>0.13463502748502287</v>
      </c>
      <c r="BE99" s="91">
        <f t="shared" si="340"/>
        <v>7.9562143850236758E-2</v>
      </c>
      <c r="BF99" s="91">
        <f t="shared" si="340"/>
        <v>4.5187274589876328E-2</v>
      </c>
      <c r="BG99" s="91">
        <f t="shared" si="340"/>
        <v>4.7727243219381744E-2</v>
      </c>
      <c r="BH99" s="91">
        <f t="shared" si="340"/>
        <v>8.8672998978991904E-2</v>
      </c>
      <c r="BI99" s="91">
        <f t="shared" si="340"/>
        <v>7.3976040025092629E-2</v>
      </c>
      <c r="BJ99" s="91">
        <f t="shared" si="340"/>
        <v>0.13837152536355157</v>
      </c>
      <c r="BK99" s="91">
        <f t="shared" si="340"/>
        <v>9.467274192283287E-2</v>
      </c>
      <c r="BL99" s="91">
        <f t="shared" si="340"/>
        <v>0.12391159188034186</v>
      </c>
      <c r="BM99" s="91">
        <f t="shared" si="340"/>
        <v>0.13804067223605304</v>
      </c>
      <c r="BN99" s="91">
        <f t="shared" ref="BN99:CS99" si="341">BN42/BN15</f>
        <v>0.1783418007040917</v>
      </c>
      <c r="BO99" s="91">
        <f t="shared" si="341"/>
        <v>0.19045595177705579</v>
      </c>
      <c r="BP99" s="91">
        <f t="shared" si="341"/>
        <v>0.18353224539334731</v>
      </c>
      <c r="BQ99" s="91">
        <f t="shared" si="341"/>
        <v>0.19643851619073638</v>
      </c>
      <c r="BR99" s="91">
        <f t="shared" si="341"/>
        <v>0.12713920996521152</v>
      </c>
      <c r="BS99" s="91">
        <f t="shared" si="341"/>
        <v>5.9663955479452052E-2</v>
      </c>
      <c r="BT99" s="91">
        <f t="shared" si="341"/>
        <v>5.5994308075417991E-2</v>
      </c>
      <c r="BU99" s="91">
        <f t="shared" si="341"/>
        <v>4.3751447286388627E-2</v>
      </c>
      <c r="BV99" s="91">
        <f t="shared" si="341"/>
        <v>5.3953637204011097E-3</v>
      </c>
      <c r="BW99" s="91">
        <f t="shared" si="341"/>
        <v>2.0516662814146498E-2</v>
      </c>
      <c r="BX99" s="91">
        <f t="shared" si="341"/>
        <v>5.9771663749606345E-2</v>
      </c>
      <c r="BY99" s="91">
        <f t="shared" si="341"/>
        <v>2.6264352671008528E-2</v>
      </c>
      <c r="BZ99" s="91">
        <f t="shared" si="341"/>
        <v>2.8814802678125834E-2</v>
      </c>
      <c r="CA99" s="91">
        <f t="shared" si="341"/>
        <v>1.6565821120930725E-2</v>
      </c>
      <c r="CB99" s="91">
        <f t="shared" si="341"/>
        <v>2.9108476481302215E-2</v>
      </c>
      <c r="CC99" s="91">
        <f t="shared" si="341"/>
        <v>2.1701062973888959E-2</v>
      </c>
      <c r="CD99" s="91">
        <f t="shared" si="341"/>
        <v>0.1016149623022802</v>
      </c>
      <c r="CE99" s="91">
        <f t="shared" si="341"/>
        <v>0.11754300350498791</v>
      </c>
      <c r="CF99" s="91">
        <f t="shared" si="341"/>
        <v>0.14209776890547621</v>
      </c>
      <c r="CG99" s="91">
        <f t="shared" si="341"/>
        <v>0.15029183997255702</v>
      </c>
      <c r="CH99" s="91">
        <f t="shared" si="341"/>
        <v>0.18975265086848242</v>
      </c>
      <c r="CI99" s="91">
        <f t="shared" si="341"/>
        <v>0.21406680878863935</v>
      </c>
      <c r="CJ99" s="91">
        <f t="shared" si="341"/>
        <v>0.22714402306470383</v>
      </c>
      <c r="CK99" s="91">
        <f t="shared" si="341"/>
        <v>0.25854294465703642</v>
      </c>
      <c r="CL99" s="91">
        <f t="shared" si="341"/>
        <v>0.24228654836063229</v>
      </c>
      <c r="CM99" s="91">
        <f t="shared" si="341"/>
        <v>0.2221097558356776</v>
      </c>
      <c r="CN99" s="91">
        <f t="shared" si="341"/>
        <v>0.21667190474607964</v>
      </c>
      <c r="CO99" s="91">
        <f t="shared" si="341"/>
        <v>0.22778415348571251</v>
      </c>
      <c r="CP99" s="91">
        <f t="shared" si="341"/>
        <v>0.22827590586493776</v>
      </c>
      <c r="CQ99" s="91">
        <f t="shared" si="341"/>
        <v>0.20575022590806588</v>
      </c>
      <c r="CR99" s="91">
        <f t="shared" si="341"/>
        <v>0.22533693640589686</v>
      </c>
      <c r="CS99" s="91">
        <f t="shared" si="341"/>
        <v>0.20703742725523747</v>
      </c>
      <c r="CT99" s="91">
        <f t="shared" ref="CT99:DY99" si="342">CT42/CT15</f>
        <v>0.23172048596081143</v>
      </c>
      <c r="CU99" s="91">
        <f t="shared" si="342"/>
        <v>0.19693234672304441</v>
      </c>
      <c r="CV99" s="91">
        <f t="shared" si="342"/>
        <v>0.13335882114775122</v>
      </c>
      <c r="CW99" s="91">
        <f t="shared" si="342"/>
        <v>0.13985345800997753</v>
      </c>
      <c r="CX99" s="91">
        <f t="shared" si="342"/>
        <v>0.15701487833974848</v>
      </c>
      <c r="CY99" s="91">
        <f t="shared" si="342"/>
        <v>0.14912308829381987</v>
      </c>
      <c r="CZ99" s="91">
        <f t="shared" si="342"/>
        <v>0.13120241878092778</v>
      </c>
      <c r="DA99" s="91">
        <f t="shared" si="342"/>
        <v>0.1476750447708858</v>
      </c>
      <c r="DB99" s="91">
        <f t="shared" si="342"/>
        <v>0.17259149202377219</v>
      </c>
      <c r="DC99" s="91">
        <f t="shared" si="342"/>
        <v>0.16645888690714516</v>
      </c>
      <c r="DD99" s="91">
        <f t="shared" si="342"/>
        <v>0.16968063717308768</v>
      </c>
      <c r="DE99" s="91">
        <f t="shared" si="342"/>
        <v>0.1700280841554275</v>
      </c>
      <c r="DF99" s="91">
        <f t="shared" si="342"/>
        <v>0.19281376435322448</v>
      </c>
      <c r="DG99" s="91">
        <f t="shared" si="342"/>
        <v>0.16141805912345999</v>
      </c>
      <c r="DH99" s="91">
        <f t="shared" si="342"/>
        <v>0.18063394670553851</v>
      </c>
      <c r="DI99" s="91">
        <f t="shared" si="342"/>
        <v>0.17626852589737507</v>
      </c>
      <c r="DJ99" s="91">
        <f t="shared" si="342"/>
        <v>0.17823211046541906</v>
      </c>
      <c r="DK99" s="91">
        <f t="shared" si="342"/>
        <v>0.17608489232490646</v>
      </c>
      <c r="DL99" s="91">
        <f t="shared" si="342"/>
        <v>0.18539238416704656</v>
      </c>
      <c r="DM99" s="91">
        <f t="shared" si="342"/>
        <v>0.17219948109672439</v>
      </c>
      <c r="DN99" s="91">
        <f t="shared" si="342"/>
        <v>0.18513618339932075</v>
      </c>
      <c r="DO99" s="91">
        <f t="shared" si="342"/>
        <v>0.17547429569188419</v>
      </c>
      <c r="DP99" s="91">
        <f t="shared" si="342"/>
        <v>0.18589698210352615</v>
      </c>
      <c r="DQ99" s="91">
        <f t="shared" si="342"/>
        <v>0.17792511557929741</v>
      </c>
      <c r="DR99" s="91">
        <f t="shared" si="342"/>
        <v>0.17988858197439014</v>
      </c>
      <c r="DS99" s="91">
        <f t="shared" si="342"/>
        <v>0.1286928638772003</v>
      </c>
      <c r="DT99" s="91">
        <f t="shared" si="342"/>
        <v>5.2407822518897751E-2</v>
      </c>
      <c r="DU99" s="91">
        <f t="shared" si="342"/>
        <v>-1.1700915289406618E-2</v>
      </c>
      <c r="DV99" s="91">
        <f t="shared" si="342"/>
        <v>1.1018224735464684E-2</v>
      </c>
      <c r="DW99" s="91">
        <f t="shared" si="342"/>
        <v>-8.1028362149113797E-2</v>
      </c>
      <c r="DX99" s="91">
        <f t="shared" si="342"/>
        <v>-0.1771418956442998</v>
      </c>
      <c r="DY99" s="91">
        <f t="shared" si="342"/>
        <v>-0.11609707831574305</v>
      </c>
      <c r="DZ99" s="91">
        <f t="shared" ref="DZ99:EP99" si="343">DZ42/DZ15</f>
        <v>-0.12166055430194771</v>
      </c>
      <c r="EA99" s="91">
        <f t="shared" si="343"/>
        <v>-0.12682673529607552</v>
      </c>
      <c r="EB99" s="91">
        <f t="shared" si="343"/>
        <v>-5.6754502998141783E-2</v>
      </c>
      <c r="EC99" s="91">
        <f t="shared" si="343"/>
        <v>-2.6736863192608876E-2</v>
      </c>
      <c r="ED99" s="91">
        <f t="shared" ref="ED99" si="344">ED42/ED15</f>
        <v>3.7109179809140824E-3</v>
      </c>
      <c r="EE99" s="91">
        <f t="shared" si="343"/>
        <v>-1.2297189363989332E-2</v>
      </c>
      <c r="EF99" s="91">
        <f t="shared" si="343"/>
        <v>8.8177050554209373E-3</v>
      </c>
      <c r="EG99" s="91">
        <f t="shared" si="343"/>
        <v>3.7316620315889212E-2</v>
      </c>
      <c r="EH99" s="91">
        <f t="shared" si="343"/>
        <v>5.3658582701012703E-2</v>
      </c>
      <c r="EI99" s="91">
        <f t="shared" si="343"/>
        <v>6.9108046551939806E-2</v>
      </c>
      <c r="EJ99" s="91">
        <f t="shared" si="343"/>
        <v>7.6477872275449096E-2</v>
      </c>
      <c r="EK99" s="91">
        <f t="shared" si="343"/>
        <v>8.2228374227871437E-2</v>
      </c>
      <c r="EL99" s="91">
        <f t="shared" si="343"/>
        <v>9.062786510590802E-2</v>
      </c>
      <c r="EM99" s="91">
        <f t="shared" si="343"/>
        <v>8.644176938449627E-2</v>
      </c>
      <c r="EN99" s="91">
        <f t="shared" si="343"/>
        <v>8.4412171420832002E-2</v>
      </c>
      <c r="EO99" s="91">
        <f t="shared" si="343"/>
        <v>8.4519312238538133E-2</v>
      </c>
      <c r="EP99" s="91">
        <f t="shared" si="343"/>
        <v>8.247294680332741E-2</v>
      </c>
      <c r="EQ99" s="5"/>
      <c r="ER99" s="5"/>
      <c r="ES99" s="355">
        <f t="shared" si="201"/>
        <v>94</v>
      </c>
      <c r="ET99"/>
      <c r="EU99"/>
      <c r="EV99"/>
      <c r="EW99"/>
      <c r="EX99"/>
      <c r="EY99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</row>
    <row r="100" spans="1:257" s="4" customFormat="1" ht="11.45" hidden="1" customHeight="1" outlineLevel="2">
      <c r="A100" s="15"/>
      <c r="B100" s="5" t="s">
        <v>194</v>
      </c>
      <c r="C100" s="60"/>
      <c r="D100" s="60"/>
      <c r="E100" s="59"/>
      <c r="F100" s="59"/>
      <c r="G100" s="59"/>
      <c r="H100" s="59"/>
      <c r="I100" s="58"/>
      <c r="J100" s="58"/>
      <c r="K100" s="58"/>
      <c r="L100" s="12"/>
      <c r="M100" s="12"/>
      <c r="N100" s="12"/>
      <c r="O100" s="12"/>
      <c r="P100" s="18"/>
      <c r="Q100" s="18"/>
      <c r="R100" s="18"/>
      <c r="S100" s="18"/>
      <c r="T100" s="18"/>
      <c r="U100" s="18"/>
      <c r="V100" s="18"/>
      <c r="W100" s="18">
        <f t="shared" ref="W100:AF100" si="345">SUMIF($AH$5:$ER$5,W$5,$AH100:$ER100)</f>
        <v>1.2949999999999999</v>
      </c>
      <c r="X100" s="18">
        <f t="shared" si="345"/>
        <v>2.246</v>
      </c>
      <c r="Y100" s="18">
        <f t="shared" si="345"/>
        <v>3.8419999999999996</v>
      </c>
      <c r="Z100" s="18">
        <f t="shared" si="345"/>
        <v>4.1449999999999996</v>
      </c>
      <c r="AA100" s="18">
        <f t="shared" si="345"/>
        <v>2.1740000000000004</v>
      </c>
      <c r="AB100" s="53">
        <f t="shared" si="345"/>
        <v>1.8580000000000001</v>
      </c>
      <c r="AC100" s="53">
        <f t="shared" si="345"/>
        <v>3.16</v>
      </c>
      <c r="AD100" s="53">
        <f t="shared" si="345"/>
        <v>3.7480838600294688</v>
      </c>
      <c r="AE100" s="53">
        <f t="shared" si="345"/>
        <v>1.3793570920035116</v>
      </c>
      <c r="AF100" s="53">
        <f t="shared" si="345"/>
        <v>1.7952725879676255</v>
      </c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57">
        <v>0.13400000000000001</v>
      </c>
      <c r="CY100" s="57">
        <v>0.127</v>
      </c>
      <c r="CZ100" s="57">
        <v>-9.9000000000000005E-2</v>
      </c>
      <c r="DA100" s="57">
        <f>0.404-CZ100-CY100-CX100</f>
        <v>0.24199999999999999</v>
      </c>
      <c r="DB100" s="57">
        <v>0.309</v>
      </c>
      <c r="DC100" s="57">
        <v>0.3</v>
      </c>
      <c r="DD100" s="57">
        <v>0.33200000000000002</v>
      </c>
      <c r="DE100" s="57">
        <f>1.295-DD100-DC100-DB100</f>
        <v>0.35399999999999981</v>
      </c>
      <c r="DF100" s="57">
        <v>0.47399999999999998</v>
      </c>
      <c r="DG100" s="57">
        <v>0.53</v>
      </c>
      <c r="DH100" s="57">
        <v>0.60599999999999998</v>
      </c>
      <c r="DI100" s="57">
        <f>2.246-DH100-DG100-DF100</f>
        <v>0.63600000000000012</v>
      </c>
      <c r="DJ100" s="57">
        <v>0.73</v>
      </c>
      <c r="DK100" s="57">
        <v>0.82</v>
      </c>
      <c r="DL100" s="57">
        <f>1.441</f>
        <v>1.4410000000000001</v>
      </c>
      <c r="DM100" s="57">
        <f>3.842-DL100-DK100-DJ100</f>
        <v>0.85099999999999998</v>
      </c>
      <c r="DN100" s="57">
        <v>0.99199999999999999</v>
      </c>
      <c r="DO100" s="57">
        <v>1.0349999999999999</v>
      </c>
      <c r="DP100" s="57">
        <v>1.1339999999999999</v>
      </c>
      <c r="DQ100" s="57">
        <f>4.145-DP100-DO100-DN100</f>
        <v>0.98399999999999976</v>
      </c>
      <c r="DR100" s="57">
        <f>1.255</f>
        <v>1.2549999999999999</v>
      </c>
      <c r="DS100" s="57">
        <v>0.94799999999999995</v>
      </c>
      <c r="DT100" s="57">
        <v>0.55800000000000005</v>
      </c>
      <c r="DU100" s="57">
        <f>2.174-DT100-DS100-DR100</f>
        <v>-0.58699999999999997</v>
      </c>
      <c r="DV100" s="57">
        <v>0.26</v>
      </c>
      <c r="DW100" s="57">
        <v>0.48299999999999998</v>
      </c>
      <c r="DX100" s="57">
        <v>0.45100000000000001</v>
      </c>
      <c r="DY100" s="57">
        <f>1.858-DX100-DW100-DV100</f>
        <v>0.66400000000000003</v>
      </c>
      <c r="DZ100" s="57">
        <v>0.44600000000000001</v>
      </c>
      <c r="EA100" s="57">
        <v>0.44500000000000001</v>
      </c>
      <c r="EB100" s="57">
        <v>0.45800000000000002</v>
      </c>
      <c r="EC100" s="57">
        <v>1.8109999999999999</v>
      </c>
      <c r="ED100" s="57">
        <v>3.5369999999999999</v>
      </c>
      <c r="EE100" s="57">
        <f t="shared" ref="EE100:EP100" si="346">+ED100/ED50*EE50</f>
        <v>-2.002917563532015E-2</v>
      </c>
      <c r="EF100" s="57">
        <f t="shared" si="346"/>
        <v>5.1006467358426261E-2</v>
      </c>
      <c r="EG100" s="57">
        <f t="shared" si="346"/>
        <v>0.18010656830636293</v>
      </c>
      <c r="EH100" s="57">
        <f t="shared" si="346"/>
        <v>0.26272292009358461</v>
      </c>
      <c r="EI100" s="57">
        <f t="shared" si="346"/>
        <v>0.32725736747045536</v>
      </c>
      <c r="EJ100" s="57">
        <f t="shared" si="346"/>
        <v>0.37439537283716851</v>
      </c>
      <c r="EK100" s="57">
        <f t="shared" si="346"/>
        <v>0.41498143160230327</v>
      </c>
      <c r="EL100" s="57">
        <f t="shared" si="346"/>
        <v>0.47480685932472722</v>
      </c>
      <c r="EM100" s="57">
        <f t="shared" si="346"/>
        <v>0.44697494831398077</v>
      </c>
      <c r="EN100" s="57">
        <f t="shared" si="346"/>
        <v>0.43504544852506438</v>
      </c>
      <c r="EO100" s="57">
        <f t="shared" si="346"/>
        <v>0.43844533180385298</v>
      </c>
      <c r="EP100" s="57">
        <f t="shared" si="346"/>
        <v>0.4264124931758182</v>
      </c>
      <c r="EQ100" s="18"/>
      <c r="ER100" s="18"/>
      <c r="ES100" s="355">
        <f t="shared" si="201"/>
        <v>95</v>
      </c>
      <c r="ET100"/>
      <c r="EU100"/>
      <c r="EV100"/>
      <c r="EW100"/>
      <c r="EX100"/>
      <c r="EY100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</row>
    <row r="101" spans="1:257" s="4" customFormat="1" ht="11.45" hidden="1" customHeight="1" outlineLevel="2">
      <c r="A101" s="15"/>
      <c r="B101" s="31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157"/>
      <c r="EF101" s="157"/>
      <c r="EG101" s="157"/>
      <c r="EH101" s="157"/>
      <c r="EI101" s="157"/>
      <c r="EJ101" s="157"/>
      <c r="EK101" s="157"/>
      <c r="EL101" s="157"/>
      <c r="EM101" s="157"/>
      <c r="EN101" s="157"/>
      <c r="EO101" s="157"/>
      <c r="EP101" s="157"/>
      <c r="EQ101" s="18"/>
      <c r="ER101" s="18"/>
      <c r="ES101" s="355">
        <f t="shared" si="201"/>
        <v>96</v>
      </c>
      <c r="ET101"/>
      <c r="EU101"/>
      <c r="EV101"/>
      <c r="EW101"/>
      <c r="EX101"/>
      <c r="EY10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</row>
    <row r="102" spans="1:257" s="4" customFormat="1" ht="11.45" customHeight="1" outlineLevel="1" collapsed="1">
      <c r="A102" s="15" t="s">
        <v>0</v>
      </c>
      <c r="B102" s="92" t="s">
        <v>193</v>
      </c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157"/>
      <c r="EF102" s="157"/>
      <c r="EG102" s="157"/>
      <c r="EH102" s="157"/>
      <c r="EI102" s="157"/>
      <c r="EJ102" s="157"/>
      <c r="EK102" s="157"/>
      <c r="EL102" s="157"/>
      <c r="EM102" s="157"/>
      <c r="EN102" s="157"/>
      <c r="EO102" s="157"/>
      <c r="EP102" s="157"/>
      <c r="EQ102" s="18"/>
      <c r="ER102" s="18"/>
      <c r="ES102" s="355">
        <f t="shared" si="201"/>
        <v>97</v>
      </c>
      <c r="ET102"/>
      <c r="EU102"/>
      <c r="EV102"/>
      <c r="EW102"/>
      <c r="EX102"/>
      <c r="EY102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</row>
    <row r="103" spans="1:257" s="10" customFormat="1" outlineLevel="1">
      <c r="A103" s="15" t="s">
        <v>0</v>
      </c>
      <c r="B103" s="158" t="s">
        <v>192</v>
      </c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18"/>
      <c r="ER103" s="18"/>
      <c r="ES103" s="355">
        <f t="shared" si="201"/>
        <v>98</v>
      </c>
      <c r="ET103"/>
      <c r="EU103"/>
      <c r="EV103"/>
      <c r="EW103"/>
      <c r="EX103"/>
      <c r="EY103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</row>
    <row r="104" spans="1:257" s="4" customFormat="1" hidden="1" outlineLevel="2">
      <c r="A104" s="15"/>
      <c r="B104" s="65" t="s">
        <v>173</v>
      </c>
      <c r="C104" s="34"/>
      <c r="D104" s="34"/>
      <c r="E104" s="214">
        <v>33</v>
      </c>
      <c r="F104" s="214">
        <v>36</v>
      </c>
      <c r="G104" s="214">
        <v>30</v>
      </c>
      <c r="H104" s="214">
        <v>32</v>
      </c>
      <c r="I104" s="214">
        <v>29</v>
      </c>
      <c r="J104" s="214">
        <v>36</v>
      </c>
      <c r="K104" s="214">
        <v>40</v>
      </c>
      <c r="L104" s="214">
        <v>38</v>
      </c>
      <c r="M104" s="214">
        <v>49</v>
      </c>
      <c r="N104" s="214">
        <v>66</v>
      </c>
      <c r="O104" s="214">
        <v>83</v>
      </c>
      <c r="P104" s="214">
        <v>91</v>
      </c>
      <c r="Q104" s="214">
        <v>91</v>
      </c>
      <c r="R104" s="214">
        <v>113</v>
      </c>
      <c r="S104" s="214">
        <v>157</v>
      </c>
      <c r="T104" s="214">
        <v>185</v>
      </c>
      <c r="U104" s="214">
        <v>201</v>
      </c>
      <c r="V104" s="214">
        <v>220</v>
      </c>
      <c r="W104" s="214">
        <v>248</v>
      </c>
      <c r="X104" s="214">
        <v>289</v>
      </c>
      <c r="Y104" s="214">
        <v>300</v>
      </c>
      <c r="Z104" s="34">
        <f t="shared" ref="Z104:AF104" si="347">INDEX($AH104:$EQ104,1,MATCH(Z$4,$AH$4:$EQ$4,0))</f>
        <v>333</v>
      </c>
      <c r="AA104" s="34">
        <f t="shared" si="347"/>
        <v>343</v>
      </c>
      <c r="AB104" s="34">
        <f t="shared" si="347"/>
        <v>348</v>
      </c>
      <c r="AC104" s="34">
        <f t="shared" si="347"/>
        <v>350</v>
      </c>
      <c r="AD104" s="34">
        <f t="shared" si="347"/>
        <v>350</v>
      </c>
      <c r="AE104" s="34">
        <f t="shared" si="347"/>
        <v>350</v>
      </c>
      <c r="AF104" s="34">
        <f t="shared" si="347"/>
        <v>350</v>
      </c>
      <c r="AG104" s="17"/>
      <c r="AH104" s="214" t="s">
        <v>167</v>
      </c>
      <c r="AI104" s="214" t="s">
        <v>167</v>
      </c>
      <c r="AJ104" s="214" t="s">
        <v>167</v>
      </c>
      <c r="AK104" s="214">
        <v>33</v>
      </c>
      <c r="AL104" s="214" t="s">
        <v>167</v>
      </c>
      <c r="AM104" s="214" t="s">
        <v>167</v>
      </c>
      <c r="AN104" s="214" t="s">
        <v>167</v>
      </c>
      <c r="AO104" s="214">
        <v>36</v>
      </c>
      <c r="AP104" s="214" t="s">
        <v>167</v>
      </c>
      <c r="AQ104" s="214" t="s">
        <v>167</v>
      </c>
      <c r="AR104" s="214" t="s">
        <v>167</v>
      </c>
      <c r="AS104" s="214">
        <v>30</v>
      </c>
      <c r="AT104" s="214" t="s">
        <v>167</v>
      </c>
      <c r="AU104" s="214" t="s">
        <v>167</v>
      </c>
      <c r="AV104" s="214" t="s">
        <v>167</v>
      </c>
      <c r="AW104" s="214">
        <v>32</v>
      </c>
      <c r="AX104" s="214" t="s">
        <v>167</v>
      </c>
      <c r="AY104" s="214" t="s">
        <v>167</v>
      </c>
      <c r="AZ104" s="214" t="s">
        <v>167</v>
      </c>
      <c r="BA104" s="214">
        <v>29</v>
      </c>
      <c r="BB104" s="214" t="s">
        <v>167</v>
      </c>
      <c r="BC104" s="214" t="s">
        <v>167</v>
      </c>
      <c r="BD104" s="214" t="s">
        <v>167</v>
      </c>
      <c r="BE104" s="214">
        <v>36</v>
      </c>
      <c r="BF104" s="214" t="s">
        <v>167</v>
      </c>
      <c r="BG104" s="214" t="s">
        <v>167</v>
      </c>
      <c r="BH104" s="214" t="s">
        <v>167</v>
      </c>
      <c r="BI104" s="214">
        <v>40</v>
      </c>
      <c r="BJ104" s="214" t="s">
        <v>167</v>
      </c>
      <c r="BK104" s="214" t="s">
        <v>167</v>
      </c>
      <c r="BL104" s="214" t="s">
        <v>167</v>
      </c>
      <c r="BM104" s="214">
        <v>38</v>
      </c>
      <c r="BN104" s="214" t="s">
        <v>167</v>
      </c>
      <c r="BO104" s="214" t="s">
        <v>167</v>
      </c>
      <c r="BP104" s="214" t="s">
        <v>167</v>
      </c>
      <c r="BQ104" s="214">
        <v>49</v>
      </c>
      <c r="BR104" s="214">
        <v>54</v>
      </c>
      <c r="BS104" s="214">
        <v>58</v>
      </c>
      <c r="BT104" s="214" t="s">
        <v>167</v>
      </c>
      <c r="BU104" s="214">
        <v>66</v>
      </c>
      <c r="BV104" s="214">
        <v>71.701939246621407</v>
      </c>
      <c r="BW104" s="214">
        <v>76.815433380982157</v>
      </c>
      <c r="BX104" s="214">
        <v>83</v>
      </c>
      <c r="BY104" s="214">
        <v>83</v>
      </c>
      <c r="BZ104" s="214">
        <v>85.31293008879797</v>
      </c>
      <c r="CA104" s="214">
        <v>86.83012832477165</v>
      </c>
      <c r="CB104" s="214">
        <v>87.149520460529672</v>
      </c>
      <c r="CC104" s="214">
        <v>91</v>
      </c>
      <c r="CD104" s="214">
        <v>89.677387639821774</v>
      </c>
      <c r="CE104" s="214">
        <v>90.427415374223898</v>
      </c>
      <c r="CF104" s="214">
        <v>91.307434957563999</v>
      </c>
      <c r="CG104" s="214">
        <v>91</v>
      </c>
      <c r="CH104" s="214">
        <v>90.858052021047484</v>
      </c>
      <c r="CI104" s="214">
        <v>93.729112157683588</v>
      </c>
      <c r="CJ104" s="214">
        <v>100.46476952998691</v>
      </c>
      <c r="CK104" s="214">
        <v>113</v>
      </c>
      <c r="CL104" s="214">
        <v>122.39062336424186</v>
      </c>
      <c r="CM104" s="214">
        <v>134.69933238296642</v>
      </c>
      <c r="CN104" s="214">
        <v>146.68000215840607</v>
      </c>
      <c r="CO104" s="214">
        <v>157</v>
      </c>
      <c r="CP104" s="214">
        <v>162.8680401102379</v>
      </c>
      <c r="CQ104" s="214">
        <v>170.77987393811861</v>
      </c>
      <c r="CR104" s="214">
        <v>178.20651462926307</v>
      </c>
      <c r="CS104" s="214">
        <v>185</v>
      </c>
      <c r="CT104" s="214">
        <v>194</v>
      </c>
      <c r="CU104" s="214">
        <v>203</v>
      </c>
      <c r="CV104" s="214">
        <v>210</v>
      </c>
      <c r="CW104" s="214">
        <v>201</v>
      </c>
      <c r="CX104" s="214">
        <v>202</v>
      </c>
      <c r="CY104" s="214">
        <v>207</v>
      </c>
      <c r="CZ104" s="214">
        <v>215</v>
      </c>
      <c r="DA104" s="214">
        <v>220</v>
      </c>
      <c r="DB104" s="214">
        <v>230</v>
      </c>
      <c r="DC104" s="214">
        <v>237</v>
      </c>
      <c r="DD104" s="214">
        <v>245</v>
      </c>
      <c r="DE104" s="214">
        <v>248</v>
      </c>
      <c r="DF104" s="214">
        <v>255</v>
      </c>
      <c r="DG104" s="214">
        <v>266</v>
      </c>
      <c r="DH104" s="214">
        <v>279</v>
      </c>
      <c r="DI104" s="214">
        <v>289</v>
      </c>
      <c r="DJ104" s="214">
        <v>293</v>
      </c>
      <c r="DK104" s="214">
        <v>297</v>
      </c>
      <c r="DL104" s="214">
        <v>300</v>
      </c>
      <c r="DM104" s="214">
        <v>300</v>
      </c>
      <c r="DN104" s="214">
        <v>309</v>
      </c>
      <c r="DO104" s="214">
        <v>325</v>
      </c>
      <c r="DP104" s="214">
        <v>333</v>
      </c>
      <c r="DQ104" s="214">
        <v>333</v>
      </c>
      <c r="DR104" s="214">
        <v>340</v>
      </c>
      <c r="DS104" s="214">
        <f>347-17</f>
        <v>330</v>
      </c>
      <c r="DT104" s="214">
        <f>153+188</f>
        <v>341</v>
      </c>
      <c r="DU104" s="214">
        <f>145+198</f>
        <v>343</v>
      </c>
      <c r="DV104" s="214">
        <f>131+214</f>
        <v>345</v>
      </c>
      <c r="DW104" s="214">
        <v>347</v>
      </c>
      <c r="DX104" s="214">
        <v>348</v>
      </c>
      <c r="DY104" s="214">
        <v>348</v>
      </c>
      <c r="DZ104" s="214">
        <v>350</v>
      </c>
      <c r="EA104" s="214">
        <v>350</v>
      </c>
      <c r="EB104" s="214">
        <v>350</v>
      </c>
      <c r="EC104" s="214">
        <v>350</v>
      </c>
      <c r="ED104" s="214">
        <v>350</v>
      </c>
      <c r="EE104" s="34">
        <f t="shared" ref="EE104:EP104" si="348">ED104+EE105</f>
        <v>350</v>
      </c>
      <c r="EF104" s="34">
        <f t="shared" si="348"/>
        <v>350</v>
      </c>
      <c r="EG104" s="34">
        <f t="shared" si="348"/>
        <v>350</v>
      </c>
      <c r="EH104" s="34">
        <f t="shared" si="348"/>
        <v>350</v>
      </c>
      <c r="EI104" s="34">
        <f t="shared" si="348"/>
        <v>350</v>
      </c>
      <c r="EJ104" s="34">
        <f t="shared" si="348"/>
        <v>350</v>
      </c>
      <c r="EK104" s="34">
        <f t="shared" si="348"/>
        <v>350</v>
      </c>
      <c r="EL104" s="34">
        <f t="shared" si="348"/>
        <v>350</v>
      </c>
      <c r="EM104" s="34">
        <f t="shared" si="348"/>
        <v>350</v>
      </c>
      <c r="EN104" s="34">
        <f t="shared" si="348"/>
        <v>350</v>
      </c>
      <c r="EO104" s="34">
        <f t="shared" si="348"/>
        <v>350</v>
      </c>
      <c r="EP104" s="34">
        <f t="shared" si="348"/>
        <v>350</v>
      </c>
      <c r="EQ104" s="264"/>
      <c r="ES104" s="355">
        <f t="shared" si="201"/>
        <v>99</v>
      </c>
      <c r="ET104"/>
      <c r="EU104"/>
      <c r="EV104"/>
      <c r="EW104"/>
      <c r="EX104"/>
      <c r="EY104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</row>
    <row r="105" spans="1:257" s="4" customFormat="1" hidden="1" outlineLevel="2">
      <c r="A105" s="15"/>
      <c r="B105" s="65" t="s">
        <v>191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>
        <f t="shared" ref="V105:AF105" si="349">+V104-U104</f>
        <v>19</v>
      </c>
      <c r="W105" s="34">
        <f t="shared" si="349"/>
        <v>28</v>
      </c>
      <c r="X105" s="34">
        <f t="shared" si="349"/>
        <v>41</v>
      </c>
      <c r="Y105" s="34">
        <f t="shared" si="349"/>
        <v>11</v>
      </c>
      <c r="Z105" s="34">
        <f t="shared" si="349"/>
        <v>33</v>
      </c>
      <c r="AA105" s="34">
        <f t="shared" si="349"/>
        <v>10</v>
      </c>
      <c r="AB105" s="34">
        <f t="shared" si="349"/>
        <v>5</v>
      </c>
      <c r="AC105" s="34">
        <f t="shared" si="349"/>
        <v>2</v>
      </c>
      <c r="AD105" s="34">
        <f t="shared" si="349"/>
        <v>0</v>
      </c>
      <c r="AE105" s="34">
        <f t="shared" si="349"/>
        <v>0</v>
      </c>
      <c r="AF105" s="34">
        <f t="shared" si="349"/>
        <v>0</v>
      </c>
      <c r="AG105" s="17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>
        <f t="shared" ref="BV105:DA105" si="350">BV104-BU104</f>
        <v>5.7019392466214072</v>
      </c>
      <c r="BW105" s="34">
        <f t="shared" si="350"/>
        <v>5.1134941343607494</v>
      </c>
      <c r="BX105" s="34">
        <f t="shared" si="350"/>
        <v>6.1845666190178434</v>
      </c>
      <c r="BY105" s="34">
        <f t="shared" si="350"/>
        <v>0</v>
      </c>
      <c r="BZ105" s="34">
        <f t="shared" si="350"/>
        <v>2.3129300887979696</v>
      </c>
      <c r="CA105" s="34">
        <f t="shared" si="350"/>
        <v>1.5171982359736802</v>
      </c>
      <c r="CB105" s="34">
        <f t="shared" si="350"/>
        <v>0.31939213575802228</v>
      </c>
      <c r="CC105" s="34">
        <f t="shared" si="350"/>
        <v>3.8504795394703279</v>
      </c>
      <c r="CD105" s="34">
        <f t="shared" si="350"/>
        <v>-1.3226123601782263</v>
      </c>
      <c r="CE105" s="34">
        <f t="shared" si="350"/>
        <v>0.75002773440212422</v>
      </c>
      <c r="CF105" s="34">
        <f t="shared" si="350"/>
        <v>0.88001958334010055</v>
      </c>
      <c r="CG105" s="34">
        <f t="shared" si="350"/>
        <v>-0.30743495756399852</v>
      </c>
      <c r="CH105" s="34">
        <f t="shared" si="350"/>
        <v>-0.14194797895251554</v>
      </c>
      <c r="CI105" s="34">
        <f t="shared" si="350"/>
        <v>2.8710601366361033</v>
      </c>
      <c r="CJ105" s="34">
        <f t="shared" si="350"/>
        <v>6.7356573723033222</v>
      </c>
      <c r="CK105" s="34">
        <f t="shared" si="350"/>
        <v>12.53523047001309</v>
      </c>
      <c r="CL105" s="34">
        <f t="shared" si="350"/>
        <v>9.3906233642418613</v>
      </c>
      <c r="CM105" s="34">
        <f t="shared" si="350"/>
        <v>12.308709018724556</v>
      </c>
      <c r="CN105" s="34">
        <f t="shared" si="350"/>
        <v>11.980669775439651</v>
      </c>
      <c r="CO105" s="34">
        <f t="shared" si="350"/>
        <v>10.319997841593931</v>
      </c>
      <c r="CP105" s="34">
        <f t="shared" si="350"/>
        <v>5.8680401102378994</v>
      </c>
      <c r="CQ105" s="34">
        <f t="shared" si="350"/>
        <v>7.911833827880713</v>
      </c>
      <c r="CR105" s="34">
        <f t="shared" si="350"/>
        <v>7.4266406911444562</v>
      </c>
      <c r="CS105" s="34">
        <f t="shared" si="350"/>
        <v>6.7934853707369314</v>
      </c>
      <c r="CT105" s="34">
        <f t="shared" si="350"/>
        <v>9</v>
      </c>
      <c r="CU105" s="34">
        <f t="shared" si="350"/>
        <v>9</v>
      </c>
      <c r="CV105" s="34">
        <f t="shared" si="350"/>
        <v>7</v>
      </c>
      <c r="CW105" s="34">
        <f t="shared" si="350"/>
        <v>-9</v>
      </c>
      <c r="CX105" s="34">
        <f t="shared" si="350"/>
        <v>1</v>
      </c>
      <c r="CY105" s="34">
        <f t="shared" si="350"/>
        <v>5</v>
      </c>
      <c r="CZ105" s="34">
        <f t="shared" si="350"/>
        <v>8</v>
      </c>
      <c r="DA105" s="34">
        <f t="shared" si="350"/>
        <v>5</v>
      </c>
      <c r="DB105" s="34">
        <f t="shared" ref="DB105:ED105" si="351">DB104-DA104</f>
        <v>10</v>
      </c>
      <c r="DC105" s="34">
        <f t="shared" si="351"/>
        <v>7</v>
      </c>
      <c r="DD105" s="34">
        <f t="shared" si="351"/>
        <v>8</v>
      </c>
      <c r="DE105" s="34">
        <f t="shared" si="351"/>
        <v>3</v>
      </c>
      <c r="DF105" s="34">
        <f t="shared" si="351"/>
        <v>7</v>
      </c>
      <c r="DG105" s="34">
        <f t="shared" si="351"/>
        <v>11</v>
      </c>
      <c r="DH105" s="34">
        <f t="shared" si="351"/>
        <v>13</v>
      </c>
      <c r="DI105" s="34">
        <f t="shared" si="351"/>
        <v>10</v>
      </c>
      <c r="DJ105" s="34">
        <f t="shared" si="351"/>
        <v>4</v>
      </c>
      <c r="DK105" s="273">
        <f t="shared" si="351"/>
        <v>4</v>
      </c>
      <c r="DL105" s="273">
        <f t="shared" si="351"/>
        <v>3</v>
      </c>
      <c r="DM105" s="273">
        <f t="shared" si="351"/>
        <v>0</v>
      </c>
      <c r="DN105" s="273">
        <f t="shared" si="351"/>
        <v>9</v>
      </c>
      <c r="DO105" s="273">
        <f t="shared" si="351"/>
        <v>16</v>
      </c>
      <c r="DP105" s="273">
        <f t="shared" si="351"/>
        <v>8</v>
      </c>
      <c r="DQ105" s="273">
        <f t="shared" si="351"/>
        <v>0</v>
      </c>
      <c r="DR105" s="273">
        <f t="shared" si="351"/>
        <v>7</v>
      </c>
      <c r="DS105" s="273">
        <f t="shared" si="351"/>
        <v>-10</v>
      </c>
      <c r="DT105" s="273">
        <f t="shared" si="351"/>
        <v>11</v>
      </c>
      <c r="DU105" s="273">
        <f t="shared" si="351"/>
        <v>2</v>
      </c>
      <c r="DV105" s="273">
        <f t="shared" si="351"/>
        <v>2</v>
      </c>
      <c r="DW105" s="273">
        <f t="shared" si="351"/>
        <v>2</v>
      </c>
      <c r="DX105" s="273">
        <f t="shared" si="351"/>
        <v>1</v>
      </c>
      <c r="DY105" s="273">
        <f t="shared" si="351"/>
        <v>0</v>
      </c>
      <c r="DZ105" s="273">
        <f t="shared" si="351"/>
        <v>2</v>
      </c>
      <c r="EA105" s="273">
        <f t="shared" si="351"/>
        <v>0</v>
      </c>
      <c r="EB105" s="273">
        <f t="shared" si="351"/>
        <v>0</v>
      </c>
      <c r="EC105" s="273">
        <f t="shared" si="351"/>
        <v>0</v>
      </c>
      <c r="ED105" s="273">
        <f t="shared" si="351"/>
        <v>0</v>
      </c>
      <c r="EE105" s="272">
        <v>0</v>
      </c>
      <c r="EF105" s="272">
        <v>0</v>
      </c>
      <c r="EG105" s="272">
        <v>0</v>
      </c>
      <c r="EH105" s="272">
        <v>0</v>
      </c>
      <c r="EI105" s="272">
        <v>0</v>
      </c>
      <c r="EJ105" s="272">
        <v>0</v>
      </c>
      <c r="EK105" s="272">
        <v>0</v>
      </c>
      <c r="EL105" s="272">
        <v>0</v>
      </c>
      <c r="EM105" s="272">
        <v>0</v>
      </c>
      <c r="EN105" s="272">
        <v>0</v>
      </c>
      <c r="EO105" s="272">
        <v>0</v>
      </c>
      <c r="EP105" s="272">
        <v>0</v>
      </c>
      <c r="EQ105" s="264"/>
      <c r="ES105" s="355">
        <f t="shared" si="201"/>
        <v>100</v>
      </c>
      <c r="ET105"/>
      <c r="EU105"/>
      <c r="EV105"/>
      <c r="EW105"/>
      <c r="EX105"/>
      <c r="EY105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</row>
    <row r="106" spans="1:257" s="4" customFormat="1" hidden="1" outlineLevel="2">
      <c r="A106" s="15"/>
      <c r="B106" s="65" t="s">
        <v>190</v>
      </c>
      <c r="C106" s="34"/>
      <c r="D106" s="34"/>
      <c r="E106" s="34">
        <f t="shared" ref="E106:M106" si="352">AVERAGE(D104:E104)</f>
        <v>33</v>
      </c>
      <c r="F106" s="34">
        <f t="shared" si="352"/>
        <v>34.5</v>
      </c>
      <c r="G106" s="34">
        <f t="shared" si="352"/>
        <v>33</v>
      </c>
      <c r="H106" s="34">
        <f t="shared" si="352"/>
        <v>31</v>
      </c>
      <c r="I106" s="34">
        <f t="shared" si="352"/>
        <v>30.5</v>
      </c>
      <c r="J106" s="34">
        <f t="shared" si="352"/>
        <v>32.5</v>
      </c>
      <c r="K106" s="34">
        <f t="shared" si="352"/>
        <v>38</v>
      </c>
      <c r="L106" s="34">
        <f t="shared" si="352"/>
        <v>39</v>
      </c>
      <c r="M106" s="34">
        <f t="shared" si="352"/>
        <v>43.5</v>
      </c>
      <c r="N106" s="34">
        <f t="shared" ref="N106:T106" si="353">N108/N110</f>
        <v>57.096607958251795</v>
      </c>
      <c r="O106" s="34">
        <f t="shared" si="353"/>
        <v>76.401150008455943</v>
      </c>
      <c r="P106" s="34">
        <f t="shared" si="353"/>
        <v>86.275987689215498</v>
      </c>
      <c r="Q106" s="34">
        <f t="shared" si="353"/>
        <v>90.259399591955699</v>
      </c>
      <c r="R106" s="34">
        <f t="shared" si="353"/>
        <v>95.237304552373047</v>
      </c>
      <c r="S106" s="34">
        <f t="shared" si="353"/>
        <v>133.70427905663044</v>
      </c>
      <c r="T106" s="34">
        <f t="shared" si="353"/>
        <v>170.20719489981786</v>
      </c>
      <c r="U106" s="34">
        <f>AVERAGE(CT106:CW106)</f>
        <v>194.05549468165847</v>
      </c>
      <c r="V106" s="34">
        <f>AVERAGE(CX106:DA106)</f>
        <v>207.37661850254349</v>
      </c>
      <c r="W106" s="34">
        <f>AVERAGE(DB106:DE106)</f>
        <v>235.983281300257</v>
      </c>
      <c r="X106" s="34">
        <f>AVERAGE(DF106:DI106)</f>
        <v>266.20191144427059</v>
      </c>
      <c r="Y106" s="34">
        <f>AVERAGE(DJ106:DM106)</f>
        <v>296.125</v>
      </c>
      <c r="Z106" s="34">
        <f t="shared" ref="Z106:AF106" si="354">AVERAGEIF($AH$5:$ER$5,Z$5,$AH106:$ER106)</f>
        <v>320.875</v>
      </c>
      <c r="AA106" s="34">
        <f t="shared" si="354"/>
        <v>337.25</v>
      </c>
      <c r="AB106" s="34">
        <f t="shared" si="354"/>
        <v>346.375</v>
      </c>
      <c r="AC106" s="34">
        <f t="shared" si="354"/>
        <v>349.75</v>
      </c>
      <c r="AD106" s="34">
        <f t="shared" si="354"/>
        <v>350</v>
      </c>
      <c r="AE106" s="34">
        <f t="shared" si="354"/>
        <v>350</v>
      </c>
      <c r="AF106" s="34">
        <f t="shared" si="354"/>
        <v>350</v>
      </c>
      <c r="AG106" s="17"/>
      <c r="AH106" s="202"/>
      <c r="AI106" s="202" t="str">
        <f t="shared" ref="AI106:BR106" si="355">IF(ISERROR(AVERAGE(AH104:AI104)),"NM",AVERAGE(AH104:AI104))</f>
        <v>NM</v>
      </c>
      <c r="AJ106" s="202" t="str">
        <f t="shared" si="355"/>
        <v>NM</v>
      </c>
      <c r="AK106" s="202">
        <f t="shared" si="355"/>
        <v>33</v>
      </c>
      <c r="AL106" s="202">
        <f t="shared" si="355"/>
        <v>33</v>
      </c>
      <c r="AM106" s="202" t="str">
        <f t="shared" si="355"/>
        <v>NM</v>
      </c>
      <c r="AN106" s="202" t="str">
        <f t="shared" si="355"/>
        <v>NM</v>
      </c>
      <c r="AO106" s="202">
        <f t="shared" si="355"/>
        <v>36</v>
      </c>
      <c r="AP106" s="202">
        <f t="shared" si="355"/>
        <v>36</v>
      </c>
      <c r="AQ106" s="202" t="str">
        <f t="shared" si="355"/>
        <v>NM</v>
      </c>
      <c r="AR106" s="202" t="str">
        <f t="shared" si="355"/>
        <v>NM</v>
      </c>
      <c r="AS106" s="202">
        <f t="shared" si="355"/>
        <v>30</v>
      </c>
      <c r="AT106" s="202">
        <f t="shared" si="355"/>
        <v>30</v>
      </c>
      <c r="AU106" s="202" t="str">
        <f t="shared" si="355"/>
        <v>NM</v>
      </c>
      <c r="AV106" s="202" t="str">
        <f t="shared" si="355"/>
        <v>NM</v>
      </c>
      <c r="AW106" s="202">
        <f t="shared" si="355"/>
        <v>32</v>
      </c>
      <c r="AX106" s="202">
        <f t="shared" si="355"/>
        <v>32</v>
      </c>
      <c r="AY106" s="202" t="str">
        <f t="shared" si="355"/>
        <v>NM</v>
      </c>
      <c r="AZ106" s="202" t="str">
        <f t="shared" si="355"/>
        <v>NM</v>
      </c>
      <c r="BA106" s="202">
        <f t="shared" si="355"/>
        <v>29</v>
      </c>
      <c r="BB106" s="202">
        <f t="shared" si="355"/>
        <v>29</v>
      </c>
      <c r="BC106" s="202" t="str">
        <f t="shared" si="355"/>
        <v>NM</v>
      </c>
      <c r="BD106" s="202" t="str">
        <f t="shared" si="355"/>
        <v>NM</v>
      </c>
      <c r="BE106" s="202">
        <f t="shared" si="355"/>
        <v>36</v>
      </c>
      <c r="BF106" s="202">
        <f t="shared" si="355"/>
        <v>36</v>
      </c>
      <c r="BG106" s="202" t="str">
        <f t="shared" si="355"/>
        <v>NM</v>
      </c>
      <c r="BH106" s="202" t="str">
        <f t="shared" si="355"/>
        <v>NM</v>
      </c>
      <c r="BI106" s="202">
        <f t="shared" si="355"/>
        <v>40</v>
      </c>
      <c r="BJ106" s="202">
        <f t="shared" si="355"/>
        <v>40</v>
      </c>
      <c r="BK106" s="202" t="str">
        <f t="shared" si="355"/>
        <v>NM</v>
      </c>
      <c r="BL106" s="202" t="str">
        <f t="shared" si="355"/>
        <v>NM</v>
      </c>
      <c r="BM106" s="202">
        <f t="shared" si="355"/>
        <v>38</v>
      </c>
      <c r="BN106" s="202">
        <f t="shared" si="355"/>
        <v>38</v>
      </c>
      <c r="BO106" s="202" t="str">
        <f t="shared" si="355"/>
        <v>NM</v>
      </c>
      <c r="BP106" s="202" t="str">
        <f t="shared" si="355"/>
        <v>NM</v>
      </c>
      <c r="BQ106" s="202">
        <f t="shared" si="355"/>
        <v>49</v>
      </c>
      <c r="BR106" s="202">
        <f t="shared" si="355"/>
        <v>51.5</v>
      </c>
      <c r="BS106" s="34">
        <f t="shared" ref="BS106:DI106" si="356">BS108/BS110</f>
        <v>58.260233918128655</v>
      </c>
      <c r="BT106" s="34">
        <f t="shared" si="356"/>
        <v>58.424908424908431</v>
      </c>
      <c r="BU106" s="34">
        <f t="shared" si="356"/>
        <v>61.867007672634273</v>
      </c>
      <c r="BV106" s="34">
        <f t="shared" si="356"/>
        <v>69.001100715465043</v>
      </c>
      <c r="BW106" s="34">
        <f t="shared" si="356"/>
        <v>74.402777777777771</v>
      </c>
      <c r="BX106" s="34">
        <f t="shared" si="356"/>
        <v>79.228088984186542</v>
      </c>
      <c r="BY106" s="34">
        <f t="shared" si="356"/>
        <v>82.556312205343119</v>
      </c>
      <c r="BZ106" s="34">
        <f t="shared" si="356"/>
        <v>84.272678475577024</v>
      </c>
      <c r="CA106" s="34">
        <f t="shared" si="356"/>
        <v>86.353181702018915</v>
      </c>
      <c r="CB106" s="34">
        <f t="shared" si="356"/>
        <v>87.307074947524384</v>
      </c>
      <c r="CC106" s="34">
        <f t="shared" si="356"/>
        <v>86.99196597353496</v>
      </c>
      <c r="CD106" s="34">
        <f t="shared" si="356"/>
        <v>89.650283553875241</v>
      </c>
      <c r="CE106" s="34">
        <f t="shared" si="356"/>
        <v>89.704491725768321</v>
      </c>
      <c r="CF106" s="34">
        <f t="shared" si="356"/>
        <v>91.150339022679461</v>
      </c>
      <c r="CG106" s="34">
        <f t="shared" si="356"/>
        <v>91.464530892448522</v>
      </c>
      <c r="CH106" s="34">
        <f t="shared" si="356"/>
        <v>90.03809950694756</v>
      </c>
      <c r="CI106" s="34">
        <f t="shared" si="356"/>
        <v>91.678004535147394</v>
      </c>
      <c r="CJ106" s="34">
        <f t="shared" si="356"/>
        <v>95.780219780219781</v>
      </c>
      <c r="CK106" s="34">
        <f t="shared" si="356"/>
        <v>105.14931927975405</v>
      </c>
      <c r="CL106" s="34">
        <f t="shared" si="356"/>
        <v>116.99201419698315</v>
      </c>
      <c r="CM106" s="34">
        <f t="shared" si="356"/>
        <v>127.78923253150057</v>
      </c>
      <c r="CN106" s="34">
        <f t="shared" si="356"/>
        <v>141.60943223443223</v>
      </c>
      <c r="CO106" s="34">
        <f t="shared" si="356"/>
        <v>151.75057208237988</v>
      </c>
      <c r="CP106" s="34">
        <f t="shared" si="356"/>
        <v>158.89016018306637</v>
      </c>
      <c r="CQ106" s="34">
        <f t="shared" si="356"/>
        <v>166.84592003740943</v>
      </c>
      <c r="CR106" s="34">
        <f t="shared" si="356"/>
        <v>174.71382783882783</v>
      </c>
      <c r="CS106" s="34">
        <f t="shared" si="356"/>
        <v>181.69920141969831</v>
      </c>
      <c r="CT106" s="34">
        <f t="shared" si="356"/>
        <v>186.75057208237988</v>
      </c>
      <c r="CU106" s="34">
        <f t="shared" si="356"/>
        <v>193.34876543209876</v>
      </c>
      <c r="CV106" s="34">
        <f t="shared" si="356"/>
        <v>200.43094160741219</v>
      </c>
      <c r="CW106" s="34">
        <f t="shared" si="356"/>
        <v>195.69169960474309</v>
      </c>
      <c r="CX106" s="34">
        <f t="shared" si="356"/>
        <v>197.40532959326791</v>
      </c>
      <c r="CY106" s="34">
        <f t="shared" si="356"/>
        <v>208.15873015873018</v>
      </c>
      <c r="CZ106" s="34">
        <f t="shared" si="356"/>
        <v>207.83689994216309</v>
      </c>
      <c r="DA106" s="34">
        <f t="shared" si="356"/>
        <v>216.10551431601274</v>
      </c>
      <c r="DB106" s="34">
        <f t="shared" si="356"/>
        <v>223.20134575569358</v>
      </c>
      <c r="DC106" s="34">
        <f t="shared" si="356"/>
        <v>232.640522875817</v>
      </c>
      <c r="DD106" s="34">
        <f t="shared" si="356"/>
        <v>238.87836301629406</v>
      </c>
      <c r="DE106" s="34">
        <f t="shared" si="356"/>
        <v>249.21289355322338</v>
      </c>
      <c r="DF106" s="34">
        <f t="shared" si="356"/>
        <v>250.45389393215481</v>
      </c>
      <c r="DG106" s="34">
        <f t="shared" si="356"/>
        <v>258.95423258060617</v>
      </c>
      <c r="DH106" s="34">
        <f t="shared" si="356"/>
        <v>271.35448820842078</v>
      </c>
      <c r="DI106" s="34">
        <f t="shared" si="356"/>
        <v>284.04503105590067</v>
      </c>
      <c r="DJ106" s="34">
        <f t="shared" ref="DJ106:EP106" si="357">AVERAGE(DI104:DJ104)</f>
        <v>291</v>
      </c>
      <c r="DK106" s="34">
        <f t="shared" si="357"/>
        <v>295</v>
      </c>
      <c r="DL106" s="34">
        <f t="shared" si="357"/>
        <v>298.5</v>
      </c>
      <c r="DM106" s="34">
        <f t="shared" si="357"/>
        <v>300</v>
      </c>
      <c r="DN106" s="34">
        <f t="shared" si="357"/>
        <v>304.5</v>
      </c>
      <c r="DO106" s="34">
        <f t="shared" si="357"/>
        <v>317</v>
      </c>
      <c r="DP106" s="34">
        <f t="shared" si="357"/>
        <v>329</v>
      </c>
      <c r="DQ106" s="34">
        <f t="shared" si="357"/>
        <v>333</v>
      </c>
      <c r="DR106" s="34">
        <f t="shared" si="357"/>
        <v>336.5</v>
      </c>
      <c r="DS106" s="34">
        <f t="shared" si="357"/>
        <v>335</v>
      </c>
      <c r="DT106" s="34">
        <f t="shared" si="357"/>
        <v>335.5</v>
      </c>
      <c r="DU106" s="34">
        <f t="shared" si="357"/>
        <v>342</v>
      </c>
      <c r="DV106" s="34">
        <f t="shared" si="357"/>
        <v>344</v>
      </c>
      <c r="DW106" s="34">
        <f t="shared" si="357"/>
        <v>346</v>
      </c>
      <c r="DX106" s="34">
        <f t="shared" si="357"/>
        <v>347.5</v>
      </c>
      <c r="DY106" s="34">
        <f t="shared" si="357"/>
        <v>348</v>
      </c>
      <c r="DZ106" s="34">
        <f t="shared" si="357"/>
        <v>349</v>
      </c>
      <c r="EA106" s="34">
        <f t="shared" si="357"/>
        <v>350</v>
      </c>
      <c r="EB106" s="34">
        <f t="shared" si="357"/>
        <v>350</v>
      </c>
      <c r="EC106" s="34">
        <f t="shared" si="357"/>
        <v>350</v>
      </c>
      <c r="ED106" s="34">
        <f t="shared" si="357"/>
        <v>350</v>
      </c>
      <c r="EE106" s="34">
        <f t="shared" si="357"/>
        <v>350</v>
      </c>
      <c r="EF106" s="34">
        <f t="shared" si="357"/>
        <v>350</v>
      </c>
      <c r="EG106" s="34">
        <f t="shared" si="357"/>
        <v>350</v>
      </c>
      <c r="EH106" s="34">
        <f t="shared" si="357"/>
        <v>350</v>
      </c>
      <c r="EI106" s="34">
        <f t="shared" si="357"/>
        <v>350</v>
      </c>
      <c r="EJ106" s="34">
        <f t="shared" si="357"/>
        <v>350</v>
      </c>
      <c r="EK106" s="34">
        <f t="shared" si="357"/>
        <v>350</v>
      </c>
      <c r="EL106" s="34">
        <f t="shared" si="357"/>
        <v>350</v>
      </c>
      <c r="EM106" s="34">
        <f t="shared" si="357"/>
        <v>350</v>
      </c>
      <c r="EN106" s="34">
        <f t="shared" si="357"/>
        <v>350</v>
      </c>
      <c r="EO106" s="34">
        <f t="shared" si="357"/>
        <v>350</v>
      </c>
      <c r="EP106" s="34">
        <f t="shared" si="357"/>
        <v>350</v>
      </c>
      <c r="EQ106" s="264"/>
      <c r="ES106" s="355">
        <f t="shared" si="201"/>
        <v>101</v>
      </c>
      <c r="ET106"/>
      <c r="EU106"/>
      <c r="EV106"/>
      <c r="EW106"/>
      <c r="EX106"/>
      <c r="EY106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</row>
    <row r="107" spans="1:257" s="4" customFormat="1" hidden="1" outlineLevel="2">
      <c r="A107" s="15"/>
      <c r="B107" s="6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17"/>
      <c r="AH107" s="202"/>
      <c r="AI107" s="202"/>
      <c r="AJ107" s="202"/>
      <c r="AK107" s="202"/>
      <c r="AL107" s="202"/>
      <c r="AM107" s="202"/>
      <c r="AN107" s="202"/>
      <c r="AO107" s="202"/>
      <c r="AP107" s="202"/>
      <c r="AQ107" s="202"/>
      <c r="AR107" s="202"/>
      <c r="AS107" s="202"/>
      <c r="AT107" s="202"/>
      <c r="AU107" s="202"/>
      <c r="AV107" s="202"/>
      <c r="AW107" s="202"/>
      <c r="AX107" s="202"/>
      <c r="AY107" s="202"/>
      <c r="AZ107" s="202"/>
      <c r="BA107" s="202"/>
      <c r="BB107" s="202"/>
      <c r="BC107" s="202"/>
      <c r="BD107" s="202"/>
      <c r="BE107" s="202"/>
      <c r="BF107" s="202"/>
      <c r="BG107" s="202"/>
      <c r="BH107" s="202"/>
      <c r="BI107" s="202"/>
      <c r="BJ107" s="202"/>
      <c r="BK107" s="202"/>
      <c r="BL107" s="202"/>
      <c r="BM107" s="202"/>
      <c r="BN107" s="202"/>
      <c r="BO107" s="202"/>
      <c r="BP107" s="202"/>
      <c r="BQ107" s="202"/>
      <c r="BR107" s="202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264"/>
      <c r="ES107" s="355">
        <f t="shared" si="201"/>
        <v>102</v>
      </c>
      <c r="ET107"/>
      <c r="EU107"/>
      <c r="EV107"/>
      <c r="EW107"/>
      <c r="EX107"/>
      <c r="EY107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</row>
    <row r="108" spans="1:257" s="4" customFormat="1" hidden="1" outlineLevel="2">
      <c r="A108" s="15"/>
      <c r="B108" s="65" t="s">
        <v>170</v>
      </c>
      <c r="C108" s="34"/>
      <c r="D108" s="34"/>
      <c r="E108" s="34">
        <f t="shared" ref="E108:M108" si="358">E106*E110</f>
        <v>15.84</v>
      </c>
      <c r="F108" s="34">
        <f t="shared" si="358"/>
        <v>22.77</v>
      </c>
      <c r="G108" s="34">
        <f t="shared" si="358"/>
        <v>24.09</v>
      </c>
      <c r="H108" s="34">
        <f t="shared" si="358"/>
        <v>27.28</v>
      </c>
      <c r="I108" s="34">
        <f t="shared" si="358"/>
        <v>30.195</v>
      </c>
      <c r="J108" s="34">
        <f t="shared" si="358"/>
        <v>30.549999999999997</v>
      </c>
      <c r="K108" s="34">
        <f t="shared" si="358"/>
        <v>26.22</v>
      </c>
      <c r="L108" s="34">
        <f t="shared" si="358"/>
        <v>33.15</v>
      </c>
      <c r="M108" s="34">
        <f t="shared" si="358"/>
        <v>42.195</v>
      </c>
      <c r="N108" s="34">
        <f t="shared" ref="N108:AF108" si="359">N109/N3</f>
        <v>47.961150684931503</v>
      </c>
      <c r="O108" s="34">
        <f t="shared" si="359"/>
        <v>61.884931506849313</v>
      </c>
      <c r="P108" s="34">
        <f t="shared" si="359"/>
        <v>75.060109289617486</v>
      </c>
      <c r="Q108" s="34">
        <f t="shared" si="359"/>
        <v>84.843835616438355</v>
      </c>
      <c r="R108" s="34">
        <f t="shared" si="359"/>
        <v>94.284931506849318</v>
      </c>
      <c r="S108" s="34">
        <f t="shared" si="359"/>
        <v>129.69315068493151</v>
      </c>
      <c r="T108" s="34">
        <f t="shared" si="359"/>
        <v>163.39890710382514</v>
      </c>
      <c r="U108" s="34">
        <f t="shared" si="359"/>
        <v>131.65753424657535</v>
      </c>
      <c r="V108" s="34">
        <f t="shared" si="359"/>
        <v>150.82465753424657</v>
      </c>
      <c r="W108" s="34">
        <f t="shared" si="359"/>
        <v>202.47945205479451</v>
      </c>
      <c r="X108" s="34">
        <f t="shared" si="359"/>
        <v>235.90163934426229</v>
      </c>
      <c r="Y108" s="34">
        <f t="shared" si="359"/>
        <v>242.79452054794521</v>
      </c>
      <c r="Z108" s="34">
        <f t="shared" si="359"/>
        <v>275.72054794520545</v>
      </c>
      <c r="AA108" s="34">
        <f t="shared" si="359"/>
        <v>207.85205479452054</v>
      </c>
      <c r="AB108" s="34">
        <f t="shared" si="359"/>
        <v>101.04918032786885</v>
      </c>
      <c r="AC108" s="34">
        <f t="shared" si="359"/>
        <v>156.49315068493149</v>
      </c>
      <c r="AD108" s="34">
        <f t="shared" si="359"/>
        <v>214.06445205479451</v>
      </c>
      <c r="AE108" s="34">
        <f t="shared" si="359"/>
        <v>242.50684931506851</v>
      </c>
      <c r="AF108" s="34">
        <f t="shared" si="359"/>
        <v>260.71232876712327</v>
      </c>
      <c r="AG108" s="17"/>
      <c r="AH108" s="34">
        <f t="shared" ref="AH108:BR108" si="360">IF(ISERROR(AH106*AH110),"NM",(AH106*AH110))</f>
        <v>0</v>
      </c>
      <c r="AI108" s="34" t="str">
        <f t="shared" si="360"/>
        <v>NM</v>
      </c>
      <c r="AJ108" s="34" t="str">
        <f t="shared" si="360"/>
        <v>NM</v>
      </c>
      <c r="AK108" s="34" t="str">
        <f t="shared" si="360"/>
        <v>NM</v>
      </c>
      <c r="AL108" s="34" t="str">
        <f t="shared" si="360"/>
        <v>NM</v>
      </c>
      <c r="AM108" s="34" t="str">
        <f t="shared" si="360"/>
        <v>NM</v>
      </c>
      <c r="AN108" s="34" t="str">
        <f t="shared" si="360"/>
        <v>NM</v>
      </c>
      <c r="AO108" s="34" t="str">
        <f t="shared" si="360"/>
        <v>NM</v>
      </c>
      <c r="AP108" s="34" t="str">
        <f t="shared" si="360"/>
        <v>NM</v>
      </c>
      <c r="AQ108" s="34" t="str">
        <f t="shared" si="360"/>
        <v>NM</v>
      </c>
      <c r="AR108" s="34" t="str">
        <f t="shared" si="360"/>
        <v>NM</v>
      </c>
      <c r="AS108" s="34" t="str">
        <f t="shared" si="360"/>
        <v>NM</v>
      </c>
      <c r="AT108" s="34" t="str">
        <f t="shared" si="360"/>
        <v>NM</v>
      </c>
      <c r="AU108" s="34" t="str">
        <f t="shared" si="360"/>
        <v>NM</v>
      </c>
      <c r="AV108" s="34" t="str">
        <f t="shared" si="360"/>
        <v>NM</v>
      </c>
      <c r="AW108" s="34" t="str">
        <f t="shared" si="360"/>
        <v>NM</v>
      </c>
      <c r="AX108" s="34" t="str">
        <f t="shared" si="360"/>
        <v>NM</v>
      </c>
      <c r="AY108" s="34" t="str">
        <f t="shared" si="360"/>
        <v>NM</v>
      </c>
      <c r="AZ108" s="34" t="str">
        <f t="shared" si="360"/>
        <v>NM</v>
      </c>
      <c r="BA108" s="34" t="str">
        <f t="shared" si="360"/>
        <v>NM</v>
      </c>
      <c r="BB108" s="34">
        <f t="shared" si="360"/>
        <v>29</v>
      </c>
      <c r="BC108" s="34" t="str">
        <f t="shared" si="360"/>
        <v>NM</v>
      </c>
      <c r="BD108" s="34" t="str">
        <f t="shared" si="360"/>
        <v>NM</v>
      </c>
      <c r="BE108" s="34" t="str">
        <f t="shared" si="360"/>
        <v>NM</v>
      </c>
      <c r="BF108" s="34">
        <f t="shared" si="360"/>
        <v>30.599999999999998</v>
      </c>
      <c r="BG108" s="34" t="str">
        <f t="shared" si="360"/>
        <v>NM</v>
      </c>
      <c r="BH108" s="34" t="str">
        <f t="shared" si="360"/>
        <v>NM</v>
      </c>
      <c r="BI108" s="34" t="str">
        <f t="shared" si="360"/>
        <v>NM</v>
      </c>
      <c r="BJ108" s="34">
        <f t="shared" si="360"/>
        <v>30</v>
      </c>
      <c r="BK108" s="34" t="str">
        <f t="shared" si="360"/>
        <v>NM</v>
      </c>
      <c r="BL108" s="34" t="str">
        <f t="shared" si="360"/>
        <v>NM</v>
      </c>
      <c r="BM108" s="34">
        <f t="shared" si="360"/>
        <v>35.72</v>
      </c>
      <c r="BN108" s="34">
        <f t="shared" si="360"/>
        <v>35.340000000000003</v>
      </c>
      <c r="BO108" s="34" t="str">
        <f t="shared" si="360"/>
        <v>NM</v>
      </c>
      <c r="BP108" s="34" t="str">
        <f t="shared" si="360"/>
        <v>NM</v>
      </c>
      <c r="BQ108" s="34">
        <f t="shared" si="360"/>
        <v>49</v>
      </c>
      <c r="BR108" s="34">
        <f t="shared" si="360"/>
        <v>45.835000000000001</v>
      </c>
      <c r="BS108" s="34">
        <f t="shared" ref="BS108:CX108" si="361">BS109/BS3</f>
        <v>44.277777777777779</v>
      </c>
      <c r="BT108" s="34">
        <f t="shared" si="361"/>
        <v>49.07692307692308</v>
      </c>
      <c r="BU108" s="34">
        <f t="shared" si="361"/>
        <v>52.586956521739133</v>
      </c>
      <c r="BV108" s="34">
        <f t="shared" si="361"/>
        <v>54.510869565217391</v>
      </c>
      <c r="BW108" s="34">
        <f t="shared" si="361"/>
        <v>59.522222222222226</v>
      </c>
      <c r="BX108" s="34">
        <f t="shared" si="361"/>
        <v>64.967032967032964</v>
      </c>
      <c r="BY108" s="34">
        <f t="shared" si="361"/>
        <v>68.521739130434781</v>
      </c>
      <c r="BZ108" s="34">
        <f t="shared" si="361"/>
        <v>68.260869565217391</v>
      </c>
      <c r="CA108" s="34">
        <f t="shared" si="361"/>
        <v>74.263736263736263</v>
      </c>
      <c r="CB108" s="34">
        <f t="shared" si="361"/>
        <v>77.703296703296701</v>
      </c>
      <c r="CC108" s="34">
        <f t="shared" si="361"/>
        <v>80.032608695652172</v>
      </c>
      <c r="CD108" s="34">
        <f t="shared" si="361"/>
        <v>82.478260869565219</v>
      </c>
      <c r="CE108" s="34">
        <f t="shared" si="361"/>
        <v>84.322222222222223</v>
      </c>
      <c r="CF108" s="34">
        <f t="shared" si="361"/>
        <v>85.681318681318686</v>
      </c>
      <c r="CG108" s="34">
        <f t="shared" si="361"/>
        <v>86.891304347826093</v>
      </c>
      <c r="CH108" s="34">
        <f t="shared" si="361"/>
        <v>87.336956521739125</v>
      </c>
      <c r="CI108" s="34">
        <f t="shared" si="361"/>
        <v>89.844444444444449</v>
      </c>
      <c r="CJ108" s="34">
        <f t="shared" si="361"/>
        <v>95.780219780219781</v>
      </c>
      <c r="CK108" s="34">
        <f t="shared" si="361"/>
        <v>104.09782608695652</v>
      </c>
      <c r="CL108" s="34">
        <f t="shared" si="361"/>
        <v>114.65217391304348</v>
      </c>
      <c r="CM108" s="34">
        <f t="shared" si="361"/>
        <v>123.95555555555555</v>
      </c>
      <c r="CN108" s="34">
        <f t="shared" si="361"/>
        <v>135.94505494505495</v>
      </c>
      <c r="CO108" s="34">
        <f t="shared" si="361"/>
        <v>144.16304347826087</v>
      </c>
      <c r="CP108" s="34">
        <f t="shared" si="361"/>
        <v>150.94565217391303</v>
      </c>
      <c r="CQ108" s="34">
        <f t="shared" si="361"/>
        <v>156.83516483516485</v>
      </c>
      <c r="CR108" s="34">
        <f t="shared" si="361"/>
        <v>167.72527472527472</v>
      </c>
      <c r="CS108" s="34">
        <f t="shared" si="361"/>
        <v>178.06521739130434</v>
      </c>
      <c r="CT108" s="34">
        <f t="shared" si="361"/>
        <v>177.41304347826087</v>
      </c>
      <c r="CU108" s="34">
        <f t="shared" si="361"/>
        <v>139.21111111111111</v>
      </c>
      <c r="CV108" s="34">
        <f t="shared" si="361"/>
        <v>102.21978021978022</v>
      </c>
      <c r="CW108" s="34">
        <f t="shared" si="361"/>
        <v>107.6304347826087</v>
      </c>
      <c r="CX108" s="34">
        <f t="shared" si="361"/>
        <v>122.39130434782609</v>
      </c>
      <c r="CY108" s="34">
        <f t="shared" ref="CY108:ED108" si="362">CY109/CY3</f>
        <v>145.71111111111111</v>
      </c>
      <c r="CZ108" s="34">
        <f t="shared" si="362"/>
        <v>157.95604395604394</v>
      </c>
      <c r="DA108" s="34">
        <f t="shared" si="362"/>
        <v>177.20652173913044</v>
      </c>
      <c r="DB108" s="34">
        <f t="shared" si="362"/>
        <v>187.4891304347826</v>
      </c>
      <c r="DC108" s="34">
        <f t="shared" si="362"/>
        <v>197.74444444444444</v>
      </c>
      <c r="DD108" s="34">
        <f t="shared" si="362"/>
        <v>207.82417582417582</v>
      </c>
      <c r="DE108" s="34">
        <f t="shared" si="362"/>
        <v>216.81521739130434</v>
      </c>
      <c r="DF108" s="34">
        <f t="shared" si="362"/>
        <v>227.91304347826087</v>
      </c>
      <c r="DG108" s="34">
        <f t="shared" si="362"/>
        <v>235.64835164835165</v>
      </c>
      <c r="DH108" s="34">
        <f t="shared" si="362"/>
        <v>241.50549450549451</v>
      </c>
      <c r="DI108" s="34">
        <f t="shared" si="362"/>
        <v>238.59782608695653</v>
      </c>
      <c r="DJ108" s="34">
        <f t="shared" si="362"/>
        <v>236.33695652173913</v>
      </c>
      <c r="DK108" s="34">
        <f t="shared" si="362"/>
        <v>242.74444444444444</v>
      </c>
      <c r="DL108" s="34">
        <f t="shared" si="362"/>
        <v>247.36263736263737</v>
      </c>
      <c r="DM108" s="34">
        <f t="shared" si="362"/>
        <v>244.78260869565219</v>
      </c>
      <c r="DN108" s="34">
        <f t="shared" si="362"/>
        <v>255.04347826086956</v>
      </c>
      <c r="DO108" s="34">
        <f t="shared" si="362"/>
        <v>270</v>
      </c>
      <c r="DP108" s="34">
        <f t="shared" si="362"/>
        <v>286.39560439560438</v>
      </c>
      <c r="DQ108" s="34">
        <f t="shared" si="362"/>
        <v>291.43478260869563</v>
      </c>
      <c r="DR108" s="34">
        <f t="shared" si="362"/>
        <v>297.33695652173913</v>
      </c>
      <c r="DS108" s="34">
        <f t="shared" si="362"/>
        <v>231.13333333333333</v>
      </c>
      <c r="DT108" s="34">
        <f t="shared" si="362"/>
        <v>156.25274725274724</v>
      </c>
      <c r="DU108" s="34">
        <f t="shared" si="362"/>
        <v>146.63043478260869</v>
      </c>
      <c r="DV108" s="34">
        <f t="shared" si="362"/>
        <v>129.83695652173913</v>
      </c>
      <c r="DW108" s="34">
        <f t="shared" si="362"/>
        <v>105.50549450549451</v>
      </c>
      <c r="DX108" s="34">
        <f t="shared" si="362"/>
        <v>82.230769230769226</v>
      </c>
      <c r="DY108" s="34">
        <f t="shared" si="362"/>
        <v>86.467391304347828</v>
      </c>
      <c r="DZ108" s="34">
        <f t="shared" si="362"/>
        <v>106.34782608695652</v>
      </c>
      <c r="EA108" s="34">
        <f t="shared" si="362"/>
        <v>146.28888888888889</v>
      </c>
      <c r="EB108" s="34">
        <f t="shared" si="362"/>
        <v>182.16483516483515</v>
      </c>
      <c r="EC108" s="34">
        <f t="shared" si="362"/>
        <v>191.22826086956522</v>
      </c>
      <c r="ED108" s="34">
        <f t="shared" si="362"/>
        <v>199.58695652173913</v>
      </c>
      <c r="EE108" s="197">
        <f t="shared" ref="EE108:EP108" si="363">EE62</f>
        <v>206.57249999999999</v>
      </c>
      <c r="EF108" s="197">
        <f t="shared" si="363"/>
        <v>220</v>
      </c>
      <c r="EG108" s="197">
        <f t="shared" si="363"/>
        <v>230</v>
      </c>
      <c r="EH108" s="197">
        <f t="shared" si="363"/>
        <v>235</v>
      </c>
      <c r="EI108" s="197">
        <f t="shared" si="363"/>
        <v>240</v>
      </c>
      <c r="EJ108" s="197">
        <f t="shared" si="363"/>
        <v>245</v>
      </c>
      <c r="EK108" s="197">
        <f t="shared" si="363"/>
        <v>250</v>
      </c>
      <c r="EL108" s="197">
        <f t="shared" si="363"/>
        <v>260</v>
      </c>
      <c r="EM108" s="197">
        <f t="shared" si="363"/>
        <v>260</v>
      </c>
      <c r="EN108" s="197">
        <f t="shared" si="363"/>
        <v>260</v>
      </c>
      <c r="EO108" s="197">
        <f t="shared" si="363"/>
        <v>260</v>
      </c>
      <c r="EP108" s="197">
        <f t="shared" si="363"/>
        <v>260</v>
      </c>
      <c r="EQ108" s="264"/>
      <c r="ES108" s="355">
        <f t="shared" si="201"/>
        <v>103</v>
      </c>
      <c r="ET108"/>
      <c r="EU108"/>
      <c r="EV108"/>
      <c r="EW108"/>
      <c r="EX108"/>
      <c r="EY108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</row>
    <row r="109" spans="1:257" s="4" customFormat="1" hidden="1" outlineLevel="2">
      <c r="A109" s="15"/>
      <c r="B109" s="65" t="s">
        <v>169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>
        <f t="shared" ref="N109:AF109" si="364">SUMIF($AH$5:$ER$5,N$5,$AH109:$ER109)</f>
        <v>17505.82</v>
      </c>
      <c r="O109" s="34">
        <f t="shared" si="364"/>
        <v>22588</v>
      </c>
      <c r="P109" s="34">
        <f t="shared" si="364"/>
        <v>27472</v>
      </c>
      <c r="Q109" s="34">
        <f t="shared" si="364"/>
        <v>30968</v>
      </c>
      <c r="R109" s="34">
        <f t="shared" si="364"/>
        <v>34414</v>
      </c>
      <c r="S109" s="34">
        <f t="shared" si="364"/>
        <v>47338</v>
      </c>
      <c r="T109" s="34">
        <f t="shared" si="364"/>
        <v>59804</v>
      </c>
      <c r="U109" s="34">
        <f t="shared" si="364"/>
        <v>48055</v>
      </c>
      <c r="V109" s="34">
        <f t="shared" si="364"/>
        <v>55051</v>
      </c>
      <c r="W109" s="34">
        <f t="shared" si="364"/>
        <v>73905</v>
      </c>
      <c r="X109" s="34">
        <f t="shared" si="364"/>
        <v>86340</v>
      </c>
      <c r="Y109" s="34">
        <f t="shared" si="364"/>
        <v>88620</v>
      </c>
      <c r="Z109" s="34">
        <f t="shared" si="364"/>
        <v>100638</v>
      </c>
      <c r="AA109" s="34">
        <f t="shared" si="364"/>
        <v>75866</v>
      </c>
      <c r="AB109" s="34">
        <f t="shared" si="364"/>
        <v>36984</v>
      </c>
      <c r="AC109" s="34">
        <f t="shared" si="364"/>
        <v>57120</v>
      </c>
      <c r="AD109" s="34">
        <f t="shared" si="364"/>
        <v>78133.524999999994</v>
      </c>
      <c r="AE109" s="34">
        <f t="shared" si="364"/>
        <v>88515</v>
      </c>
      <c r="AF109" s="34">
        <f t="shared" si="364"/>
        <v>95160</v>
      </c>
      <c r="AG109" s="17"/>
      <c r="AH109" s="202">
        <f t="shared" ref="AH109:BR109" si="365">IF(ISERROR(AH108*AH3),"NM",(AH108*AH3))</f>
        <v>0</v>
      </c>
      <c r="AI109" s="202" t="str">
        <f t="shared" si="365"/>
        <v>NM</v>
      </c>
      <c r="AJ109" s="202" t="str">
        <f t="shared" si="365"/>
        <v>NM</v>
      </c>
      <c r="AK109" s="202" t="str">
        <f t="shared" si="365"/>
        <v>NM</v>
      </c>
      <c r="AL109" s="202" t="str">
        <f t="shared" si="365"/>
        <v>NM</v>
      </c>
      <c r="AM109" s="202" t="str">
        <f t="shared" si="365"/>
        <v>NM</v>
      </c>
      <c r="AN109" s="202" t="str">
        <f t="shared" si="365"/>
        <v>NM</v>
      </c>
      <c r="AO109" s="202" t="str">
        <f t="shared" si="365"/>
        <v>NM</v>
      </c>
      <c r="AP109" s="202" t="str">
        <f t="shared" si="365"/>
        <v>NM</v>
      </c>
      <c r="AQ109" s="202" t="str">
        <f t="shared" si="365"/>
        <v>NM</v>
      </c>
      <c r="AR109" s="202" t="str">
        <f t="shared" si="365"/>
        <v>NM</v>
      </c>
      <c r="AS109" s="202" t="str">
        <f t="shared" si="365"/>
        <v>NM</v>
      </c>
      <c r="AT109" s="202" t="str">
        <f t="shared" si="365"/>
        <v>NM</v>
      </c>
      <c r="AU109" s="202" t="str">
        <f t="shared" si="365"/>
        <v>NM</v>
      </c>
      <c r="AV109" s="202" t="str">
        <f t="shared" si="365"/>
        <v>NM</v>
      </c>
      <c r="AW109" s="202" t="str">
        <f t="shared" si="365"/>
        <v>NM</v>
      </c>
      <c r="AX109" s="202" t="str">
        <f t="shared" si="365"/>
        <v>NM</v>
      </c>
      <c r="AY109" s="202" t="str">
        <f t="shared" si="365"/>
        <v>NM</v>
      </c>
      <c r="AZ109" s="202" t="str">
        <f t="shared" si="365"/>
        <v>NM</v>
      </c>
      <c r="BA109" s="202" t="str">
        <f t="shared" si="365"/>
        <v>NM</v>
      </c>
      <c r="BB109" s="202">
        <f t="shared" si="365"/>
        <v>2668</v>
      </c>
      <c r="BC109" s="202" t="str">
        <f t="shared" si="365"/>
        <v>NM</v>
      </c>
      <c r="BD109" s="202" t="str">
        <f t="shared" si="365"/>
        <v>NM</v>
      </c>
      <c r="BE109" s="202" t="str">
        <f t="shared" si="365"/>
        <v>NM</v>
      </c>
      <c r="BF109" s="202">
        <f t="shared" si="365"/>
        <v>2815.2</v>
      </c>
      <c r="BG109" s="202" t="str">
        <f t="shared" si="365"/>
        <v>NM</v>
      </c>
      <c r="BH109" s="202" t="str">
        <f t="shared" si="365"/>
        <v>NM</v>
      </c>
      <c r="BI109" s="202" t="str">
        <f t="shared" si="365"/>
        <v>NM</v>
      </c>
      <c r="BJ109" s="202">
        <f t="shared" si="365"/>
        <v>2760</v>
      </c>
      <c r="BK109" s="202" t="str">
        <f t="shared" si="365"/>
        <v>NM</v>
      </c>
      <c r="BL109" s="202" t="str">
        <f t="shared" si="365"/>
        <v>NM</v>
      </c>
      <c r="BM109" s="202">
        <f t="shared" si="365"/>
        <v>3286.24</v>
      </c>
      <c r="BN109" s="202">
        <f t="shared" si="365"/>
        <v>3251.28</v>
      </c>
      <c r="BO109" s="202" t="str">
        <f t="shared" si="365"/>
        <v>NM</v>
      </c>
      <c r="BP109" s="202" t="str">
        <f t="shared" si="365"/>
        <v>NM</v>
      </c>
      <c r="BQ109" s="202">
        <f t="shared" si="365"/>
        <v>4508</v>
      </c>
      <c r="BR109" s="202">
        <f t="shared" si="365"/>
        <v>4216.82</v>
      </c>
      <c r="BS109" s="34">
        <v>3985</v>
      </c>
      <c r="BT109" s="34">
        <v>4466</v>
      </c>
      <c r="BU109" s="34">
        <v>4838</v>
      </c>
      <c r="BV109" s="34">
        <v>5015</v>
      </c>
      <c r="BW109" s="34">
        <v>5357</v>
      </c>
      <c r="BX109" s="34">
        <v>5912</v>
      </c>
      <c r="BY109" s="34">
        <v>6304</v>
      </c>
      <c r="BZ109" s="34">
        <v>6280</v>
      </c>
      <c r="CA109" s="34">
        <v>6758</v>
      </c>
      <c r="CB109" s="34">
        <v>7071</v>
      </c>
      <c r="CC109" s="34">
        <v>7363</v>
      </c>
      <c r="CD109" s="34">
        <v>7588</v>
      </c>
      <c r="CE109" s="34">
        <v>7589</v>
      </c>
      <c r="CF109" s="34">
        <v>7797</v>
      </c>
      <c r="CG109" s="34">
        <v>7994</v>
      </c>
      <c r="CH109" s="34">
        <v>8035</v>
      </c>
      <c r="CI109" s="34">
        <v>8086</v>
      </c>
      <c r="CJ109" s="34">
        <v>8716</v>
      </c>
      <c r="CK109" s="34">
        <v>9577</v>
      </c>
      <c r="CL109" s="34">
        <v>10548</v>
      </c>
      <c r="CM109" s="34">
        <v>11156</v>
      </c>
      <c r="CN109" s="34">
        <v>12371</v>
      </c>
      <c r="CO109" s="34">
        <v>13263</v>
      </c>
      <c r="CP109" s="34">
        <v>13887</v>
      </c>
      <c r="CQ109" s="34">
        <v>14272</v>
      </c>
      <c r="CR109" s="34">
        <v>15263</v>
      </c>
      <c r="CS109" s="34">
        <v>16382</v>
      </c>
      <c r="CT109" s="34">
        <v>16322</v>
      </c>
      <c r="CU109" s="34">
        <v>12529</v>
      </c>
      <c r="CV109" s="34">
        <v>9302</v>
      </c>
      <c r="CW109" s="34">
        <v>9902</v>
      </c>
      <c r="CX109" s="34">
        <v>11260</v>
      </c>
      <c r="CY109" s="34">
        <v>13114</v>
      </c>
      <c r="CZ109" s="34">
        <v>14374</v>
      </c>
      <c r="DA109" s="34">
        <v>16303</v>
      </c>
      <c r="DB109" s="34">
        <v>17249</v>
      </c>
      <c r="DC109" s="34">
        <v>17797</v>
      </c>
      <c r="DD109" s="34">
        <v>18912</v>
      </c>
      <c r="DE109" s="34">
        <v>19947</v>
      </c>
      <c r="DF109" s="34">
        <v>20968</v>
      </c>
      <c r="DG109" s="34">
        <v>21444</v>
      </c>
      <c r="DH109" s="34">
        <v>21977</v>
      </c>
      <c r="DI109" s="34">
        <v>21951</v>
      </c>
      <c r="DJ109" s="34">
        <v>21743</v>
      </c>
      <c r="DK109" s="214">
        <v>21847</v>
      </c>
      <c r="DL109" s="214">
        <v>22510</v>
      </c>
      <c r="DM109" s="214">
        <v>22520</v>
      </c>
      <c r="DN109" s="214">
        <v>23464</v>
      </c>
      <c r="DO109" s="214">
        <v>24300</v>
      </c>
      <c r="DP109" s="214">
        <v>26062</v>
      </c>
      <c r="DQ109" s="214">
        <v>26812</v>
      </c>
      <c r="DR109" s="214">
        <v>27355</v>
      </c>
      <c r="DS109" s="214">
        <v>20802</v>
      </c>
      <c r="DT109" s="214">
        <v>14219</v>
      </c>
      <c r="DU109" s="214">
        <v>13490</v>
      </c>
      <c r="DV109" s="214">
        <v>11945</v>
      </c>
      <c r="DW109" s="214">
        <v>9601</v>
      </c>
      <c r="DX109" s="214">
        <v>7483</v>
      </c>
      <c r="DY109" s="214">
        <v>7955</v>
      </c>
      <c r="DZ109" s="214">
        <v>9784</v>
      </c>
      <c r="EA109" s="214">
        <v>13166</v>
      </c>
      <c r="EB109" s="214">
        <v>16577</v>
      </c>
      <c r="EC109" s="214">
        <v>17593</v>
      </c>
      <c r="ED109" s="214">
        <v>18362</v>
      </c>
      <c r="EE109" s="34">
        <f t="shared" ref="EE109:EP109" si="366">EE108*EE3</f>
        <v>18591.524999999998</v>
      </c>
      <c r="EF109" s="34">
        <f t="shared" si="366"/>
        <v>20020</v>
      </c>
      <c r="EG109" s="34">
        <f t="shared" si="366"/>
        <v>21160</v>
      </c>
      <c r="EH109" s="34">
        <f t="shared" si="366"/>
        <v>21620</v>
      </c>
      <c r="EI109" s="34">
        <f t="shared" si="366"/>
        <v>21600</v>
      </c>
      <c r="EJ109" s="34">
        <f t="shared" si="366"/>
        <v>22295</v>
      </c>
      <c r="EK109" s="34">
        <f t="shared" si="366"/>
        <v>23000</v>
      </c>
      <c r="EL109" s="34">
        <f t="shared" si="366"/>
        <v>23920</v>
      </c>
      <c r="EM109" s="34">
        <f t="shared" si="366"/>
        <v>23660</v>
      </c>
      <c r="EN109" s="34">
        <f t="shared" si="366"/>
        <v>23660</v>
      </c>
      <c r="EO109" s="34">
        <f t="shared" si="366"/>
        <v>23920</v>
      </c>
      <c r="EP109" s="34">
        <f t="shared" si="366"/>
        <v>23920</v>
      </c>
      <c r="EQ109" s="264"/>
      <c r="ES109" s="355">
        <f t="shared" si="201"/>
        <v>104</v>
      </c>
      <c r="ET109"/>
      <c r="EU109"/>
      <c r="EV109"/>
      <c r="EW109"/>
      <c r="EX109"/>
      <c r="EY109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</row>
    <row r="110" spans="1:257" s="4" customFormat="1" hidden="1" outlineLevel="2">
      <c r="A110" s="15"/>
      <c r="B110" s="65" t="s">
        <v>189</v>
      </c>
      <c r="C110" s="34"/>
      <c r="D110" s="34"/>
      <c r="E110" s="163">
        <v>0.48</v>
      </c>
      <c r="F110" s="163">
        <v>0.66</v>
      </c>
      <c r="G110" s="163">
        <v>0.73</v>
      </c>
      <c r="H110" s="163">
        <v>0.88</v>
      </c>
      <c r="I110" s="163">
        <v>0.99</v>
      </c>
      <c r="J110" s="163">
        <v>0.94</v>
      </c>
      <c r="K110" s="163">
        <v>0.69</v>
      </c>
      <c r="L110" s="163">
        <v>0.85</v>
      </c>
      <c r="M110" s="163">
        <v>0.97</v>
      </c>
      <c r="N110" s="163">
        <v>0.84</v>
      </c>
      <c r="O110" s="163">
        <v>0.80999999999999994</v>
      </c>
      <c r="P110" s="163">
        <v>0.87</v>
      </c>
      <c r="Q110" s="163">
        <v>0.94</v>
      </c>
      <c r="R110" s="163">
        <v>0.99</v>
      </c>
      <c r="S110" s="163">
        <v>0.96999999999999986</v>
      </c>
      <c r="T110" s="163">
        <v>0.96</v>
      </c>
      <c r="U110" s="163">
        <f t="shared" ref="U110:AF110" si="367">U108/U106</f>
        <v>0.67845300882902138</v>
      </c>
      <c r="V110" s="163">
        <f t="shared" si="367"/>
        <v>0.72729827799943947</v>
      </c>
      <c r="W110" s="163">
        <f t="shared" si="367"/>
        <v>0.85802456402479899</v>
      </c>
      <c r="X110" s="163">
        <f t="shared" si="367"/>
        <v>0.88617560281361218</v>
      </c>
      <c r="Y110" s="163">
        <f t="shared" si="367"/>
        <v>0.81990551472501549</v>
      </c>
      <c r="Z110" s="163">
        <f t="shared" si="367"/>
        <v>0.85927712643616816</v>
      </c>
      <c r="AA110" s="163">
        <f t="shared" si="367"/>
        <v>0.616314469368482</v>
      </c>
      <c r="AB110" s="163">
        <f t="shared" si="367"/>
        <v>0.29173346900864339</v>
      </c>
      <c r="AC110" s="163">
        <f t="shared" si="367"/>
        <v>0.44744288973532947</v>
      </c>
      <c r="AD110" s="163">
        <f t="shared" si="367"/>
        <v>0.61161272015655577</v>
      </c>
      <c r="AE110" s="163">
        <f t="shared" si="367"/>
        <v>0.69287671232876713</v>
      </c>
      <c r="AF110" s="163">
        <f t="shared" si="367"/>
        <v>0.7448923679060665</v>
      </c>
      <c r="AG110" s="17"/>
      <c r="AH110" s="208"/>
      <c r="AI110" s="271" t="s">
        <v>167</v>
      </c>
      <c r="AJ110" s="271" t="s">
        <v>167</v>
      </c>
      <c r="AK110" s="271" t="s">
        <v>167</v>
      </c>
      <c r="AL110" s="271" t="s">
        <v>167</v>
      </c>
      <c r="AM110" s="271" t="s">
        <v>167</v>
      </c>
      <c r="AN110" s="271" t="s">
        <v>167</v>
      </c>
      <c r="AO110" s="271" t="s">
        <v>167</v>
      </c>
      <c r="AP110" s="271" t="s">
        <v>167</v>
      </c>
      <c r="AQ110" s="271" t="s">
        <v>167</v>
      </c>
      <c r="AR110" s="271" t="s">
        <v>167</v>
      </c>
      <c r="AS110" s="271" t="s">
        <v>167</v>
      </c>
      <c r="AT110" s="271" t="s">
        <v>167</v>
      </c>
      <c r="AU110" s="271" t="s">
        <v>167</v>
      </c>
      <c r="AV110" s="271" t="s">
        <v>167</v>
      </c>
      <c r="AW110" s="271" t="s">
        <v>167</v>
      </c>
      <c r="AX110" s="271" t="s">
        <v>167</v>
      </c>
      <c r="AY110" s="271" t="s">
        <v>167</v>
      </c>
      <c r="AZ110" s="271">
        <v>1</v>
      </c>
      <c r="BA110" s="271" t="s">
        <v>167</v>
      </c>
      <c r="BB110" s="271">
        <v>1</v>
      </c>
      <c r="BC110" s="271">
        <v>0.96</v>
      </c>
      <c r="BD110" s="271">
        <v>0.95</v>
      </c>
      <c r="BE110" s="271" t="s">
        <v>167</v>
      </c>
      <c r="BF110" s="271">
        <v>0.85</v>
      </c>
      <c r="BG110" s="271">
        <v>0.74</v>
      </c>
      <c r="BH110" s="271">
        <v>0.83</v>
      </c>
      <c r="BI110" s="271" t="s">
        <v>167</v>
      </c>
      <c r="BJ110" s="271">
        <v>0.75</v>
      </c>
      <c r="BK110" s="271">
        <v>0.82</v>
      </c>
      <c r="BL110" s="271">
        <v>0.89</v>
      </c>
      <c r="BM110" s="271">
        <v>0.94</v>
      </c>
      <c r="BN110" s="271">
        <v>0.93</v>
      </c>
      <c r="BO110" s="271">
        <v>0.96</v>
      </c>
      <c r="BP110" s="271">
        <v>0.98</v>
      </c>
      <c r="BQ110" s="271">
        <v>1</v>
      </c>
      <c r="BR110" s="271">
        <v>0.89</v>
      </c>
      <c r="BS110" s="271">
        <v>0.76</v>
      </c>
      <c r="BT110" s="271">
        <v>0.84</v>
      </c>
      <c r="BU110" s="271">
        <v>0.85</v>
      </c>
      <c r="BV110" s="271">
        <v>0.79</v>
      </c>
      <c r="BW110" s="271">
        <v>0.8</v>
      </c>
      <c r="BX110" s="271">
        <v>0.82</v>
      </c>
      <c r="BY110" s="271">
        <v>0.83</v>
      </c>
      <c r="BZ110" s="271">
        <v>0.81</v>
      </c>
      <c r="CA110" s="271">
        <v>0.86</v>
      </c>
      <c r="CB110" s="271">
        <v>0.89</v>
      </c>
      <c r="CC110" s="271">
        <v>0.92</v>
      </c>
      <c r="CD110" s="271">
        <v>0.92</v>
      </c>
      <c r="CE110" s="271">
        <v>0.94</v>
      </c>
      <c r="CF110" s="271">
        <v>0.94</v>
      </c>
      <c r="CG110" s="271">
        <v>0.95</v>
      </c>
      <c r="CH110" s="271">
        <v>0.97</v>
      </c>
      <c r="CI110" s="271">
        <v>0.98</v>
      </c>
      <c r="CJ110" s="271">
        <v>1</v>
      </c>
      <c r="CK110" s="271">
        <v>0.99</v>
      </c>
      <c r="CL110" s="271">
        <v>0.98</v>
      </c>
      <c r="CM110" s="271">
        <v>0.97</v>
      </c>
      <c r="CN110" s="271">
        <v>0.96</v>
      </c>
      <c r="CO110" s="271">
        <v>0.95</v>
      </c>
      <c r="CP110" s="271">
        <v>0.95</v>
      </c>
      <c r="CQ110" s="271">
        <v>0.94</v>
      </c>
      <c r="CR110" s="271">
        <v>0.96</v>
      </c>
      <c r="CS110" s="271">
        <v>0.98</v>
      </c>
      <c r="CT110" s="271">
        <v>0.95</v>
      </c>
      <c r="CU110" s="271">
        <v>0.72</v>
      </c>
      <c r="CV110" s="271">
        <v>0.51</v>
      </c>
      <c r="CW110" s="271">
        <v>0.55000000000000004</v>
      </c>
      <c r="CX110" s="271">
        <v>0.62</v>
      </c>
      <c r="CY110" s="271">
        <v>0.7</v>
      </c>
      <c r="CZ110" s="271">
        <v>0.76</v>
      </c>
      <c r="DA110" s="271">
        <v>0.82</v>
      </c>
      <c r="DB110" s="271">
        <v>0.84</v>
      </c>
      <c r="DC110" s="271">
        <v>0.85</v>
      </c>
      <c r="DD110" s="271">
        <v>0.87</v>
      </c>
      <c r="DE110" s="271">
        <v>0.87</v>
      </c>
      <c r="DF110" s="271">
        <v>0.91</v>
      </c>
      <c r="DG110" s="271">
        <v>0.91</v>
      </c>
      <c r="DH110" s="271">
        <v>0.89</v>
      </c>
      <c r="DI110" s="271">
        <v>0.84</v>
      </c>
      <c r="DJ110" s="271">
        <v>0.82</v>
      </c>
      <c r="DK110" s="271">
        <v>0.82</v>
      </c>
      <c r="DL110" s="271">
        <v>0.83</v>
      </c>
      <c r="DM110" s="271">
        <v>0.82</v>
      </c>
      <c r="DN110" s="271">
        <v>0.86</v>
      </c>
      <c r="DO110" s="271">
        <v>0.86</v>
      </c>
      <c r="DP110" s="271">
        <v>0.88</v>
      </c>
      <c r="DQ110" s="271">
        <v>0.87</v>
      </c>
      <c r="DR110" s="271">
        <v>0.89</v>
      </c>
      <c r="DS110" s="271">
        <v>0.68</v>
      </c>
      <c r="DT110" s="271">
        <v>0.47</v>
      </c>
      <c r="DU110" s="271">
        <v>0.43</v>
      </c>
      <c r="DV110" s="271">
        <v>0.39</v>
      </c>
      <c r="DW110" s="271">
        <v>0.31</v>
      </c>
      <c r="DX110" s="271">
        <v>0.24</v>
      </c>
      <c r="DY110" s="271">
        <v>0.25</v>
      </c>
      <c r="DZ110" s="271">
        <v>0.31</v>
      </c>
      <c r="EA110" s="271">
        <v>0.42</v>
      </c>
      <c r="EB110" s="271">
        <v>0.52</v>
      </c>
      <c r="EC110" s="271">
        <v>0.55000000000000004</v>
      </c>
      <c r="ED110" s="271">
        <v>0.56999999999999995</v>
      </c>
      <c r="EE110" s="163">
        <f t="shared" ref="EE110:EP110" si="368">EE108/EE106</f>
        <v>0.59020714285714282</v>
      </c>
      <c r="EF110" s="163">
        <f t="shared" si="368"/>
        <v>0.62857142857142856</v>
      </c>
      <c r="EG110" s="163">
        <f t="shared" si="368"/>
        <v>0.65714285714285714</v>
      </c>
      <c r="EH110" s="163">
        <f t="shared" si="368"/>
        <v>0.67142857142857137</v>
      </c>
      <c r="EI110" s="163">
        <f t="shared" si="368"/>
        <v>0.68571428571428572</v>
      </c>
      <c r="EJ110" s="163">
        <f t="shared" si="368"/>
        <v>0.7</v>
      </c>
      <c r="EK110" s="163">
        <f t="shared" si="368"/>
        <v>0.7142857142857143</v>
      </c>
      <c r="EL110" s="163">
        <f t="shared" si="368"/>
        <v>0.74285714285714288</v>
      </c>
      <c r="EM110" s="163">
        <f t="shared" si="368"/>
        <v>0.74285714285714288</v>
      </c>
      <c r="EN110" s="163">
        <f t="shared" si="368"/>
        <v>0.74285714285714288</v>
      </c>
      <c r="EO110" s="163">
        <f t="shared" si="368"/>
        <v>0.74285714285714288</v>
      </c>
      <c r="EP110" s="163">
        <f t="shared" si="368"/>
        <v>0.74285714285714288</v>
      </c>
      <c r="ES110" s="355">
        <f t="shared" si="201"/>
        <v>105</v>
      </c>
      <c r="ET110"/>
      <c r="EU110"/>
      <c r="EV110"/>
      <c r="EW110"/>
      <c r="EX110"/>
      <c r="EY110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</row>
    <row r="111" spans="1:257" s="4" customFormat="1" hidden="1" outlineLevel="2">
      <c r="A111" s="15"/>
      <c r="B111" s="65"/>
      <c r="C111" s="34"/>
      <c r="D111" s="34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  <c r="AG111" s="17"/>
      <c r="AH111" s="208"/>
      <c r="AI111" s="265"/>
      <c r="AJ111" s="265"/>
      <c r="AK111" s="265"/>
      <c r="AL111" s="265"/>
      <c r="AM111" s="265"/>
      <c r="AN111" s="265"/>
      <c r="AO111" s="265"/>
      <c r="AP111" s="265"/>
      <c r="AQ111" s="265"/>
      <c r="AR111" s="265"/>
      <c r="AS111" s="265"/>
      <c r="AT111" s="265"/>
      <c r="AU111" s="265"/>
      <c r="AV111" s="265"/>
      <c r="AW111" s="265"/>
      <c r="AX111" s="265"/>
      <c r="AY111" s="265"/>
      <c r="AZ111" s="265"/>
      <c r="BA111" s="265"/>
      <c r="BB111" s="265"/>
      <c r="BC111" s="265"/>
      <c r="BD111" s="265"/>
      <c r="BE111" s="265"/>
      <c r="BF111" s="265"/>
      <c r="BG111" s="265"/>
      <c r="BH111" s="265"/>
      <c r="BI111" s="265"/>
      <c r="BJ111" s="265"/>
      <c r="BK111" s="265"/>
      <c r="BL111" s="265"/>
      <c r="BM111" s="265"/>
      <c r="BN111" s="265"/>
      <c r="BO111" s="265"/>
      <c r="BP111" s="265"/>
      <c r="BQ111" s="265"/>
      <c r="BR111" s="265"/>
      <c r="BS111" s="265"/>
      <c r="BT111" s="265"/>
      <c r="BU111" s="265"/>
      <c r="BV111" s="265"/>
      <c r="BW111" s="265"/>
      <c r="BX111" s="265"/>
      <c r="BY111" s="265"/>
      <c r="BZ111" s="265"/>
      <c r="CA111" s="265"/>
      <c r="CB111" s="265"/>
      <c r="CC111" s="265"/>
      <c r="CD111" s="265"/>
      <c r="CE111" s="265"/>
      <c r="CF111" s="265"/>
      <c r="CG111" s="265"/>
      <c r="CH111" s="265"/>
      <c r="CI111" s="265"/>
      <c r="CJ111" s="265"/>
      <c r="CK111" s="265"/>
      <c r="CL111" s="265"/>
      <c r="CM111" s="265"/>
      <c r="CN111" s="265"/>
      <c r="CO111" s="265"/>
      <c r="CP111" s="265"/>
      <c r="CQ111" s="265"/>
      <c r="CR111" s="265"/>
      <c r="CS111" s="265"/>
      <c r="CT111" s="265"/>
      <c r="CU111" s="265"/>
      <c r="CV111" s="265"/>
      <c r="CW111" s="265"/>
      <c r="CX111" s="265"/>
      <c r="CY111" s="265"/>
      <c r="CZ111" s="265"/>
      <c r="DA111" s="265"/>
      <c r="DB111" s="265"/>
      <c r="DC111" s="265"/>
      <c r="DD111" s="265"/>
      <c r="DE111" s="265"/>
      <c r="DF111" s="265"/>
      <c r="DG111" s="265"/>
      <c r="DH111" s="265"/>
      <c r="DI111" s="265"/>
      <c r="DJ111" s="265"/>
      <c r="DK111" s="265"/>
      <c r="DL111" s="265"/>
      <c r="DM111" s="265"/>
      <c r="DN111" s="265"/>
      <c r="DO111" s="265"/>
      <c r="DP111" s="265"/>
      <c r="DQ111" s="265"/>
      <c r="DR111" s="265"/>
      <c r="DS111" s="265"/>
      <c r="DT111" s="265"/>
      <c r="DU111" s="265"/>
      <c r="DV111" s="265"/>
      <c r="DW111" s="265"/>
      <c r="DX111" s="265"/>
      <c r="DY111" s="265"/>
      <c r="DZ111" s="265"/>
      <c r="EA111" s="265"/>
      <c r="EB111" s="265"/>
      <c r="EC111" s="265"/>
      <c r="ED111" s="265"/>
      <c r="EE111" s="265"/>
      <c r="EF111" s="265"/>
      <c r="EG111" s="265"/>
      <c r="EH111" s="265"/>
      <c r="EI111" s="265"/>
      <c r="EJ111" s="265"/>
      <c r="EK111" s="265"/>
      <c r="EL111" s="265"/>
      <c r="EM111" s="265"/>
      <c r="EN111" s="265"/>
      <c r="EO111" s="265"/>
      <c r="EP111" s="265"/>
      <c r="EQ111" s="264"/>
      <c r="ES111" s="355">
        <f t="shared" si="201"/>
        <v>106</v>
      </c>
      <c r="ET111"/>
      <c r="EU111"/>
      <c r="EV111"/>
      <c r="EW111"/>
      <c r="EX111"/>
      <c r="EY11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</row>
    <row r="112" spans="1:257" s="4" customFormat="1" hidden="1" outlineLevel="2">
      <c r="A112" s="15"/>
      <c r="B112" s="31" t="s">
        <v>188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200">
        <v>12397</v>
      </c>
      <c r="O112" s="200">
        <v>11436</v>
      </c>
      <c r="P112" s="200">
        <v>11635</v>
      </c>
      <c r="Q112" s="200">
        <v>15941</v>
      </c>
      <c r="R112" s="200">
        <v>22751</v>
      </c>
      <c r="S112" s="200">
        <v>23573</v>
      </c>
      <c r="T112" s="200">
        <v>24522</v>
      </c>
      <c r="U112" s="33">
        <f t="shared" ref="U112:AF112" si="369">(U116*1000000)/U109</f>
        <v>24686.934304442824</v>
      </c>
      <c r="V112" s="33">
        <f t="shared" si="369"/>
        <v>23164.723674411001</v>
      </c>
      <c r="W112" s="33">
        <f t="shared" si="369"/>
        <v>25809.210080508761</v>
      </c>
      <c r="X112" s="33">
        <f t="shared" si="369"/>
        <v>27737.315438962243</v>
      </c>
      <c r="Y112" s="33">
        <f t="shared" si="369"/>
        <v>28196.669656962313</v>
      </c>
      <c r="Z112" s="33">
        <f t="shared" si="369"/>
        <v>28194.372225203198</v>
      </c>
      <c r="AA112" s="33">
        <f t="shared" si="369"/>
        <v>27528.008343658552</v>
      </c>
      <c r="AB112" s="33">
        <f t="shared" si="369"/>
        <v>25448.108722690893</v>
      </c>
      <c r="AC112" s="33">
        <f t="shared" si="369"/>
        <v>22178.879096638655</v>
      </c>
      <c r="AD112" s="33">
        <f t="shared" si="369"/>
        <v>22286.630934032481</v>
      </c>
      <c r="AE112" s="33">
        <f t="shared" si="369"/>
        <v>23362.001186239624</v>
      </c>
      <c r="AF112" s="33">
        <f t="shared" si="369"/>
        <v>23259.615384615383</v>
      </c>
      <c r="AG112" s="32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184">
        <v>12386</v>
      </c>
      <c r="BT112" s="184">
        <v>11501</v>
      </c>
      <c r="BU112" s="270">
        <v>11688</v>
      </c>
      <c r="BV112" s="270">
        <v>11322</v>
      </c>
      <c r="BW112" s="270">
        <v>11428</v>
      </c>
      <c r="BX112" s="270">
        <v>11752</v>
      </c>
      <c r="BY112" s="270">
        <v>11236</v>
      </c>
      <c r="BZ112" s="270">
        <v>11255</v>
      </c>
      <c r="CA112" s="270">
        <v>11218</v>
      </c>
      <c r="CB112" s="270">
        <v>11537</v>
      </c>
      <c r="CC112" s="270">
        <v>12437</v>
      </c>
      <c r="CD112" s="270">
        <v>13363</v>
      </c>
      <c r="CE112" s="270">
        <v>15018</v>
      </c>
      <c r="CF112" s="270">
        <v>16658</v>
      </c>
      <c r="CG112" s="270">
        <v>18563</v>
      </c>
      <c r="CH112" s="270">
        <v>20198</v>
      </c>
      <c r="CI112" s="270">
        <v>22593</v>
      </c>
      <c r="CJ112" s="270">
        <v>23503</v>
      </c>
      <c r="CK112" s="270">
        <v>24343</v>
      </c>
      <c r="CL112" s="270">
        <v>24231</v>
      </c>
      <c r="CM112" s="270">
        <v>23032</v>
      </c>
      <c r="CN112" s="270">
        <v>23401</v>
      </c>
      <c r="CO112" s="270">
        <v>23666</v>
      </c>
      <c r="CP112" s="270">
        <v>24006</v>
      </c>
      <c r="CQ112" s="270">
        <v>24415</v>
      </c>
      <c r="CR112" s="270">
        <v>24543</v>
      </c>
      <c r="CS112" s="270">
        <v>25034</v>
      </c>
      <c r="CT112" s="270">
        <f>27066-1100</f>
        <v>25966</v>
      </c>
      <c r="CU112" s="270">
        <f>31384-6500</f>
        <v>24884</v>
      </c>
      <c r="CV112" s="270">
        <f>28325-4400</f>
        <v>23925</v>
      </c>
      <c r="CW112" s="270">
        <f>25895-2850</f>
        <v>23045</v>
      </c>
      <c r="CX112" s="270">
        <f>24113-1379</f>
        <v>22734</v>
      </c>
      <c r="CY112" s="270">
        <f>23382-800</f>
        <v>22582</v>
      </c>
      <c r="CZ112" s="270">
        <f>23690-700</f>
        <v>22990</v>
      </c>
      <c r="DA112" s="270">
        <f>24385-300</f>
        <v>24085</v>
      </c>
      <c r="DB112" s="270">
        <v>24952</v>
      </c>
      <c r="DC112" s="270">
        <v>25640</v>
      </c>
      <c r="DD112" s="270">
        <v>25970</v>
      </c>
      <c r="DE112" s="270">
        <v>26549</v>
      </c>
      <c r="DF112" s="200">
        <v>26861</v>
      </c>
      <c r="DG112" s="200">
        <v>27625</v>
      </c>
      <c r="DH112" s="200">
        <v>28096</v>
      </c>
      <c r="DI112" s="200">
        <v>28325</v>
      </c>
      <c r="DJ112" s="200">
        <v>28040</v>
      </c>
      <c r="DK112" s="200">
        <v>28255</v>
      </c>
      <c r="DL112" s="200">
        <v>28160</v>
      </c>
      <c r="DM112" s="200">
        <f>29058-730</f>
        <v>28328</v>
      </c>
      <c r="DN112" s="200">
        <v>28468</v>
      </c>
      <c r="DO112" s="200">
        <v>28037</v>
      </c>
      <c r="DP112" s="200">
        <v>28125.999999999993</v>
      </c>
      <c r="DQ112" s="200">
        <v>28164</v>
      </c>
      <c r="DR112" s="200">
        <v>28603</v>
      </c>
      <c r="DS112" s="200">
        <f>30988-3413</f>
        <v>27575</v>
      </c>
      <c r="DT112" s="200">
        <f>31959-5325</f>
        <v>26634</v>
      </c>
      <c r="DU112" s="200">
        <f>28700-2482</f>
        <v>26218</v>
      </c>
      <c r="DV112" s="200">
        <f>28651-2417</f>
        <v>26234</v>
      </c>
      <c r="DW112" s="200">
        <v>25931</v>
      </c>
      <c r="DX112" s="200">
        <v>24684</v>
      </c>
      <c r="DY112" s="200">
        <v>24404</v>
      </c>
      <c r="DZ112" s="200">
        <f>24788-897</f>
        <v>23891</v>
      </c>
      <c r="EA112" s="200">
        <f>22654-453</f>
        <v>22201</v>
      </c>
      <c r="EB112" s="200">
        <f>21986-310</f>
        <v>21676</v>
      </c>
      <c r="EC112" s="200">
        <f>21944-260</f>
        <v>21684</v>
      </c>
      <c r="ED112" s="200">
        <f>22400-233</f>
        <v>22167</v>
      </c>
      <c r="EE112" s="197">
        <f t="shared" ref="EE112:EP112" si="370">EE63</f>
        <v>22250</v>
      </c>
      <c r="EF112" s="197">
        <f t="shared" si="370"/>
        <v>22187.045454545456</v>
      </c>
      <c r="EG112" s="197">
        <f t="shared" si="370"/>
        <v>22516.847826086956</v>
      </c>
      <c r="EH112" s="197">
        <f t="shared" si="370"/>
        <v>22962.468085106382</v>
      </c>
      <c r="EI112" s="197">
        <f t="shared" si="370"/>
        <v>23577.5</v>
      </c>
      <c r="EJ112" s="197">
        <f t="shared" si="370"/>
        <v>23489.489795918369</v>
      </c>
      <c r="EK112" s="197">
        <f t="shared" si="370"/>
        <v>23411.599999999999</v>
      </c>
      <c r="EL112" s="197">
        <f t="shared" si="370"/>
        <v>23415.384615384617</v>
      </c>
      <c r="EM112" s="197">
        <f t="shared" si="370"/>
        <v>23311.538461538461</v>
      </c>
      <c r="EN112" s="197">
        <f t="shared" si="370"/>
        <v>23207.692307692309</v>
      </c>
      <c r="EO112" s="197">
        <f t="shared" si="370"/>
        <v>23103.846153846152</v>
      </c>
      <c r="EP112" s="197">
        <f t="shared" si="370"/>
        <v>23000</v>
      </c>
      <c r="EQ112" s="269"/>
      <c r="ES112" s="355">
        <f t="shared" si="201"/>
        <v>107</v>
      </c>
      <c r="ET112"/>
      <c r="EU112"/>
      <c r="EV112"/>
      <c r="EW112"/>
      <c r="EX112"/>
      <c r="EY112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</row>
    <row r="113" spans="1:257" s="4" customFormat="1" hidden="1" outlineLevel="2">
      <c r="A113" s="15"/>
      <c r="B113" s="268" t="s">
        <v>187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198">
        <v>8561</v>
      </c>
      <c r="O113" s="198">
        <v>8221</v>
      </c>
      <c r="P113" s="198">
        <v>8001</v>
      </c>
      <c r="Q113" s="198">
        <v>8403</v>
      </c>
      <c r="R113" s="198">
        <v>10250</v>
      </c>
      <c r="S113" s="198">
        <v>11170</v>
      </c>
      <c r="T113" s="198">
        <v>11393</v>
      </c>
      <c r="U113" s="32">
        <f t="shared" ref="U113:AF113" si="371">(U124-U118)*1000000/U109</f>
        <v>12008.906461346374</v>
      </c>
      <c r="V113" s="32">
        <f t="shared" si="371"/>
        <v>12287.914842600498</v>
      </c>
      <c r="W113" s="32">
        <f t="shared" si="371"/>
        <v>12489.452675732358</v>
      </c>
      <c r="X113" s="32">
        <f t="shared" si="371"/>
        <v>13022.527217975443</v>
      </c>
      <c r="Y113" s="32">
        <f t="shared" si="371"/>
        <v>13027.454299255251</v>
      </c>
      <c r="Z113" s="32">
        <f t="shared" si="371"/>
        <v>13054.81031022079</v>
      </c>
      <c r="AA113" s="32">
        <f t="shared" si="371"/>
        <v>13482.930429968628</v>
      </c>
      <c r="AB113" s="32">
        <f t="shared" si="371"/>
        <v>13368.972961280553</v>
      </c>
      <c r="AC113" s="32">
        <f t="shared" si="371"/>
        <v>14611.646358543419</v>
      </c>
      <c r="AD113" s="32">
        <f t="shared" si="371"/>
        <v>13670.26762839639</v>
      </c>
      <c r="AE113" s="32">
        <f t="shared" si="371"/>
        <v>13500</v>
      </c>
      <c r="AF113" s="32">
        <f t="shared" si="371"/>
        <v>13500</v>
      </c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>
        <f>BS112-BS114</f>
        <v>8841</v>
      </c>
      <c r="BT113" s="32">
        <f>BT112-BT114</f>
        <v>8111</v>
      </c>
      <c r="BU113" s="198">
        <v>8564</v>
      </c>
      <c r="BV113" s="198">
        <v>8693</v>
      </c>
      <c r="BW113" s="198">
        <v>8390</v>
      </c>
      <c r="BX113" s="198">
        <v>8080</v>
      </c>
      <c r="BY113" s="198">
        <v>7837</v>
      </c>
      <c r="BZ113" s="198">
        <v>7841</v>
      </c>
      <c r="CA113" s="198">
        <v>8032</v>
      </c>
      <c r="CB113" s="198">
        <v>7893</v>
      </c>
      <c r="CC113" s="198">
        <v>8214</v>
      </c>
      <c r="CD113" s="198">
        <v>7800</v>
      </c>
      <c r="CE113" s="198">
        <v>8074</v>
      </c>
      <c r="CF113" s="198">
        <v>8439</v>
      </c>
      <c r="CG113" s="198">
        <v>9246</v>
      </c>
      <c r="CH113" s="198">
        <v>9179</v>
      </c>
      <c r="CI113" s="198">
        <v>10026</v>
      </c>
      <c r="CJ113" s="198">
        <v>10565</v>
      </c>
      <c r="CK113" s="198">
        <v>11055</v>
      </c>
      <c r="CL113" s="198">
        <v>10717</v>
      </c>
      <c r="CM113" s="198">
        <v>10774</v>
      </c>
      <c r="CN113" s="198">
        <v>11619</v>
      </c>
      <c r="CO113" s="198">
        <v>11445</v>
      </c>
      <c r="CP113" s="198">
        <v>10895</v>
      </c>
      <c r="CQ113" s="198">
        <v>11557</v>
      </c>
      <c r="CR113" s="198">
        <v>11178</v>
      </c>
      <c r="CS113" s="198">
        <v>11871</v>
      </c>
      <c r="CT113" s="198">
        <v>12246</v>
      </c>
      <c r="CU113" s="198">
        <v>12030</v>
      </c>
      <c r="CV113" s="198">
        <v>12273</v>
      </c>
      <c r="CW113" s="198">
        <v>11344</v>
      </c>
      <c r="CX113" s="198">
        <v>11083</v>
      </c>
      <c r="CY113" s="198">
        <v>12095</v>
      </c>
      <c r="CZ113" s="198">
        <v>12539</v>
      </c>
      <c r="DA113" s="198">
        <v>13054</v>
      </c>
      <c r="DB113" s="198">
        <v>11932</v>
      </c>
      <c r="DC113" s="198">
        <v>12457</v>
      </c>
      <c r="DD113" s="198">
        <v>12748</v>
      </c>
      <c r="DE113" s="198">
        <v>12935</v>
      </c>
      <c r="DF113" s="198">
        <v>12292</v>
      </c>
      <c r="DG113" s="198">
        <v>13826</v>
      </c>
      <c r="DH113" s="198">
        <v>13337</v>
      </c>
      <c r="DI113" s="198">
        <v>12620</v>
      </c>
      <c r="DJ113" s="198">
        <v>12634</v>
      </c>
      <c r="DK113" s="198">
        <v>13085</v>
      </c>
      <c r="DL113" s="198">
        <v>12746</v>
      </c>
      <c r="DM113" s="198">
        <v>13638</v>
      </c>
      <c r="DN113" s="198">
        <v>12934</v>
      </c>
      <c r="DO113" s="198">
        <v>13080</v>
      </c>
      <c r="DP113" s="198">
        <v>13035</v>
      </c>
      <c r="DQ113" s="198">
        <v>13170</v>
      </c>
      <c r="DR113" s="198">
        <v>13046</v>
      </c>
      <c r="DS113" s="198">
        <v>13395</v>
      </c>
      <c r="DT113" s="198">
        <v>14130</v>
      </c>
      <c r="DU113" s="198">
        <v>13823</v>
      </c>
      <c r="DV113" s="198">
        <v>12890</v>
      </c>
      <c r="DW113" s="198">
        <f>14139-110</f>
        <v>14029</v>
      </c>
      <c r="DX113" s="198">
        <f>13780-363</f>
        <v>13417</v>
      </c>
      <c r="DY113" s="198">
        <v>13326</v>
      </c>
      <c r="DZ113" s="198">
        <v>15064</v>
      </c>
      <c r="EA113" s="198">
        <v>15612</v>
      </c>
      <c r="EB113" s="198">
        <v>14256</v>
      </c>
      <c r="EC113" s="198">
        <v>13905</v>
      </c>
      <c r="ED113" s="198">
        <v>13546</v>
      </c>
      <c r="EE113" s="197">
        <f t="shared" ref="EE113:EP113" si="372">EE64</f>
        <v>13900</v>
      </c>
      <c r="EF113" s="197">
        <f t="shared" si="372"/>
        <v>13750</v>
      </c>
      <c r="EG113" s="197">
        <f t="shared" si="372"/>
        <v>13500</v>
      </c>
      <c r="EH113" s="197">
        <f t="shared" si="372"/>
        <v>13500</v>
      </c>
      <c r="EI113" s="197">
        <f t="shared" si="372"/>
        <v>13500</v>
      </c>
      <c r="EJ113" s="197">
        <f t="shared" si="372"/>
        <v>13500</v>
      </c>
      <c r="EK113" s="197">
        <f t="shared" si="372"/>
        <v>13500</v>
      </c>
      <c r="EL113" s="197">
        <f t="shared" si="372"/>
        <v>13500</v>
      </c>
      <c r="EM113" s="197">
        <f t="shared" si="372"/>
        <v>13500</v>
      </c>
      <c r="EN113" s="197">
        <f t="shared" si="372"/>
        <v>13500</v>
      </c>
      <c r="EO113" s="197">
        <f t="shared" si="372"/>
        <v>13500</v>
      </c>
      <c r="EP113" s="197">
        <f t="shared" si="372"/>
        <v>13500</v>
      </c>
      <c r="ES113" s="355">
        <f t="shared" si="201"/>
        <v>108</v>
      </c>
      <c r="ET113"/>
      <c r="EU113"/>
      <c r="EV113"/>
      <c r="EW113"/>
      <c r="EX113"/>
      <c r="EY113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</row>
    <row r="114" spans="1:257" s="4" customFormat="1" hidden="1" outlineLevel="2">
      <c r="A114" s="15"/>
      <c r="B114" s="267" t="s">
        <v>186</v>
      </c>
      <c r="C114" s="195"/>
      <c r="D114" s="195"/>
      <c r="E114" s="266"/>
      <c r="F114" s="266"/>
      <c r="G114" s="266"/>
      <c r="H114" s="266"/>
      <c r="I114" s="266"/>
      <c r="J114" s="266"/>
      <c r="K114" s="266"/>
      <c r="L114" s="266"/>
      <c r="M114" s="195"/>
      <c r="N114" s="195">
        <f t="shared" ref="N114:AF114" si="373">N112-N113</f>
        <v>3836</v>
      </c>
      <c r="O114" s="195">
        <f t="shared" si="373"/>
        <v>3215</v>
      </c>
      <c r="P114" s="195">
        <f t="shared" si="373"/>
        <v>3634</v>
      </c>
      <c r="Q114" s="195">
        <f t="shared" si="373"/>
        <v>7538</v>
      </c>
      <c r="R114" s="195">
        <f t="shared" si="373"/>
        <v>12501</v>
      </c>
      <c r="S114" s="195">
        <f t="shared" si="373"/>
        <v>12403</v>
      </c>
      <c r="T114" s="195">
        <f t="shared" si="373"/>
        <v>13129</v>
      </c>
      <c r="U114" s="195">
        <f t="shared" si="373"/>
        <v>12678.02784309645</v>
      </c>
      <c r="V114" s="195">
        <f t="shared" si="373"/>
        <v>10876.808831810504</v>
      </c>
      <c r="W114" s="195">
        <f t="shared" si="373"/>
        <v>13319.757404776403</v>
      </c>
      <c r="X114" s="195">
        <f t="shared" si="373"/>
        <v>14714.7882209868</v>
      </c>
      <c r="Y114" s="195">
        <f t="shared" si="373"/>
        <v>15169.215357707062</v>
      </c>
      <c r="Z114" s="195">
        <f t="shared" si="373"/>
        <v>15139.561914982409</v>
      </c>
      <c r="AA114" s="195">
        <f t="shared" si="373"/>
        <v>14045.077913689924</v>
      </c>
      <c r="AB114" s="195">
        <f t="shared" si="373"/>
        <v>12079.13576141034</v>
      </c>
      <c r="AC114" s="195">
        <f t="shared" si="373"/>
        <v>7567.2327380952356</v>
      </c>
      <c r="AD114" s="195">
        <f t="shared" si="373"/>
        <v>8616.3633056360904</v>
      </c>
      <c r="AE114" s="195">
        <f t="shared" si="373"/>
        <v>9862.0011862396241</v>
      </c>
      <c r="AF114" s="195">
        <f t="shared" si="373"/>
        <v>9759.6153846153829</v>
      </c>
      <c r="AG114" s="32"/>
      <c r="AH114" s="195"/>
      <c r="AI114" s="195"/>
      <c r="AJ114" s="195"/>
      <c r="AK114" s="195"/>
      <c r="AL114" s="195"/>
      <c r="AM114" s="195"/>
      <c r="AN114" s="195"/>
      <c r="AO114" s="195"/>
      <c r="AP114" s="195"/>
      <c r="AQ114" s="195"/>
      <c r="AR114" s="195"/>
      <c r="AS114" s="195"/>
      <c r="AT114" s="195"/>
      <c r="AU114" s="195"/>
      <c r="AV114" s="195"/>
      <c r="AW114" s="195"/>
      <c r="AX114" s="195"/>
      <c r="AY114" s="195"/>
      <c r="AZ114" s="195"/>
      <c r="BA114" s="195"/>
      <c r="BB114" s="195"/>
      <c r="BC114" s="195"/>
      <c r="BD114" s="195"/>
      <c r="BE114" s="195"/>
      <c r="BF114" s="195"/>
      <c r="BG114" s="195"/>
      <c r="BH114" s="195"/>
      <c r="BI114" s="195"/>
      <c r="BJ114" s="195"/>
      <c r="BK114" s="195"/>
      <c r="BL114" s="195"/>
      <c r="BM114" s="195"/>
      <c r="BN114" s="195"/>
      <c r="BO114" s="195">
        <v>4797</v>
      </c>
      <c r="BP114" s="195">
        <v>7064</v>
      </c>
      <c r="BQ114" s="195">
        <v>7412</v>
      </c>
      <c r="BR114" s="195">
        <v>5917</v>
      </c>
      <c r="BS114" s="195">
        <v>3545</v>
      </c>
      <c r="BT114" s="195">
        <v>3390</v>
      </c>
      <c r="BU114" s="195">
        <f t="shared" ref="BU114:DF114" si="374">BU112-BU113</f>
        <v>3124</v>
      </c>
      <c r="BV114" s="195">
        <f t="shared" si="374"/>
        <v>2629</v>
      </c>
      <c r="BW114" s="195">
        <f t="shared" si="374"/>
        <v>3038</v>
      </c>
      <c r="BX114" s="195">
        <f t="shared" si="374"/>
        <v>3672</v>
      </c>
      <c r="BY114" s="195">
        <f t="shared" si="374"/>
        <v>3399</v>
      </c>
      <c r="BZ114" s="195">
        <f t="shared" si="374"/>
        <v>3414</v>
      </c>
      <c r="CA114" s="195">
        <f t="shared" si="374"/>
        <v>3186</v>
      </c>
      <c r="CB114" s="195">
        <f t="shared" si="374"/>
        <v>3644</v>
      </c>
      <c r="CC114" s="195">
        <f t="shared" si="374"/>
        <v>4223</v>
      </c>
      <c r="CD114" s="195">
        <f t="shared" si="374"/>
        <v>5563</v>
      </c>
      <c r="CE114" s="195">
        <f t="shared" si="374"/>
        <v>6944</v>
      </c>
      <c r="CF114" s="195">
        <f t="shared" si="374"/>
        <v>8219</v>
      </c>
      <c r="CG114" s="195">
        <f t="shared" si="374"/>
        <v>9317</v>
      </c>
      <c r="CH114" s="195">
        <f t="shared" si="374"/>
        <v>11019</v>
      </c>
      <c r="CI114" s="195">
        <f t="shared" si="374"/>
        <v>12567</v>
      </c>
      <c r="CJ114" s="195">
        <f t="shared" si="374"/>
        <v>12938</v>
      </c>
      <c r="CK114" s="195">
        <f t="shared" si="374"/>
        <v>13288</v>
      </c>
      <c r="CL114" s="195">
        <f t="shared" si="374"/>
        <v>13514</v>
      </c>
      <c r="CM114" s="195">
        <f t="shared" si="374"/>
        <v>12258</v>
      </c>
      <c r="CN114" s="195">
        <f t="shared" si="374"/>
        <v>11782</v>
      </c>
      <c r="CO114" s="195">
        <f t="shared" si="374"/>
        <v>12221</v>
      </c>
      <c r="CP114" s="195">
        <f t="shared" si="374"/>
        <v>13111</v>
      </c>
      <c r="CQ114" s="195">
        <f t="shared" si="374"/>
        <v>12858</v>
      </c>
      <c r="CR114" s="195">
        <f t="shared" si="374"/>
        <v>13365</v>
      </c>
      <c r="CS114" s="195">
        <f t="shared" si="374"/>
        <v>13163</v>
      </c>
      <c r="CT114" s="195">
        <f t="shared" si="374"/>
        <v>13720</v>
      </c>
      <c r="CU114" s="195">
        <f t="shared" si="374"/>
        <v>12854</v>
      </c>
      <c r="CV114" s="195">
        <f t="shared" si="374"/>
        <v>11652</v>
      </c>
      <c r="CW114" s="195">
        <f t="shared" si="374"/>
        <v>11701</v>
      </c>
      <c r="CX114" s="195">
        <f t="shared" si="374"/>
        <v>11651</v>
      </c>
      <c r="CY114" s="195">
        <f t="shared" si="374"/>
        <v>10487</v>
      </c>
      <c r="CZ114" s="195">
        <f t="shared" si="374"/>
        <v>10451</v>
      </c>
      <c r="DA114" s="195">
        <f t="shared" si="374"/>
        <v>11031</v>
      </c>
      <c r="DB114" s="195">
        <f t="shared" si="374"/>
        <v>13020</v>
      </c>
      <c r="DC114" s="195">
        <f t="shared" si="374"/>
        <v>13183</v>
      </c>
      <c r="DD114" s="195">
        <f t="shared" si="374"/>
        <v>13222</v>
      </c>
      <c r="DE114" s="195">
        <f t="shared" si="374"/>
        <v>13614</v>
      </c>
      <c r="DF114" s="195">
        <f t="shared" si="374"/>
        <v>14569</v>
      </c>
      <c r="DG114" s="195">
        <v>13799</v>
      </c>
      <c r="DH114" s="195">
        <f t="shared" ref="DH114:EP114" si="375">DH112-DH113</f>
        <v>14759</v>
      </c>
      <c r="DI114" s="195">
        <f t="shared" si="375"/>
        <v>15705</v>
      </c>
      <c r="DJ114" s="195">
        <f t="shared" si="375"/>
        <v>15406</v>
      </c>
      <c r="DK114" s="195">
        <f t="shared" si="375"/>
        <v>15170</v>
      </c>
      <c r="DL114" s="195">
        <f t="shared" si="375"/>
        <v>15414</v>
      </c>
      <c r="DM114" s="195">
        <f t="shared" si="375"/>
        <v>14690</v>
      </c>
      <c r="DN114" s="195">
        <f t="shared" si="375"/>
        <v>15534</v>
      </c>
      <c r="DO114" s="195">
        <f t="shared" si="375"/>
        <v>14957</v>
      </c>
      <c r="DP114" s="195">
        <f t="shared" si="375"/>
        <v>15090.999999999993</v>
      </c>
      <c r="DQ114" s="195">
        <f t="shared" si="375"/>
        <v>14994</v>
      </c>
      <c r="DR114" s="195">
        <f t="shared" si="375"/>
        <v>15557</v>
      </c>
      <c r="DS114" s="195">
        <f t="shared" si="375"/>
        <v>14180</v>
      </c>
      <c r="DT114" s="195">
        <f t="shared" si="375"/>
        <v>12504</v>
      </c>
      <c r="DU114" s="195">
        <f t="shared" si="375"/>
        <v>12395</v>
      </c>
      <c r="DV114" s="195">
        <f t="shared" si="375"/>
        <v>13344</v>
      </c>
      <c r="DW114" s="195">
        <f t="shared" si="375"/>
        <v>11902</v>
      </c>
      <c r="DX114" s="195">
        <f t="shared" si="375"/>
        <v>11267</v>
      </c>
      <c r="DY114" s="195">
        <f t="shared" si="375"/>
        <v>11078</v>
      </c>
      <c r="DZ114" s="195">
        <f t="shared" si="375"/>
        <v>8827</v>
      </c>
      <c r="EA114" s="195">
        <f t="shared" si="375"/>
        <v>6589</v>
      </c>
      <c r="EB114" s="195">
        <f t="shared" si="375"/>
        <v>7420</v>
      </c>
      <c r="EC114" s="195">
        <f t="shared" si="375"/>
        <v>7779</v>
      </c>
      <c r="ED114" s="195">
        <f t="shared" si="375"/>
        <v>8621</v>
      </c>
      <c r="EE114" s="195">
        <f t="shared" si="375"/>
        <v>8350</v>
      </c>
      <c r="EF114" s="195">
        <f t="shared" si="375"/>
        <v>8437.0454545454559</v>
      </c>
      <c r="EG114" s="195">
        <f t="shared" si="375"/>
        <v>9016.847826086956</v>
      </c>
      <c r="EH114" s="195">
        <f t="shared" si="375"/>
        <v>9462.4680851063822</v>
      </c>
      <c r="EI114" s="195">
        <f t="shared" si="375"/>
        <v>10077.5</v>
      </c>
      <c r="EJ114" s="195">
        <f t="shared" si="375"/>
        <v>9989.4897959183691</v>
      </c>
      <c r="EK114" s="195">
        <f t="shared" si="375"/>
        <v>9911.5999999999985</v>
      </c>
      <c r="EL114" s="195">
        <f t="shared" si="375"/>
        <v>9915.3846153846171</v>
      </c>
      <c r="EM114" s="195">
        <f t="shared" si="375"/>
        <v>9811.538461538461</v>
      </c>
      <c r="EN114" s="195">
        <f t="shared" si="375"/>
        <v>9707.6923076923085</v>
      </c>
      <c r="EO114" s="195">
        <f t="shared" si="375"/>
        <v>9603.8461538461524</v>
      </c>
      <c r="EP114" s="195">
        <f t="shared" si="375"/>
        <v>9500</v>
      </c>
      <c r="ES114" s="355">
        <f t="shared" si="201"/>
        <v>109</v>
      </c>
      <c r="ET114"/>
      <c r="EU114"/>
      <c r="EV114"/>
      <c r="EW114"/>
      <c r="EX114"/>
      <c r="EY114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</row>
    <row r="115" spans="1:257" s="4" customFormat="1" hidden="1" outlineLevel="2">
      <c r="A115" s="15"/>
      <c r="B115" s="6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  <c r="AG115" s="17"/>
      <c r="AH115" s="208"/>
      <c r="AI115" s="265"/>
      <c r="AJ115" s="265"/>
      <c r="AK115" s="265"/>
      <c r="AL115" s="265"/>
      <c r="AM115" s="265"/>
      <c r="AN115" s="265"/>
      <c r="AO115" s="265"/>
      <c r="AP115" s="265"/>
      <c r="AQ115" s="265"/>
      <c r="AR115" s="265"/>
      <c r="AS115" s="265"/>
      <c r="AT115" s="265"/>
      <c r="AU115" s="265"/>
      <c r="AV115" s="265"/>
      <c r="AW115" s="265"/>
      <c r="AX115" s="265"/>
      <c r="AY115" s="265"/>
      <c r="AZ115" s="265"/>
      <c r="BA115" s="265"/>
      <c r="BB115" s="265"/>
      <c r="BC115" s="265"/>
      <c r="BD115" s="265"/>
      <c r="BE115" s="265"/>
      <c r="BF115" s="265"/>
      <c r="BG115" s="265"/>
      <c r="BH115" s="265"/>
      <c r="BI115" s="265"/>
      <c r="BJ115" s="265"/>
      <c r="BK115" s="265"/>
      <c r="BL115" s="265"/>
      <c r="BM115" s="265"/>
      <c r="BN115" s="265"/>
      <c r="BO115" s="265"/>
      <c r="BP115" s="265"/>
      <c r="BQ115" s="265"/>
      <c r="BR115" s="265"/>
      <c r="BS115" s="265"/>
      <c r="BT115" s="265"/>
      <c r="BU115" s="265"/>
      <c r="BV115" s="265"/>
      <c r="BW115" s="265"/>
      <c r="BX115" s="265"/>
      <c r="BY115" s="265"/>
      <c r="BZ115" s="265"/>
      <c r="CA115" s="265"/>
      <c r="CB115" s="265"/>
      <c r="CC115" s="265"/>
      <c r="CD115" s="265"/>
      <c r="CE115" s="265"/>
      <c r="CF115" s="265"/>
      <c r="CG115" s="265"/>
      <c r="CH115" s="265"/>
      <c r="CI115" s="265"/>
      <c r="CJ115" s="265"/>
      <c r="CK115" s="265"/>
      <c r="CL115" s="265"/>
      <c r="CM115" s="265"/>
      <c r="CN115" s="265"/>
      <c r="CO115" s="265"/>
      <c r="CP115" s="265"/>
      <c r="CQ115" s="265"/>
      <c r="CR115" s="265"/>
      <c r="CS115" s="265"/>
      <c r="CT115" s="265"/>
      <c r="CU115" s="265"/>
      <c r="CV115" s="265"/>
      <c r="CW115" s="265"/>
      <c r="CX115" s="265"/>
      <c r="CY115" s="265"/>
      <c r="CZ115" s="265"/>
      <c r="DA115" s="265"/>
      <c r="DB115" s="265"/>
      <c r="DC115" s="265"/>
      <c r="DD115" s="265"/>
      <c r="DE115" s="265"/>
      <c r="DF115" s="265"/>
      <c r="DG115" s="265"/>
      <c r="DH115" s="265"/>
      <c r="DI115" s="265"/>
      <c r="DJ115" s="265"/>
      <c r="DK115" s="265"/>
      <c r="DL115" s="265"/>
      <c r="DM115" s="265"/>
      <c r="DN115" s="265"/>
      <c r="DO115" s="265"/>
      <c r="DP115" s="265"/>
      <c r="DQ115" s="265"/>
      <c r="DR115" s="265"/>
      <c r="DS115" s="265"/>
      <c r="DT115" s="265"/>
      <c r="DU115" s="265"/>
      <c r="DV115" s="265"/>
      <c r="DW115" s="265"/>
      <c r="DX115" s="265"/>
      <c r="DY115" s="265"/>
      <c r="DZ115" s="265"/>
      <c r="EA115" s="265"/>
      <c r="EB115" s="358"/>
      <c r="EC115" s="358"/>
      <c r="ED115" s="358"/>
      <c r="EE115" s="265"/>
      <c r="EF115" s="265"/>
      <c r="EG115" s="265"/>
      <c r="EH115" s="265"/>
      <c r="EI115" s="265"/>
      <c r="EJ115" s="265"/>
      <c r="EK115" s="265"/>
      <c r="EL115" s="265"/>
      <c r="EM115" s="265"/>
      <c r="EN115" s="265"/>
      <c r="EO115" s="265"/>
      <c r="EP115" s="265"/>
      <c r="EQ115" s="264"/>
      <c r="ES115" s="355">
        <f t="shared" si="201"/>
        <v>110</v>
      </c>
      <c r="ET115"/>
      <c r="EU115"/>
      <c r="EV115"/>
      <c r="EW115"/>
      <c r="EX115"/>
      <c r="EY115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</row>
    <row r="116" spans="1:257" s="10" customFormat="1" hidden="1" outlineLevel="2">
      <c r="A116" s="9"/>
      <c r="B116" s="65" t="s">
        <v>163</v>
      </c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>
        <f t="shared" ref="N116:W120" si="376">SUMIF($AH$5:$ER$5,N$5,$AH116:$ER116)</f>
        <v>56.546543999999997</v>
      </c>
      <c r="O116" s="34">
        <f t="shared" si="376"/>
        <v>258.30919399999999</v>
      </c>
      <c r="P116" s="34">
        <f t="shared" si="376"/>
        <v>319.64440200000001</v>
      </c>
      <c r="Q116" s="34">
        <f t="shared" si="376"/>
        <v>493.64509399999997</v>
      </c>
      <c r="R116" s="34">
        <f t="shared" si="376"/>
        <v>782.962987</v>
      </c>
      <c r="S116" s="34">
        <f t="shared" si="376"/>
        <v>1115.9095090000001</v>
      </c>
      <c r="T116" s="34">
        <f t="shared" si="376"/>
        <v>1466.5289990000001</v>
      </c>
      <c r="U116" s="34">
        <f t="shared" si="376"/>
        <v>1186.3306279999999</v>
      </c>
      <c r="V116" s="34">
        <f t="shared" si="376"/>
        <v>1275.241203</v>
      </c>
      <c r="W116" s="34">
        <f t="shared" si="376"/>
        <v>1907.4296710000001</v>
      </c>
      <c r="X116" s="34">
        <f t="shared" ref="X116:AF120" si="377">SUMIF($AH$5:$ER$5,X$5,$AH116:$ER116)</f>
        <v>2394.8398149999998</v>
      </c>
      <c r="Y116" s="34">
        <f t="shared" si="377"/>
        <v>2498.788865</v>
      </c>
      <c r="Z116" s="34">
        <f t="shared" si="377"/>
        <v>2837.4252319999996</v>
      </c>
      <c r="AA116" s="34">
        <f t="shared" si="377"/>
        <v>2088.4398809999998</v>
      </c>
      <c r="AB116" s="34">
        <f t="shared" si="377"/>
        <v>941.17285300000003</v>
      </c>
      <c r="AC116" s="34">
        <f t="shared" si="377"/>
        <v>1266.8575739999999</v>
      </c>
      <c r="AD116" s="34">
        <f t="shared" si="377"/>
        <v>1741.33303525</v>
      </c>
      <c r="AE116" s="34">
        <f t="shared" si="377"/>
        <v>2067.8875350000003</v>
      </c>
      <c r="AF116" s="34">
        <f t="shared" si="377"/>
        <v>2213.3850000000002</v>
      </c>
      <c r="AG116" s="5"/>
      <c r="AH116" s="208"/>
      <c r="AI116" s="208"/>
      <c r="AJ116" s="208"/>
      <c r="AK116" s="208"/>
      <c r="AL116" s="208"/>
      <c r="AM116" s="208"/>
      <c r="AN116" s="208"/>
      <c r="AO116" s="208"/>
      <c r="AP116" s="208"/>
      <c r="AQ116" s="208"/>
      <c r="AR116" s="208"/>
      <c r="AS116" s="208"/>
      <c r="AT116" s="208"/>
      <c r="AU116" s="208"/>
      <c r="AV116" s="208"/>
      <c r="AW116" s="208"/>
      <c r="AX116" s="208"/>
      <c r="AY116" s="208"/>
      <c r="AZ116" s="208"/>
      <c r="BA116" s="208"/>
      <c r="BB116" s="209"/>
      <c r="BC116" s="208"/>
      <c r="BD116" s="208"/>
      <c r="BE116" s="208"/>
      <c r="BF116" s="202"/>
      <c r="BG116" s="202"/>
      <c r="BH116" s="202"/>
      <c r="BI116" s="202"/>
      <c r="BJ116" s="202"/>
      <c r="BK116" s="202"/>
      <c r="BL116" s="202"/>
      <c r="BM116" s="202"/>
      <c r="BN116" s="202"/>
      <c r="BO116" s="202"/>
      <c r="BP116" s="202"/>
      <c r="BQ116" s="202"/>
      <c r="BR116" s="202"/>
      <c r="BS116" s="34"/>
      <c r="BT116" s="34"/>
      <c r="BU116" s="184">
        <f t="shared" ref="BU116:CZ116" si="378">BU109*BU112/1000000</f>
        <v>56.546543999999997</v>
      </c>
      <c r="BV116" s="184">
        <f t="shared" si="378"/>
        <v>56.779829999999997</v>
      </c>
      <c r="BW116" s="184">
        <f t="shared" si="378"/>
        <v>61.219796000000002</v>
      </c>
      <c r="BX116" s="184">
        <f t="shared" si="378"/>
        <v>69.477823999999998</v>
      </c>
      <c r="BY116" s="184">
        <f t="shared" si="378"/>
        <v>70.831744</v>
      </c>
      <c r="BZ116" s="184">
        <f t="shared" si="378"/>
        <v>70.681399999999996</v>
      </c>
      <c r="CA116" s="184">
        <f t="shared" si="378"/>
        <v>75.811244000000002</v>
      </c>
      <c r="CB116" s="184">
        <f t="shared" si="378"/>
        <v>81.578126999999995</v>
      </c>
      <c r="CC116" s="184">
        <f t="shared" si="378"/>
        <v>91.573631000000006</v>
      </c>
      <c r="CD116" s="184">
        <f t="shared" si="378"/>
        <v>101.398444</v>
      </c>
      <c r="CE116" s="184">
        <f t="shared" si="378"/>
        <v>113.971602</v>
      </c>
      <c r="CF116" s="184">
        <f t="shared" si="378"/>
        <v>129.88242600000001</v>
      </c>
      <c r="CG116" s="184">
        <f t="shared" si="378"/>
        <v>148.39262199999999</v>
      </c>
      <c r="CH116" s="184">
        <f t="shared" si="378"/>
        <v>162.29093</v>
      </c>
      <c r="CI116" s="184">
        <f t="shared" si="378"/>
        <v>182.68699799999999</v>
      </c>
      <c r="CJ116" s="184">
        <f t="shared" si="378"/>
        <v>204.852148</v>
      </c>
      <c r="CK116" s="184">
        <f t="shared" si="378"/>
        <v>233.13291100000001</v>
      </c>
      <c r="CL116" s="184">
        <f t="shared" si="378"/>
        <v>255.58858799999999</v>
      </c>
      <c r="CM116" s="184">
        <f t="shared" si="378"/>
        <v>256.94499200000001</v>
      </c>
      <c r="CN116" s="184">
        <f t="shared" si="378"/>
        <v>289.49377099999998</v>
      </c>
      <c r="CO116" s="184">
        <f t="shared" si="378"/>
        <v>313.882158</v>
      </c>
      <c r="CP116" s="184">
        <f t="shared" si="378"/>
        <v>333.37132200000002</v>
      </c>
      <c r="CQ116" s="184">
        <f t="shared" si="378"/>
        <v>348.45087999999998</v>
      </c>
      <c r="CR116" s="184">
        <f t="shared" si="378"/>
        <v>374.59980899999999</v>
      </c>
      <c r="CS116" s="184">
        <f t="shared" si="378"/>
        <v>410.106988</v>
      </c>
      <c r="CT116" s="184">
        <f t="shared" si="378"/>
        <v>423.81705199999999</v>
      </c>
      <c r="CU116" s="184">
        <f t="shared" si="378"/>
        <v>311.771636</v>
      </c>
      <c r="CV116" s="184">
        <f t="shared" si="378"/>
        <v>222.55035000000001</v>
      </c>
      <c r="CW116" s="184">
        <f t="shared" si="378"/>
        <v>228.19158999999999</v>
      </c>
      <c r="CX116" s="184">
        <f t="shared" si="378"/>
        <v>255.98483999999999</v>
      </c>
      <c r="CY116" s="184">
        <f t="shared" si="378"/>
        <v>296.14034800000002</v>
      </c>
      <c r="CZ116" s="184">
        <f t="shared" si="378"/>
        <v>330.45826</v>
      </c>
      <c r="DA116" s="184">
        <f t="shared" ref="DA116:EF116" si="379">DA109*DA112/1000000</f>
        <v>392.65775500000001</v>
      </c>
      <c r="DB116" s="184">
        <f t="shared" si="379"/>
        <v>430.39704799999998</v>
      </c>
      <c r="DC116" s="184">
        <f t="shared" si="379"/>
        <v>456.31508000000002</v>
      </c>
      <c r="DD116" s="184">
        <f t="shared" si="379"/>
        <v>491.14463999999998</v>
      </c>
      <c r="DE116" s="184">
        <f t="shared" si="379"/>
        <v>529.572903</v>
      </c>
      <c r="DF116" s="184">
        <f t="shared" si="379"/>
        <v>563.22144800000001</v>
      </c>
      <c r="DG116" s="184">
        <f t="shared" si="379"/>
        <v>592.39049999999997</v>
      </c>
      <c r="DH116" s="184">
        <f t="shared" si="379"/>
        <v>617.46579199999996</v>
      </c>
      <c r="DI116" s="184">
        <f t="shared" si="379"/>
        <v>621.76207499999998</v>
      </c>
      <c r="DJ116" s="184">
        <f t="shared" si="379"/>
        <v>609.67372</v>
      </c>
      <c r="DK116" s="184">
        <f t="shared" si="379"/>
        <v>617.28698499999996</v>
      </c>
      <c r="DL116" s="184">
        <f t="shared" si="379"/>
        <v>633.88160000000005</v>
      </c>
      <c r="DM116" s="184">
        <f t="shared" si="379"/>
        <v>637.94655999999998</v>
      </c>
      <c r="DN116" s="184">
        <f t="shared" si="379"/>
        <v>667.97315200000003</v>
      </c>
      <c r="DO116" s="184">
        <f t="shared" si="379"/>
        <v>681.29909999999995</v>
      </c>
      <c r="DP116" s="184">
        <f t="shared" si="379"/>
        <v>733.01981199999977</v>
      </c>
      <c r="DQ116" s="184">
        <f t="shared" si="379"/>
        <v>755.13316799999996</v>
      </c>
      <c r="DR116" s="184">
        <f t="shared" si="379"/>
        <v>782.43506500000001</v>
      </c>
      <c r="DS116" s="184">
        <f t="shared" si="379"/>
        <v>573.61514999999997</v>
      </c>
      <c r="DT116" s="184">
        <f t="shared" si="379"/>
        <v>378.70884599999999</v>
      </c>
      <c r="DU116" s="184">
        <f t="shared" si="379"/>
        <v>353.68081999999998</v>
      </c>
      <c r="DV116" s="184">
        <f t="shared" si="379"/>
        <v>313.36513000000002</v>
      </c>
      <c r="DW116" s="184">
        <f t="shared" si="379"/>
        <v>248.96353099999999</v>
      </c>
      <c r="DX116" s="184">
        <f t="shared" si="379"/>
        <v>184.71037200000001</v>
      </c>
      <c r="DY116" s="184">
        <f t="shared" si="379"/>
        <v>194.13381999999999</v>
      </c>
      <c r="DZ116" s="184">
        <f t="shared" si="379"/>
        <v>233.74954399999999</v>
      </c>
      <c r="EA116" s="184">
        <f t="shared" si="379"/>
        <v>292.29836599999999</v>
      </c>
      <c r="EB116" s="184">
        <f t="shared" si="379"/>
        <v>359.32305200000002</v>
      </c>
      <c r="EC116" s="184">
        <f t="shared" si="379"/>
        <v>381.48661199999998</v>
      </c>
      <c r="ED116" s="184">
        <f t="shared" si="379"/>
        <v>407.03045400000002</v>
      </c>
      <c r="EE116" s="184">
        <f t="shared" si="379"/>
        <v>413.66143124999996</v>
      </c>
      <c r="EF116" s="184">
        <f t="shared" si="379"/>
        <v>444.18464999999998</v>
      </c>
      <c r="EG116" s="184">
        <f t="shared" ref="EG116:EP116" si="380">EG109*EG112/1000000</f>
        <v>476.45650000000001</v>
      </c>
      <c r="EH116" s="184">
        <f t="shared" si="380"/>
        <v>496.44855999999999</v>
      </c>
      <c r="EI116" s="184">
        <f t="shared" si="380"/>
        <v>509.274</v>
      </c>
      <c r="EJ116" s="184">
        <f t="shared" si="380"/>
        <v>523.69817500000011</v>
      </c>
      <c r="EK116" s="184">
        <f t="shared" si="380"/>
        <v>538.46680000000003</v>
      </c>
      <c r="EL116" s="184">
        <f t="shared" si="380"/>
        <v>560.096</v>
      </c>
      <c r="EM116" s="184">
        <f t="shared" si="380"/>
        <v>551.55100000000004</v>
      </c>
      <c r="EN116" s="184">
        <f t="shared" si="380"/>
        <v>549.09400000000005</v>
      </c>
      <c r="EO116" s="184">
        <f t="shared" si="380"/>
        <v>552.64400000000001</v>
      </c>
      <c r="EP116" s="184">
        <f t="shared" si="380"/>
        <v>550.16</v>
      </c>
      <c r="ES116" s="355">
        <f t="shared" si="201"/>
        <v>111</v>
      </c>
      <c r="ET116"/>
      <c r="EU116"/>
      <c r="EV116"/>
      <c r="EW116"/>
      <c r="EX116"/>
      <c r="EY116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</row>
    <row r="117" spans="1:257" s="10" customFormat="1" hidden="1" outlineLevel="2">
      <c r="A117" s="9"/>
      <c r="B117" s="260" t="s">
        <v>162</v>
      </c>
      <c r="C117" s="220"/>
      <c r="D117" s="220"/>
      <c r="E117" s="182"/>
      <c r="F117" s="182"/>
      <c r="G117" s="182"/>
      <c r="H117" s="182"/>
      <c r="I117" s="182"/>
      <c r="J117" s="182"/>
      <c r="K117" s="182"/>
      <c r="L117" s="182"/>
      <c r="M117" s="182"/>
      <c r="N117" s="34">
        <f t="shared" si="376"/>
        <v>0</v>
      </c>
      <c r="O117" s="34">
        <f t="shared" si="376"/>
        <v>0</v>
      </c>
      <c r="P117" s="34">
        <f t="shared" si="376"/>
        <v>0</v>
      </c>
      <c r="Q117" s="34">
        <f t="shared" si="376"/>
        <v>0</v>
      </c>
      <c r="R117" s="34">
        <f t="shared" si="376"/>
        <v>0</v>
      </c>
      <c r="S117" s="34">
        <f t="shared" si="376"/>
        <v>0</v>
      </c>
      <c r="T117" s="34">
        <f t="shared" si="376"/>
        <v>0</v>
      </c>
      <c r="U117" s="34">
        <f t="shared" si="376"/>
        <v>168.54220000000001</v>
      </c>
      <c r="V117" s="34">
        <f t="shared" si="376"/>
        <v>42.517940000000003</v>
      </c>
      <c r="W117" s="34">
        <f t="shared" si="376"/>
        <v>0</v>
      </c>
      <c r="X117" s="34">
        <f t="shared" si="377"/>
        <v>9.2889129999999991</v>
      </c>
      <c r="Y117" s="34">
        <f t="shared" si="377"/>
        <v>18.095009999999998</v>
      </c>
      <c r="Z117" s="34">
        <f t="shared" si="377"/>
        <v>9.9018080000000008</v>
      </c>
      <c r="AA117" s="34">
        <f t="shared" si="377"/>
        <v>203.195581</v>
      </c>
      <c r="AB117" s="34">
        <f t="shared" si="377"/>
        <v>218.959642</v>
      </c>
      <c r="AC117" s="34">
        <f t="shared" si="377"/>
        <v>24.453496000000001</v>
      </c>
      <c r="AD117" s="34">
        <f t="shared" si="377"/>
        <v>4.278346</v>
      </c>
      <c r="AE117" s="34">
        <f t="shared" si="377"/>
        <v>0</v>
      </c>
      <c r="AF117" s="34">
        <f t="shared" si="377"/>
        <v>0</v>
      </c>
      <c r="AG117" s="258"/>
      <c r="AH117" s="182"/>
      <c r="AI117" s="182"/>
      <c r="AJ117" s="182"/>
      <c r="AK117" s="182"/>
      <c r="AL117" s="182"/>
      <c r="AM117" s="182"/>
      <c r="AN117" s="182"/>
      <c r="AO117" s="182"/>
      <c r="AP117" s="182"/>
      <c r="AQ117" s="182"/>
      <c r="AR117" s="182"/>
      <c r="AS117" s="182"/>
      <c r="AT117" s="182"/>
      <c r="AU117" s="182"/>
      <c r="AV117" s="182"/>
      <c r="AW117" s="182"/>
      <c r="AX117" s="182"/>
      <c r="AY117" s="182"/>
      <c r="AZ117" s="182"/>
      <c r="BA117" s="182"/>
      <c r="BB117" s="182"/>
      <c r="BC117" s="182"/>
      <c r="BD117" s="182"/>
      <c r="BE117" s="182"/>
      <c r="BF117" s="182"/>
      <c r="BG117" s="182"/>
      <c r="BH117" s="182"/>
      <c r="BI117" s="182"/>
      <c r="BJ117" s="182"/>
      <c r="BK117" s="182"/>
      <c r="BL117" s="182"/>
      <c r="BM117" s="182"/>
      <c r="BN117" s="182"/>
      <c r="BO117" s="182"/>
      <c r="BP117" s="182"/>
      <c r="BQ117" s="182"/>
      <c r="BR117" s="182"/>
      <c r="BS117" s="182"/>
      <c r="BT117" s="182"/>
      <c r="BU117" s="185"/>
      <c r="BV117" s="185"/>
      <c r="BW117" s="185"/>
      <c r="BX117" s="185"/>
      <c r="BY117" s="185"/>
      <c r="BZ117" s="185"/>
      <c r="CA117" s="185"/>
      <c r="CB117" s="185"/>
      <c r="CC117" s="185"/>
      <c r="CD117" s="185"/>
      <c r="CE117" s="185"/>
      <c r="CF117" s="185"/>
      <c r="CG117" s="185"/>
      <c r="CH117" s="185"/>
      <c r="CI117" s="185"/>
      <c r="CJ117" s="185"/>
      <c r="CK117" s="185"/>
      <c r="CL117" s="185"/>
      <c r="CM117" s="185"/>
      <c r="CN117" s="185"/>
      <c r="CO117" s="185"/>
      <c r="CP117" s="185"/>
      <c r="CQ117" s="185"/>
      <c r="CR117" s="185"/>
      <c r="CS117" s="185"/>
      <c r="CT117" s="185">
        <f>1100*CT109/1000000</f>
        <v>17.9542</v>
      </c>
      <c r="CU117" s="185">
        <f>6500*CU109/1000000</f>
        <v>81.438500000000005</v>
      </c>
      <c r="CV117" s="185">
        <f>4400*CV109/1000000</f>
        <v>40.928800000000003</v>
      </c>
      <c r="CW117" s="185">
        <f>2850*CW109/1000000</f>
        <v>28.220700000000001</v>
      </c>
      <c r="CX117" s="185">
        <f>1379*CX109/1000000</f>
        <v>15.52754</v>
      </c>
      <c r="CY117" s="185">
        <f>800*CY109/1000000</f>
        <v>10.491199999999999</v>
      </c>
      <c r="CZ117" s="185">
        <f>800*CZ109/1000000</f>
        <v>11.4992</v>
      </c>
      <c r="DA117" s="185">
        <v>5</v>
      </c>
      <c r="DB117" s="263">
        <v>0</v>
      </c>
      <c r="DC117" s="263">
        <v>0</v>
      </c>
      <c r="DD117" s="263">
        <v>0</v>
      </c>
      <c r="DE117" s="263">
        <v>0</v>
      </c>
      <c r="DF117" s="263">
        <v>0</v>
      </c>
      <c r="DG117" s="263">
        <v>0</v>
      </c>
      <c r="DH117" s="184">
        <f>140*DH109/1000000</f>
        <v>3.0767799999999998</v>
      </c>
      <c r="DI117" s="184">
        <f>283*DI109/1000000</f>
        <v>6.2121329999999997</v>
      </c>
      <c r="DJ117" s="184">
        <v>1</v>
      </c>
      <c r="DK117" s="184">
        <f>30*DK109/1000000</f>
        <v>0.65541000000000005</v>
      </c>
      <c r="DL117" s="184">
        <v>0</v>
      </c>
      <c r="DM117" s="184">
        <f>730*DM109/1000000</f>
        <v>16.439599999999999</v>
      </c>
      <c r="DN117" s="184">
        <f>422*DN109/1000000</f>
        <v>9.9018080000000008</v>
      </c>
      <c r="DO117" s="184">
        <v>0</v>
      </c>
      <c r="DP117" s="263">
        <v>0</v>
      </c>
      <c r="DQ117" s="263">
        <v>0</v>
      </c>
      <c r="DR117" s="263">
        <v>23</v>
      </c>
      <c r="DS117" s="263">
        <f>(+DS109*3413)/1000000</f>
        <v>70.997225999999998</v>
      </c>
      <c r="DT117" s="136">
        <f>(+DT109*5325)/1000000</f>
        <v>75.716175000000007</v>
      </c>
      <c r="DU117" s="136">
        <f>(+DU109*2482)/1000000</f>
        <v>33.48218</v>
      </c>
      <c r="DV117" s="136">
        <f>(+DV109*2417)/1000000</f>
        <v>28.871065000000002</v>
      </c>
      <c r="DW117" s="136">
        <f>(+DW109*8287)/1000000</f>
        <v>79.563486999999995</v>
      </c>
      <c r="DX117" s="136">
        <f>(+DX109*10790)/1000000</f>
        <v>80.741569999999996</v>
      </c>
      <c r="DY117" s="136">
        <f>(+DY109*3744)/1000000</f>
        <v>29.783519999999999</v>
      </c>
      <c r="DZ117" s="136">
        <f>(+DZ109*897)/1000000</f>
        <v>8.7762480000000007</v>
      </c>
      <c r="EA117" s="136">
        <f>(+EA109*453)/1000000</f>
        <v>5.9641979999999997</v>
      </c>
      <c r="EB117" s="136">
        <f>(+EB109*310)/1000000</f>
        <v>5.1388699999999998</v>
      </c>
      <c r="EC117" s="136">
        <f>(EC109*260)/1000000</f>
        <v>4.5741800000000001</v>
      </c>
      <c r="ED117" s="136">
        <f>(ED109*233)/1000000</f>
        <v>4.278346</v>
      </c>
      <c r="EE117" s="263">
        <v>0</v>
      </c>
      <c r="EF117" s="263">
        <v>0</v>
      </c>
      <c r="EG117" s="263">
        <v>0</v>
      </c>
      <c r="EH117" s="263">
        <v>0</v>
      </c>
      <c r="EI117" s="263">
        <v>0</v>
      </c>
      <c r="EJ117" s="263">
        <v>0</v>
      </c>
      <c r="EK117" s="263">
        <v>0</v>
      </c>
      <c r="EL117" s="263">
        <v>0</v>
      </c>
      <c r="EM117" s="263">
        <v>0</v>
      </c>
      <c r="EN117" s="263">
        <v>0</v>
      </c>
      <c r="EO117" s="263">
        <v>0</v>
      </c>
      <c r="EP117" s="263">
        <v>0</v>
      </c>
      <c r="EQ117" s="262"/>
      <c r="ES117" s="355">
        <f t="shared" si="201"/>
        <v>112</v>
      </c>
      <c r="ET117"/>
      <c r="EU117"/>
      <c r="EV117"/>
      <c r="EW117"/>
      <c r="EX117"/>
      <c r="EY117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</row>
    <row r="118" spans="1:257" s="10" customFormat="1" hidden="1" outlineLevel="2">
      <c r="A118" s="9"/>
      <c r="B118" s="260" t="s">
        <v>161</v>
      </c>
      <c r="C118" s="220"/>
      <c r="D118" s="220"/>
      <c r="E118" s="182" t="s">
        <v>160</v>
      </c>
      <c r="F118" s="182" t="s">
        <v>160</v>
      </c>
      <c r="G118" s="182" t="s">
        <v>160</v>
      </c>
      <c r="H118" s="182" t="s">
        <v>160</v>
      </c>
      <c r="I118" s="182" t="s">
        <v>160</v>
      </c>
      <c r="J118" s="182" t="s">
        <v>160</v>
      </c>
      <c r="K118" s="182" t="s">
        <v>160</v>
      </c>
      <c r="L118" s="182" t="s">
        <v>160</v>
      </c>
      <c r="M118" s="182" t="s">
        <v>160</v>
      </c>
      <c r="N118" s="34">
        <f t="shared" si="376"/>
        <v>3.2650000000000001</v>
      </c>
      <c r="O118" s="34">
        <f t="shared" si="376"/>
        <v>15.686</v>
      </c>
      <c r="P118" s="34">
        <f t="shared" si="376"/>
        <v>26.366999999999997</v>
      </c>
      <c r="Q118" s="34">
        <f t="shared" si="376"/>
        <v>33.988999999999997</v>
      </c>
      <c r="R118" s="34">
        <f t="shared" si="376"/>
        <v>46.097999999999999</v>
      </c>
      <c r="S118" s="34">
        <f t="shared" si="376"/>
        <v>59.034999999999997</v>
      </c>
      <c r="T118" s="34">
        <f t="shared" si="376"/>
        <v>75.519000000000005</v>
      </c>
      <c r="U118" s="34">
        <f t="shared" si="376"/>
        <v>86.296999999999997</v>
      </c>
      <c r="V118" s="34">
        <f t="shared" si="376"/>
        <v>96.304000000000002</v>
      </c>
      <c r="W118" s="34">
        <f t="shared" si="376"/>
        <v>193.09300000000002</v>
      </c>
      <c r="X118" s="34">
        <f t="shared" si="377"/>
        <v>283.62099999999998</v>
      </c>
      <c r="Y118" s="34">
        <f t="shared" si="377"/>
        <v>270.22300000000001</v>
      </c>
      <c r="Z118" s="34">
        <f t="shared" si="377"/>
        <v>262.892</v>
      </c>
      <c r="AA118" s="34">
        <f t="shared" si="377"/>
        <v>231.52799999999999</v>
      </c>
      <c r="AB118" s="34">
        <f t="shared" si="377"/>
        <v>82.337000000000003</v>
      </c>
      <c r="AC118" s="34">
        <f t="shared" si="377"/>
        <v>148.21799999999999</v>
      </c>
      <c r="AD118" s="34">
        <f t="shared" si="377"/>
        <v>201.26</v>
      </c>
      <c r="AE118" s="34">
        <f t="shared" si="377"/>
        <v>201.26</v>
      </c>
      <c r="AF118" s="34">
        <f t="shared" si="377"/>
        <v>201.26</v>
      </c>
      <c r="AG118" s="258"/>
      <c r="AH118" s="182"/>
      <c r="AI118" s="182"/>
      <c r="AJ118" s="182"/>
      <c r="AK118" s="182"/>
      <c r="AL118" s="182"/>
      <c r="AM118" s="182"/>
      <c r="AN118" s="182"/>
      <c r="AO118" s="182"/>
      <c r="AP118" s="182"/>
      <c r="AQ118" s="182"/>
      <c r="AR118" s="182"/>
      <c r="AS118" s="182"/>
      <c r="AT118" s="182"/>
      <c r="AU118" s="182"/>
      <c r="AV118" s="182"/>
      <c r="AW118" s="182"/>
      <c r="AX118" s="182"/>
      <c r="AY118" s="182"/>
      <c r="AZ118" s="182"/>
      <c r="BA118" s="182"/>
      <c r="BB118" s="182"/>
      <c r="BC118" s="182"/>
      <c r="BD118" s="182"/>
      <c r="BE118" s="182"/>
      <c r="BF118" s="182"/>
      <c r="BG118" s="182"/>
      <c r="BH118" s="182"/>
      <c r="BI118" s="182"/>
      <c r="BJ118" s="182"/>
      <c r="BK118" s="182"/>
      <c r="BL118" s="182"/>
      <c r="BM118" s="182"/>
      <c r="BN118" s="182"/>
      <c r="BO118" s="182"/>
      <c r="BP118" s="182"/>
      <c r="BQ118" s="182"/>
      <c r="BR118" s="182"/>
      <c r="BS118" s="182"/>
      <c r="BT118" s="182"/>
      <c r="BU118" s="261">
        <v>3.2650000000000001</v>
      </c>
      <c r="BV118" s="261">
        <v>2.2599999999999998</v>
      </c>
      <c r="BW118" s="261">
        <v>4.1929999999999996</v>
      </c>
      <c r="BX118" s="261">
        <v>4.5570000000000004</v>
      </c>
      <c r="BY118" s="261">
        <v>4.6760000000000002</v>
      </c>
      <c r="BZ118" s="261">
        <v>4.2519999999999998</v>
      </c>
      <c r="CA118" s="261">
        <v>6.6660000000000004</v>
      </c>
      <c r="CB118" s="261">
        <v>6.9710000000000001</v>
      </c>
      <c r="CC118" s="261">
        <v>8.4779999999999998</v>
      </c>
      <c r="CD118" s="261">
        <v>7.7889999999999997</v>
      </c>
      <c r="CE118" s="261">
        <v>8.4190000000000005</v>
      </c>
      <c r="CF118" s="261">
        <v>8.8379999999999992</v>
      </c>
      <c r="CG118" s="261">
        <v>8.9429999999999996</v>
      </c>
      <c r="CH118" s="261">
        <v>10.462999999999999</v>
      </c>
      <c r="CI118" s="261">
        <v>10.978</v>
      </c>
      <c r="CJ118" s="261">
        <v>10.012</v>
      </c>
      <c r="CK118" s="261">
        <v>14.645</v>
      </c>
      <c r="CL118" s="261">
        <v>14.308999999999999</v>
      </c>
      <c r="CM118" s="261">
        <v>12.196</v>
      </c>
      <c r="CN118" s="261">
        <v>14.016</v>
      </c>
      <c r="CO118" s="261">
        <v>18.513999999999999</v>
      </c>
      <c r="CP118" s="261">
        <v>14.276999999999999</v>
      </c>
      <c r="CQ118" s="261">
        <v>16.809000000000001</v>
      </c>
      <c r="CR118" s="261">
        <v>17.158000000000001</v>
      </c>
      <c r="CS118" s="261">
        <v>27.274999999999999</v>
      </c>
      <c r="CT118" s="261">
        <v>33.435000000000002</v>
      </c>
      <c r="CU118" s="261">
        <v>21.309000000000001</v>
      </c>
      <c r="CV118" s="261">
        <v>18.876999999999999</v>
      </c>
      <c r="CW118" s="261">
        <v>12.676</v>
      </c>
      <c r="CX118" s="261">
        <v>13.56</v>
      </c>
      <c r="CY118" s="261">
        <v>17.812999999999999</v>
      </c>
      <c r="CZ118" s="261">
        <v>26.474</v>
      </c>
      <c r="DA118" s="261">
        <v>38.457000000000001</v>
      </c>
      <c r="DB118" s="261">
        <v>46.418999999999997</v>
      </c>
      <c r="DC118" s="261">
        <v>39.143000000000001</v>
      </c>
      <c r="DD118" s="261">
        <v>48.235999999999997</v>
      </c>
      <c r="DE118" s="261">
        <v>59.295000000000002</v>
      </c>
      <c r="DF118" s="261">
        <v>54.561999999999998</v>
      </c>
      <c r="DG118" s="261">
        <v>66.400000000000006</v>
      </c>
      <c r="DH118" s="261">
        <v>89.313000000000002</v>
      </c>
      <c r="DI118" s="261">
        <v>73.346000000000004</v>
      </c>
      <c r="DJ118" s="261">
        <v>86.358999999999995</v>
      </c>
      <c r="DK118" s="261">
        <v>68.421000000000006</v>
      </c>
      <c r="DL118" s="261">
        <v>61.944000000000003</v>
      </c>
      <c r="DM118" s="261">
        <v>53.499000000000002</v>
      </c>
      <c r="DN118" s="261">
        <v>63.7</v>
      </c>
      <c r="DO118" s="261">
        <v>60.488</v>
      </c>
      <c r="DP118" s="261">
        <v>69.626999999999995</v>
      </c>
      <c r="DQ118" s="261">
        <v>69.076999999999998</v>
      </c>
      <c r="DR118" s="261">
        <v>84.262</v>
      </c>
      <c r="DS118" s="261">
        <v>73.852999999999994</v>
      </c>
      <c r="DT118" s="256">
        <v>40.188000000000002</v>
      </c>
      <c r="DU118" s="256">
        <v>33.225000000000001</v>
      </c>
      <c r="DV118" s="256">
        <v>27.571000000000002</v>
      </c>
      <c r="DW118" s="256">
        <v>20.751000000000001</v>
      </c>
      <c r="DX118" s="256">
        <v>19.593</v>
      </c>
      <c r="DY118" s="256">
        <v>14.422000000000001</v>
      </c>
      <c r="DZ118" s="256">
        <v>21.097999999999999</v>
      </c>
      <c r="EA118" s="256">
        <v>32.704000000000001</v>
      </c>
      <c r="EB118" s="256">
        <v>41.058999999999997</v>
      </c>
      <c r="EC118" s="256">
        <v>53.356999999999999</v>
      </c>
      <c r="ED118" s="256">
        <v>50.314999999999998</v>
      </c>
      <c r="EE118" s="256">
        <f t="shared" ref="EE118:EP118" si="381">ED118</f>
        <v>50.314999999999998</v>
      </c>
      <c r="EF118" s="256">
        <f t="shared" si="381"/>
        <v>50.314999999999998</v>
      </c>
      <c r="EG118" s="256">
        <f t="shared" si="381"/>
        <v>50.314999999999998</v>
      </c>
      <c r="EH118" s="256">
        <f t="shared" si="381"/>
        <v>50.314999999999998</v>
      </c>
      <c r="EI118" s="256">
        <f t="shared" si="381"/>
        <v>50.314999999999998</v>
      </c>
      <c r="EJ118" s="256">
        <f t="shared" si="381"/>
        <v>50.314999999999998</v>
      </c>
      <c r="EK118" s="256">
        <f t="shared" si="381"/>
        <v>50.314999999999998</v>
      </c>
      <c r="EL118" s="256">
        <f t="shared" si="381"/>
        <v>50.314999999999998</v>
      </c>
      <c r="EM118" s="256">
        <f t="shared" si="381"/>
        <v>50.314999999999998</v>
      </c>
      <c r="EN118" s="256">
        <f t="shared" si="381"/>
        <v>50.314999999999998</v>
      </c>
      <c r="EO118" s="256">
        <f t="shared" si="381"/>
        <v>50.314999999999998</v>
      </c>
      <c r="EP118" s="256">
        <f t="shared" si="381"/>
        <v>50.314999999999998</v>
      </c>
      <c r="ES118" s="355">
        <f t="shared" si="201"/>
        <v>113</v>
      </c>
      <c r="ET118"/>
      <c r="EU118"/>
      <c r="EV118"/>
      <c r="EW118"/>
      <c r="EX118"/>
      <c r="EY118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</row>
    <row r="119" spans="1:257" s="10" customFormat="1" hidden="1" outlineLevel="2">
      <c r="A119" s="9"/>
      <c r="B119" s="260" t="s">
        <v>185</v>
      </c>
      <c r="C119" s="220"/>
      <c r="D119" s="220"/>
      <c r="E119" s="182"/>
      <c r="F119" s="182"/>
      <c r="G119" s="182"/>
      <c r="H119" s="182"/>
      <c r="I119" s="182"/>
      <c r="J119" s="182"/>
      <c r="K119" s="182"/>
      <c r="L119" s="182"/>
      <c r="M119" s="182"/>
      <c r="N119" s="34">
        <f t="shared" si="376"/>
        <v>59.811543999999998</v>
      </c>
      <c r="O119" s="34">
        <f t="shared" si="376"/>
        <v>273.99519399999997</v>
      </c>
      <c r="P119" s="34">
        <f t="shared" si="376"/>
        <v>346.01140199999998</v>
      </c>
      <c r="Q119" s="34">
        <f t="shared" si="376"/>
        <v>527.634094</v>
      </c>
      <c r="R119" s="34">
        <f t="shared" si="376"/>
        <v>829.06098699999995</v>
      </c>
      <c r="S119" s="34">
        <f t="shared" si="376"/>
        <v>1174.9445089999999</v>
      </c>
      <c r="T119" s="34">
        <f t="shared" si="376"/>
        <v>1542.0479989999999</v>
      </c>
      <c r="U119" s="34">
        <f t="shared" si="376"/>
        <v>1441.1698280000001</v>
      </c>
      <c r="V119" s="34">
        <f t="shared" si="376"/>
        <v>1414.0631430000001</v>
      </c>
      <c r="W119" s="34">
        <f t="shared" si="376"/>
        <v>2100.5226709999997</v>
      </c>
      <c r="X119" s="34">
        <f t="shared" si="377"/>
        <v>2687.7497279999998</v>
      </c>
      <c r="Y119" s="34">
        <f t="shared" si="377"/>
        <v>2787.1068750000004</v>
      </c>
      <c r="Z119" s="34">
        <f t="shared" si="377"/>
        <v>3110.2190399999995</v>
      </c>
      <c r="AA119" s="34">
        <f t="shared" si="377"/>
        <v>2523.163462</v>
      </c>
      <c r="AB119" s="34">
        <f t="shared" si="377"/>
        <v>1242.4694950000001</v>
      </c>
      <c r="AC119" s="34">
        <f t="shared" si="377"/>
        <v>1439.52907</v>
      </c>
      <c r="AD119" s="34">
        <f t="shared" si="377"/>
        <v>1946.87138125</v>
      </c>
      <c r="AE119" s="34">
        <f t="shared" si="377"/>
        <v>2269.1475350000001</v>
      </c>
      <c r="AF119" s="34">
        <f t="shared" si="377"/>
        <v>2414.6450000000004</v>
      </c>
      <c r="AG119" s="258"/>
      <c r="AH119" s="182"/>
      <c r="AI119" s="182"/>
      <c r="AJ119" s="182"/>
      <c r="AK119" s="182"/>
      <c r="AL119" s="182"/>
      <c r="AM119" s="182"/>
      <c r="AN119" s="182"/>
      <c r="AO119" s="182"/>
      <c r="AP119" s="182"/>
      <c r="AQ119" s="182"/>
      <c r="AR119" s="182"/>
      <c r="AS119" s="182"/>
      <c r="AT119" s="182"/>
      <c r="AU119" s="182"/>
      <c r="AV119" s="182"/>
      <c r="AW119" s="182"/>
      <c r="AX119" s="182"/>
      <c r="AY119" s="182"/>
      <c r="AZ119" s="182"/>
      <c r="BA119" s="182"/>
      <c r="BB119" s="182"/>
      <c r="BC119" s="182"/>
      <c r="BD119" s="182"/>
      <c r="BE119" s="182"/>
      <c r="BF119" s="182"/>
      <c r="BG119" s="182"/>
      <c r="BH119" s="182"/>
      <c r="BI119" s="182"/>
      <c r="BJ119" s="182"/>
      <c r="BK119" s="182"/>
      <c r="BL119" s="182"/>
      <c r="BM119" s="182"/>
      <c r="BN119" s="182"/>
      <c r="BO119" s="182"/>
      <c r="BP119" s="182"/>
      <c r="BQ119" s="182"/>
      <c r="BR119" s="182"/>
      <c r="BS119" s="182"/>
      <c r="BT119" s="182"/>
      <c r="BU119" s="220">
        <f t="shared" ref="BU119:CZ119" si="382">SUM(BU116:BU118)</f>
        <v>59.811543999999998</v>
      </c>
      <c r="BV119" s="220">
        <f t="shared" si="382"/>
        <v>59.039829999999995</v>
      </c>
      <c r="BW119" s="220">
        <f t="shared" si="382"/>
        <v>65.412796</v>
      </c>
      <c r="BX119" s="220">
        <f t="shared" si="382"/>
        <v>74.034824</v>
      </c>
      <c r="BY119" s="220">
        <f t="shared" si="382"/>
        <v>75.507744000000002</v>
      </c>
      <c r="BZ119" s="220">
        <f t="shared" si="382"/>
        <v>74.933399999999992</v>
      </c>
      <c r="CA119" s="220">
        <f t="shared" si="382"/>
        <v>82.477243999999999</v>
      </c>
      <c r="CB119" s="220">
        <f t="shared" si="382"/>
        <v>88.549126999999999</v>
      </c>
      <c r="CC119" s="220">
        <f t="shared" si="382"/>
        <v>100.051631</v>
      </c>
      <c r="CD119" s="220">
        <f t="shared" si="382"/>
        <v>109.187444</v>
      </c>
      <c r="CE119" s="220">
        <f t="shared" si="382"/>
        <v>122.390602</v>
      </c>
      <c r="CF119" s="220">
        <f t="shared" si="382"/>
        <v>138.720426</v>
      </c>
      <c r="CG119" s="220">
        <f t="shared" si="382"/>
        <v>157.335622</v>
      </c>
      <c r="CH119" s="220">
        <f t="shared" si="382"/>
        <v>172.75393</v>
      </c>
      <c r="CI119" s="220">
        <f t="shared" si="382"/>
        <v>193.664998</v>
      </c>
      <c r="CJ119" s="220">
        <f t="shared" si="382"/>
        <v>214.864148</v>
      </c>
      <c r="CK119" s="220">
        <f t="shared" si="382"/>
        <v>247.77791100000002</v>
      </c>
      <c r="CL119" s="220">
        <f t="shared" si="382"/>
        <v>269.89758799999998</v>
      </c>
      <c r="CM119" s="220">
        <f t="shared" si="382"/>
        <v>269.14099200000004</v>
      </c>
      <c r="CN119" s="220">
        <f t="shared" si="382"/>
        <v>303.509771</v>
      </c>
      <c r="CO119" s="220">
        <f t="shared" si="382"/>
        <v>332.39615800000001</v>
      </c>
      <c r="CP119" s="220">
        <f t="shared" si="382"/>
        <v>347.64832200000001</v>
      </c>
      <c r="CQ119" s="220">
        <f t="shared" si="382"/>
        <v>365.25988000000001</v>
      </c>
      <c r="CR119" s="220">
        <f t="shared" si="382"/>
        <v>391.75780900000001</v>
      </c>
      <c r="CS119" s="220">
        <f t="shared" si="382"/>
        <v>437.38198799999998</v>
      </c>
      <c r="CT119" s="220">
        <f t="shared" si="382"/>
        <v>475.20625200000001</v>
      </c>
      <c r="CU119" s="220">
        <f t="shared" si="382"/>
        <v>414.51913600000006</v>
      </c>
      <c r="CV119" s="220">
        <f t="shared" si="382"/>
        <v>282.35615000000001</v>
      </c>
      <c r="CW119" s="220">
        <f t="shared" si="382"/>
        <v>269.08828999999997</v>
      </c>
      <c r="CX119" s="220">
        <f t="shared" si="382"/>
        <v>285.07238000000001</v>
      </c>
      <c r="CY119" s="220">
        <f t="shared" si="382"/>
        <v>324.444548</v>
      </c>
      <c r="CZ119" s="220">
        <f t="shared" si="382"/>
        <v>368.43145999999996</v>
      </c>
      <c r="DA119" s="220">
        <f t="shared" ref="DA119:EF119" si="383">SUM(DA116:DA118)</f>
        <v>436.114755</v>
      </c>
      <c r="DB119" s="220">
        <f t="shared" si="383"/>
        <v>476.81604799999997</v>
      </c>
      <c r="DC119" s="220">
        <f t="shared" si="383"/>
        <v>495.45808</v>
      </c>
      <c r="DD119" s="220">
        <f t="shared" si="383"/>
        <v>539.38063999999997</v>
      </c>
      <c r="DE119" s="220">
        <f t="shared" si="383"/>
        <v>588.86790299999996</v>
      </c>
      <c r="DF119" s="220">
        <f t="shared" si="383"/>
        <v>617.78344800000002</v>
      </c>
      <c r="DG119" s="220">
        <f t="shared" si="383"/>
        <v>658.79049999999995</v>
      </c>
      <c r="DH119" s="220">
        <f t="shared" si="383"/>
        <v>709.85557199999994</v>
      </c>
      <c r="DI119" s="220">
        <f t="shared" si="383"/>
        <v>701.32020799999998</v>
      </c>
      <c r="DJ119" s="220">
        <f t="shared" si="383"/>
        <v>697.03272000000004</v>
      </c>
      <c r="DK119" s="220">
        <f t="shared" si="383"/>
        <v>686.36339499999997</v>
      </c>
      <c r="DL119" s="220">
        <f t="shared" si="383"/>
        <v>695.82560000000001</v>
      </c>
      <c r="DM119" s="220">
        <f t="shared" si="383"/>
        <v>707.88516000000004</v>
      </c>
      <c r="DN119" s="220">
        <f t="shared" si="383"/>
        <v>741.57496000000003</v>
      </c>
      <c r="DO119" s="220">
        <f t="shared" si="383"/>
        <v>741.78710000000001</v>
      </c>
      <c r="DP119" s="220">
        <f t="shared" si="383"/>
        <v>802.64681199999973</v>
      </c>
      <c r="DQ119" s="220">
        <f t="shared" si="383"/>
        <v>824.21016799999995</v>
      </c>
      <c r="DR119" s="220">
        <f t="shared" si="383"/>
        <v>889.69706500000007</v>
      </c>
      <c r="DS119" s="220">
        <f t="shared" si="383"/>
        <v>718.46537599999988</v>
      </c>
      <c r="DT119" s="220">
        <f t="shared" si="383"/>
        <v>494.613021</v>
      </c>
      <c r="DU119" s="220">
        <f t="shared" si="383"/>
        <v>420.38800000000003</v>
      </c>
      <c r="DV119" s="220">
        <f t="shared" si="383"/>
        <v>369.80719500000004</v>
      </c>
      <c r="DW119" s="220">
        <f t="shared" si="383"/>
        <v>349.27801799999997</v>
      </c>
      <c r="DX119" s="220">
        <f t="shared" si="383"/>
        <v>285.04494200000005</v>
      </c>
      <c r="DY119" s="220">
        <f t="shared" si="383"/>
        <v>238.33933999999999</v>
      </c>
      <c r="DZ119" s="220">
        <f t="shared" si="383"/>
        <v>263.62379199999998</v>
      </c>
      <c r="EA119" s="220">
        <f t="shared" si="383"/>
        <v>330.96656400000001</v>
      </c>
      <c r="EB119" s="220">
        <f t="shared" si="383"/>
        <v>405.52092200000004</v>
      </c>
      <c r="EC119" s="220">
        <f t="shared" ref="EC119:ED119" si="384">SUM(EC116:EC118)</f>
        <v>439.41779199999996</v>
      </c>
      <c r="ED119" s="220">
        <f t="shared" si="384"/>
        <v>461.62380000000002</v>
      </c>
      <c r="EE119" s="220">
        <f t="shared" si="383"/>
        <v>463.97643124999996</v>
      </c>
      <c r="EF119" s="220">
        <f t="shared" si="383"/>
        <v>494.49964999999997</v>
      </c>
      <c r="EG119" s="220">
        <f t="shared" ref="EG119:EP119" si="385">SUM(EG116:EG118)</f>
        <v>526.77150000000006</v>
      </c>
      <c r="EH119" s="220">
        <f t="shared" si="385"/>
        <v>546.76355999999998</v>
      </c>
      <c r="EI119" s="220">
        <f t="shared" si="385"/>
        <v>559.58899999999994</v>
      </c>
      <c r="EJ119" s="220">
        <f t="shared" si="385"/>
        <v>574.01317500000005</v>
      </c>
      <c r="EK119" s="220">
        <f t="shared" si="385"/>
        <v>588.78179999999998</v>
      </c>
      <c r="EL119" s="220">
        <f t="shared" si="385"/>
        <v>610.41100000000006</v>
      </c>
      <c r="EM119" s="220">
        <f t="shared" si="385"/>
        <v>601.86599999999999</v>
      </c>
      <c r="EN119" s="220">
        <f t="shared" si="385"/>
        <v>599.40900000000011</v>
      </c>
      <c r="EO119" s="220">
        <f t="shared" si="385"/>
        <v>602.95900000000006</v>
      </c>
      <c r="EP119" s="220">
        <f t="shared" si="385"/>
        <v>600.47499999999991</v>
      </c>
      <c r="ES119" s="355">
        <f t="shared" si="201"/>
        <v>114</v>
      </c>
      <c r="ET119"/>
      <c r="EU119"/>
      <c r="EV119"/>
      <c r="EW119"/>
      <c r="EX119"/>
      <c r="EY119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</row>
    <row r="120" spans="1:257" s="10" customFormat="1" hidden="1" outlineLevel="2">
      <c r="A120" s="9"/>
      <c r="B120" s="260" t="s">
        <v>184</v>
      </c>
      <c r="C120" s="220"/>
      <c r="D120" s="220"/>
      <c r="E120" s="182"/>
      <c r="F120" s="182"/>
      <c r="G120" s="182"/>
      <c r="H120" s="182"/>
      <c r="I120" s="182"/>
      <c r="J120" s="182"/>
      <c r="K120" s="182"/>
      <c r="L120" s="182"/>
      <c r="M120" s="182"/>
      <c r="N120" s="34">
        <f t="shared" si="376"/>
        <v>59.811543999999998</v>
      </c>
      <c r="O120" s="34">
        <f t="shared" si="376"/>
        <v>273.99519399999997</v>
      </c>
      <c r="P120" s="34">
        <f t="shared" si="376"/>
        <v>346.01140199999998</v>
      </c>
      <c r="Q120" s="34">
        <f t="shared" si="376"/>
        <v>527.634094</v>
      </c>
      <c r="R120" s="34">
        <f t="shared" si="376"/>
        <v>829.06098699999995</v>
      </c>
      <c r="S120" s="34">
        <f t="shared" si="376"/>
        <v>1174.9445089999999</v>
      </c>
      <c r="T120" s="34">
        <f t="shared" si="376"/>
        <v>1542.0479989999999</v>
      </c>
      <c r="U120" s="34">
        <f t="shared" si="376"/>
        <v>1272.627628</v>
      </c>
      <c r="V120" s="34">
        <f t="shared" si="376"/>
        <v>1371.5452030000001</v>
      </c>
      <c r="W120" s="34">
        <f t="shared" si="376"/>
        <v>2100.5226709999997</v>
      </c>
      <c r="X120" s="34">
        <f t="shared" si="377"/>
        <v>2678.4608149999999</v>
      </c>
      <c r="Y120" s="34">
        <f t="shared" si="377"/>
        <v>2769.0118650000004</v>
      </c>
      <c r="Z120" s="34">
        <f t="shared" si="377"/>
        <v>3100.3172319999999</v>
      </c>
      <c r="AA120" s="34">
        <f t="shared" si="377"/>
        <v>2319.967881</v>
      </c>
      <c r="AB120" s="34">
        <f t="shared" si="377"/>
        <v>1023.509853</v>
      </c>
      <c r="AC120" s="34">
        <f t="shared" si="377"/>
        <v>1415.075574</v>
      </c>
      <c r="AD120" s="34">
        <f t="shared" si="377"/>
        <v>1942.59303525</v>
      </c>
      <c r="AE120" s="34">
        <f t="shared" si="377"/>
        <v>2269.1475350000001</v>
      </c>
      <c r="AF120" s="34">
        <f t="shared" si="377"/>
        <v>2414.6450000000004</v>
      </c>
      <c r="AG120" s="258"/>
      <c r="AH120" s="182"/>
      <c r="AI120" s="182"/>
      <c r="AJ120" s="182"/>
      <c r="AK120" s="182"/>
      <c r="AL120" s="182"/>
      <c r="AM120" s="182"/>
      <c r="AN120" s="182"/>
      <c r="AO120" s="182"/>
      <c r="AP120" s="182"/>
      <c r="AQ120" s="182"/>
      <c r="AR120" s="182"/>
      <c r="AS120" s="182"/>
      <c r="AT120" s="182"/>
      <c r="AU120" s="182"/>
      <c r="AV120" s="182"/>
      <c r="AW120" s="182"/>
      <c r="AX120" s="182"/>
      <c r="AY120" s="182"/>
      <c r="AZ120" s="182"/>
      <c r="BA120" s="182"/>
      <c r="BB120" s="182"/>
      <c r="BC120" s="182"/>
      <c r="BD120" s="182"/>
      <c r="BE120" s="182"/>
      <c r="BF120" s="182"/>
      <c r="BG120" s="182"/>
      <c r="BH120" s="182"/>
      <c r="BI120" s="182"/>
      <c r="BJ120" s="182"/>
      <c r="BK120" s="182"/>
      <c r="BL120" s="182"/>
      <c r="BM120" s="182"/>
      <c r="BN120" s="182"/>
      <c r="BO120" s="182"/>
      <c r="BP120" s="182"/>
      <c r="BQ120" s="182"/>
      <c r="BR120" s="182"/>
      <c r="BS120" s="182"/>
      <c r="BT120" s="182"/>
      <c r="BU120" s="220">
        <f t="shared" ref="BU120:CZ120" si="386">BU119-BU117</f>
        <v>59.811543999999998</v>
      </c>
      <c r="BV120" s="220">
        <f t="shared" si="386"/>
        <v>59.039829999999995</v>
      </c>
      <c r="BW120" s="220">
        <f t="shared" si="386"/>
        <v>65.412796</v>
      </c>
      <c r="BX120" s="220">
        <f t="shared" si="386"/>
        <v>74.034824</v>
      </c>
      <c r="BY120" s="220">
        <f t="shared" si="386"/>
        <v>75.507744000000002</v>
      </c>
      <c r="BZ120" s="220">
        <f t="shared" si="386"/>
        <v>74.933399999999992</v>
      </c>
      <c r="CA120" s="220">
        <f t="shared" si="386"/>
        <v>82.477243999999999</v>
      </c>
      <c r="CB120" s="220">
        <f t="shared" si="386"/>
        <v>88.549126999999999</v>
      </c>
      <c r="CC120" s="220">
        <f t="shared" si="386"/>
        <v>100.051631</v>
      </c>
      <c r="CD120" s="220">
        <f t="shared" si="386"/>
        <v>109.187444</v>
      </c>
      <c r="CE120" s="220">
        <f t="shared" si="386"/>
        <v>122.390602</v>
      </c>
      <c r="CF120" s="220">
        <f t="shared" si="386"/>
        <v>138.720426</v>
      </c>
      <c r="CG120" s="220">
        <f t="shared" si="386"/>
        <v>157.335622</v>
      </c>
      <c r="CH120" s="220">
        <f t="shared" si="386"/>
        <v>172.75393</v>
      </c>
      <c r="CI120" s="220">
        <f t="shared" si="386"/>
        <v>193.664998</v>
      </c>
      <c r="CJ120" s="220">
        <f t="shared" si="386"/>
        <v>214.864148</v>
      </c>
      <c r="CK120" s="220">
        <f t="shared" si="386"/>
        <v>247.77791100000002</v>
      </c>
      <c r="CL120" s="220">
        <f t="shared" si="386"/>
        <v>269.89758799999998</v>
      </c>
      <c r="CM120" s="220">
        <f t="shared" si="386"/>
        <v>269.14099200000004</v>
      </c>
      <c r="CN120" s="220">
        <f t="shared" si="386"/>
        <v>303.509771</v>
      </c>
      <c r="CO120" s="220">
        <f t="shared" si="386"/>
        <v>332.39615800000001</v>
      </c>
      <c r="CP120" s="220">
        <f t="shared" si="386"/>
        <v>347.64832200000001</v>
      </c>
      <c r="CQ120" s="220">
        <f t="shared" si="386"/>
        <v>365.25988000000001</v>
      </c>
      <c r="CR120" s="220">
        <f t="shared" si="386"/>
        <v>391.75780900000001</v>
      </c>
      <c r="CS120" s="220">
        <f t="shared" si="386"/>
        <v>437.38198799999998</v>
      </c>
      <c r="CT120" s="220">
        <f t="shared" si="386"/>
        <v>457.25205199999999</v>
      </c>
      <c r="CU120" s="220">
        <f t="shared" si="386"/>
        <v>333.08063600000003</v>
      </c>
      <c r="CV120" s="220">
        <f t="shared" si="386"/>
        <v>241.42735000000002</v>
      </c>
      <c r="CW120" s="220">
        <f t="shared" si="386"/>
        <v>240.86758999999998</v>
      </c>
      <c r="CX120" s="220">
        <f t="shared" si="386"/>
        <v>269.54484000000002</v>
      </c>
      <c r="CY120" s="220">
        <f t="shared" si="386"/>
        <v>313.95334800000001</v>
      </c>
      <c r="CZ120" s="220">
        <f t="shared" si="386"/>
        <v>356.93225999999999</v>
      </c>
      <c r="DA120" s="220">
        <f t="shared" ref="DA120:EF120" si="387">DA119-DA117</f>
        <v>431.114755</v>
      </c>
      <c r="DB120" s="220">
        <f t="shared" si="387"/>
        <v>476.81604799999997</v>
      </c>
      <c r="DC120" s="220">
        <f t="shared" si="387"/>
        <v>495.45808</v>
      </c>
      <c r="DD120" s="220">
        <f t="shared" si="387"/>
        <v>539.38063999999997</v>
      </c>
      <c r="DE120" s="220">
        <f t="shared" si="387"/>
        <v>588.86790299999996</v>
      </c>
      <c r="DF120" s="220">
        <f t="shared" si="387"/>
        <v>617.78344800000002</v>
      </c>
      <c r="DG120" s="220">
        <f t="shared" si="387"/>
        <v>658.79049999999995</v>
      </c>
      <c r="DH120" s="220">
        <f t="shared" si="387"/>
        <v>706.77879199999995</v>
      </c>
      <c r="DI120" s="220">
        <f t="shared" si="387"/>
        <v>695.10807499999999</v>
      </c>
      <c r="DJ120" s="220">
        <f t="shared" si="387"/>
        <v>696.03272000000004</v>
      </c>
      <c r="DK120" s="220">
        <f t="shared" si="387"/>
        <v>685.70798500000001</v>
      </c>
      <c r="DL120" s="220">
        <f t="shared" si="387"/>
        <v>695.82560000000001</v>
      </c>
      <c r="DM120" s="220">
        <f t="shared" si="387"/>
        <v>691.44556</v>
      </c>
      <c r="DN120" s="220">
        <f t="shared" si="387"/>
        <v>731.67315200000007</v>
      </c>
      <c r="DO120" s="220">
        <f t="shared" si="387"/>
        <v>741.78710000000001</v>
      </c>
      <c r="DP120" s="220">
        <f t="shared" si="387"/>
        <v>802.64681199999973</v>
      </c>
      <c r="DQ120" s="220">
        <f t="shared" si="387"/>
        <v>824.21016799999995</v>
      </c>
      <c r="DR120" s="220">
        <f t="shared" si="387"/>
        <v>866.69706500000007</v>
      </c>
      <c r="DS120" s="220">
        <f t="shared" si="387"/>
        <v>647.46814999999992</v>
      </c>
      <c r="DT120" s="220">
        <f t="shared" si="387"/>
        <v>418.89684599999998</v>
      </c>
      <c r="DU120" s="220">
        <f t="shared" si="387"/>
        <v>386.90582000000006</v>
      </c>
      <c r="DV120" s="220">
        <f t="shared" si="387"/>
        <v>340.93613000000005</v>
      </c>
      <c r="DW120" s="220">
        <f t="shared" si="387"/>
        <v>269.71453099999997</v>
      </c>
      <c r="DX120" s="220">
        <f t="shared" si="387"/>
        <v>204.30337200000005</v>
      </c>
      <c r="DY120" s="220">
        <f t="shared" si="387"/>
        <v>208.55581999999998</v>
      </c>
      <c r="DZ120" s="220">
        <f t="shared" si="387"/>
        <v>254.84754399999997</v>
      </c>
      <c r="EA120" s="220">
        <f t="shared" si="387"/>
        <v>325.00236599999999</v>
      </c>
      <c r="EB120" s="220">
        <f t="shared" si="387"/>
        <v>400.38205200000004</v>
      </c>
      <c r="EC120" s="220">
        <f t="shared" ref="EC120:ED120" si="388">EC119-EC117</f>
        <v>434.84361199999995</v>
      </c>
      <c r="ED120" s="220">
        <f t="shared" si="388"/>
        <v>457.34545400000002</v>
      </c>
      <c r="EE120" s="220">
        <f t="shared" si="387"/>
        <v>463.97643124999996</v>
      </c>
      <c r="EF120" s="220">
        <f t="shared" si="387"/>
        <v>494.49964999999997</v>
      </c>
      <c r="EG120" s="220">
        <f t="shared" ref="EG120:EP120" si="389">EG119-EG117</f>
        <v>526.77150000000006</v>
      </c>
      <c r="EH120" s="220">
        <f t="shared" si="389"/>
        <v>546.76355999999998</v>
      </c>
      <c r="EI120" s="220">
        <f t="shared" si="389"/>
        <v>559.58899999999994</v>
      </c>
      <c r="EJ120" s="220">
        <f t="shared" si="389"/>
        <v>574.01317500000005</v>
      </c>
      <c r="EK120" s="220">
        <f t="shared" si="389"/>
        <v>588.78179999999998</v>
      </c>
      <c r="EL120" s="220">
        <f t="shared" si="389"/>
        <v>610.41100000000006</v>
      </c>
      <c r="EM120" s="220">
        <f t="shared" si="389"/>
        <v>601.86599999999999</v>
      </c>
      <c r="EN120" s="220">
        <f t="shared" si="389"/>
        <v>599.40900000000011</v>
      </c>
      <c r="EO120" s="220">
        <f t="shared" si="389"/>
        <v>602.95900000000006</v>
      </c>
      <c r="EP120" s="220">
        <f t="shared" si="389"/>
        <v>600.47499999999991</v>
      </c>
      <c r="ES120" s="355">
        <f t="shared" si="201"/>
        <v>115</v>
      </c>
      <c r="ET120"/>
      <c r="EU120"/>
      <c r="EV120"/>
      <c r="EW120"/>
      <c r="EX120"/>
      <c r="EY120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</row>
    <row r="121" spans="1:257" s="10" customFormat="1" hidden="1" outlineLevel="2">
      <c r="A121" s="9"/>
      <c r="B121" s="260"/>
      <c r="C121" s="220"/>
      <c r="D121" s="220"/>
      <c r="E121" s="182"/>
      <c r="F121" s="182"/>
      <c r="G121" s="182"/>
      <c r="H121" s="182"/>
      <c r="I121" s="182"/>
      <c r="J121" s="182"/>
      <c r="K121" s="182"/>
      <c r="L121" s="182"/>
      <c r="M121" s="182"/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58"/>
      <c r="AH121" s="182"/>
      <c r="AI121" s="182"/>
      <c r="AJ121" s="182"/>
      <c r="AK121" s="182"/>
      <c r="AL121" s="182"/>
      <c r="AM121" s="182"/>
      <c r="AN121" s="182"/>
      <c r="AO121" s="182"/>
      <c r="AP121" s="182"/>
      <c r="AQ121" s="182"/>
      <c r="AR121" s="182"/>
      <c r="AS121" s="182"/>
      <c r="AT121" s="182"/>
      <c r="AU121" s="182"/>
      <c r="AV121" s="182"/>
      <c r="AW121" s="182"/>
      <c r="AX121" s="182"/>
      <c r="AY121" s="182"/>
      <c r="AZ121" s="182"/>
      <c r="BA121" s="182"/>
      <c r="BB121" s="182"/>
      <c r="BC121" s="182"/>
      <c r="BD121" s="182"/>
      <c r="BE121" s="182"/>
      <c r="BF121" s="182"/>
      <c r="BG121" s="182"/>
      <c r="BH121" s="182"/>
      <c r="BI121" s="182"/>
      <c r="BJ121" s="182"/>
      <c r="BK121" s="182"/>
      <c r="BL121" s="182"/>
      <c r="BM121" s="182"/>
      <c r="BN121" s="182"/>
      <c r="BO121" s="182"/>
      <c r="BP121" s="182"/>
      <c r="BQ121" s="182"/>
      <c r="BR121" s="182"/>
      <c r="BS121" s="182"/>
      <c r="BT121" s="182"/>
      <c r="BU121" s="257"/>
      <c r="BV121" s="257"/>
      <c r="BW121" s="257"/>
      <c r="BX121" s="257"/>
      <c r="BY121" s="257"/>
      <c r="BZ121" s="257"/>
      <c r="CA121" s="257"/>
      <c r="CB121" s="257"/>
      <c r="CC121" s="257"/>
      <c r="CD121" s="257"/>
      <c r="CE121" s="257"/>
      <c r="CF121" s="257"/>
      <c r="CG121" s="257"/>
      <c r="CH121" s="257"/>
      <c r="CI121" s="257"/>
      <c r="CJ121" s="257"/>
      <c r="CK121" s="257"/>
      <c r="CL121" s="257"/>
      <c r="CM121" s="257"/>
      <c r="CN121" s="257"/>
      <c r="CO121" s="257"/>
      <c r="CP121" s="257"/>
      <c r="CQ121" s="257"/>
      <c r="CR121" s="257"/>
      <c r="CS121" s="257"/>
      <c r="CT121" s="257"/>
      <c r="CU121" s="257"/>
      <c r="CV121" s="257"/>
      <c r="CW121" s="257"/>
      <c r="CX121" s="257"/>
      <c r="CY121" s="257"/>
      <c r="CZ121" s="257"/>
      <c r="DA121" s="257"/>
      <c r="DB121" s="257"/>
      <c r="DC121" s="257"/>
      <c r="DD121" s="257"/>
      <c r="DE121" s="257"/>
      <c r="DF121" s="257"/>
      <c r="DG121" s="257"/>
      <c r="DH121" s="257"/>
      <c r="DI121" s="257"/>
      <c r="DJ121" s="257"/>
      <c r="DK121" s="257"/>
      <c r="DL121" s="257"/>
      <c r="DM121" s="257"/>
      <c r="DN121" s="257"/>
      <c r="DO121" s="257"/>
      <c r="DP121" s="257"/>
      <c r="DQ121" s="257"/>
      <c r="DR121" s="257"/>
      <c r="DS121" s="257"/>
      <c r="DT121" s="257"/>
      <c r="DU121" s="257"/>
      <c r="DV121" s="257"/>
      <c r="DW121" s="257"/>
      <c r="DX121" s="257"/>
      <c r="DY121" s="257"/>
      <c r="DZ121" s="257"/>
      <c r="EA121" s="257"/>
      <c r="EB121" s="257"/>
      <c r="EC121" s="257"/>
      <c r="ED121" s="257"/>
      <c r="EE121" s="256"/>
      <c r="EF121" s="256"/>
      <c r="EG121" s="256"/>
      <c r="EH121" s="256"/>
      <c r="EI121" s="256"/>
      <c r="EJ121" s="256"/>
      <c r="EK121" s="256"/>
      <c r="EL121" s="256"/>
      <c r="EM121" s="256"/>
      <c r="EN121" s="256"/>
      <c r="EO121" s="256"/>
      <c r="EP121" s="256"/>
      <c r="ES121" s="355">
        <f t="shared" si="201"/>
        <v>116</v>
      </c>
      <c r="ET121"/>
      <c r="EU121"/>
      <c r="EV121"/>
      <c r="EW121"/>
      <c r="EX121"/>
      <c r="EY12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</row>
    <row r="122" spans="1:257" s="10" customFormat="1" hidden="1" outlineLevel="2">
      <c r="A122" s="9"/>
      <c r="B122" s="259" t="s">
        <v>183</v>
      </c>
      <c r="C122" s="220"/>
      <c r="D122" s="220"/>
      <c r="E122" s="182"/>
      <c r="F122" s="182"/>
      <c r="G122" s="182"/>
      <c r="H122" s="182"/>
      <c r="I122" s="182"/>
      <c r="J122" s="182"/>
      <c r="K122" s="182"/>
      <c r="L122" s="182"/>
      <c r="M122" s="182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58"/>
      <c r="AH122" s="182"/>
      <c r="AI122" s="182"/>
      <c r="AJ122" s="182"/>
      <c r="AK122" s="182"/>
      <c r="AL122" s="182"/>
      <c r="AM122" s="182"/>
      <c r="AN122" s="182"/>
      <c r="AO122" s="182"/>
      <c r="AP122" s="182"/>
      <c r="AQ122" s="182"/>
      <c r="AR122" s="182"/>
      <c r="AS122" s="182"/>
      <c r="AT122" s="182"/>
      <c r="AU122" s="182"/>
      <c r="AV122" s="182"/>
      <c r="AW122" s="182"/>
      <c r="AX122" s="182"/>
      <c r="AY122" s="182"/>
      <c r="AZ122" s="182"/>
      <c r="BA122" s="182"/>
      <c r="BB122" s="182"/>
      <c r="BC122" s="182"/>
      <c r="BD122" s="182"/>
      <c r="BE122" s="182"/>
      <c r="BF122" s="182"/>
      <c r="BG122" s="182"/>
      <c r="BH122" s="182"/>
      <c r="BI122" s="182"/>
      <c r="BJ122" s="182"/>
      <c r="BK122" s="182"/>
      <c r="BL122" s="182"/>
      <c r="BM122" s="182"/>
      <c r="BN122" s="182"/>
      <c r="BO122" s="182"/>
      <c r="BP122" s="182"/>
      <c r="BQ122" s="182"/>
      <c r="BR122" s="182"/>
      <c r="BS122" s="182"/>
      <c r="BT122" s="182"/>
      <c r="BU122" s="257"/>
      <c r="BV122" s="257"/>
      <c r="BW122" s="257"/>
      <c r="BX122" s="257"/>
      <c r="BY122" s="257"/>
      <c r="BZ122" s="257"/>
      <c r="CA122" s="257"/>
      <c r="CB122" s="257"/>
      <c r="CC122" s="257"/>
      <c r="CD122" s="257"/>
      <c r="CE122" s="257"/>
      <c r="CF122" s="257"/>
      <c r="CG122" s="257"/>
      <c r="CH122" s="257"/>
      <c r="CI122" s="257"/>
      <c r="CJ122" s="257"/>
      <c r="CK122" s="257"/>
      <c r="CL122" s="257"/>
      <c r="CM122" s="257"/>
      <c r="CN122" s="257"/>
      <c r="CO122" s="257"/>
      <c r="CP122" s="257"/>
      <c r="CQ122" s="257"/>
      <c r="CR122" s="257"/>
      <c r="CS122" s="257"/>
      <c r="CT122" s="257"/>
      <c r="CU122" s="257"/>
      <c r="CV122" s="257"/>
      <c r="CW122" s="257"/>
      <c r="CX122" s="257"/>
      <c r="CY122" s="257"/>
      <c r="CZ122" s="257"/>
      <c r="DA122" s="257"/>
      <c r="DB122" s="257"/>
      <c r="DC122" s="257"/>
      <c r="DD122" s="257"/>
      <c r="DE122" s="257"/>
      <c r="DF122" s="257"/>
      <c r="DG122" s="257"/>
      <c r="DH122" s="257"/>
      <c r="DI122" s="257"/>
      <c r="DJ122" s="257"/>
      <c r="DK122" s="257"/>
      <c r="DL122" s="257"/>
      <c r="DM122" s="257"/>
      <c r="DN122" s="257"/>
      <c r="DO122" s="257"/>
      <c r="DP122" s="257"/>
      <c r="DQ122" s="257"/>
      <c r="DR122" s="257"/>
      <c r="DS122" s="257"/>
      <c r="DT122" s="257"/>
      <c r="DU122" s="257"/>
      <c r="DV122" s="257"/>
      <c r="DW122" s="257"/>
      <c r="DX122" s="257"/>
      <c r="DY122" s="257"/>
      <c r="DZ122" s="257"/>
      <c r="EA122" s="257"/>
      <c r="EB122" s="257"/>
      <c r="EC122" s="257"/>
      <c r="ED122" s="257"/>
      <c r="EE122" s="256"/>
      <c r="EF122" s="256"/>
      <c r="EG122" s="256"/>
      <c r="EH122" s="256"/>
      <c r="EI122" s="256"/>
      <c r="EJ122" s="256"/>
      <c r="EK122" s="256"/>
      <c r="EL122" s="256"/>
      <c r="EM122" s="256"/>
      <c r="EN122" s="256"/>
      <c r="EO122" s="256"/>
      <c r="EP122" s="256"/>
      <c r="ES122" s="355">
        <f t="shared" si="201"/>
        <v>117</v>
      </c>
      <c r="ET122"/>
      <c r="EU122"/>
      <c r="EV122"/>
      <c r="EW122"/>
      <c r="EX122"/>
      <c r="EY122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</row>
    <row r="123" spans="1:257" s="4" customFormat="1" hidden="1" outlineLevel="2">
      <c r="A123" s="15"/>
      <c r="B123" s="28" t="s">
        <v>159</v>
      </c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62">
        <f t="shared" ref="N123:AF123" si="390">N11</f>
        <v>364.56800000000004</v>
      </c>
      <c r="O123" s="62">
        <f t="shared" si="390"/>
        <v>273.99299999999999</v>
      </c>
      <c r="P123" s="62">
        <f t="shared" si="390"/>
        <v>346.01500000000004</v>
      </c>
      <c r="Q123" s="62">
        <f t="shared" si="390"/>
        <v>527.63700000000006</v>
      </c>
      <c r="R123" s="62">
        <f t="shared" si="390"/>
        <v>829.06200000000013</v>
      </c>
      <c r="S123" s="62">
        <f t="shared" si="390"/>
        <v>1174.9559999999999</v>
      </c>
      <c r="T123" s="62">
        <f t="shared" si="390"/>
        <v>1542.0379999999998</v>
      </c>
      <c r="U123" s="62">
        <f t="shared" si="390"/>
        <v>1441.164</v>
      </c>
      <c r="V123" s="62">
        <f t="shared" si="390"/>
        <v>1412.4950000000001</v>
      </c>
      <c r="W123" s="62">
        <f t="shared" si="390"/>
        <v>2100.5079999999998</v>
      </c>
      <c r="X123" s="62">
        <f t="shared" si="390"/>
        <v>2678.4750000000004</v>
      </c>
      <c r="Y123" s="62">
        <f t="shared" si="390"/>
        <v>2769.0093999999999</v>
      </c>
      <c r="Z123" s="62">
        <f t="shared" si="390"/>
        <v>3090.0521920000001</v>
      </c>
      <c r="AA123" s="62">
        <f t="shared" si="390"/>
        <v>2320.3224190000001</v>
      </c>
      <c r="AB123" s="62">
        <f t="shared" si="390"/>
        <v>1023.502358</v>
      </c>
      <c r="AC123" s="62">
        <f t="shared" si="390"/>
        <v>1415.0695040000001</v>
      </c>
      <c r="AD123" s="62">
        <f t="shared" si="390"/>
        <v>1942.60923525</v>
      </c>
      <c r="AE123" s="62">
        <f t="shared" si="390"/>
        <v>2269.1475350000001</v>
      </c>
      <c r="AF123" s="62">
        <f t="shared" si="390"/>
        <v>2414.6450000000004</v>
      </c>
      <c r="AG123" s="18"/>
      <c r="BU123" s="254">
        <f t="shared" ref="BU123:CZ123" si="391">BU11</f>
        <v>59.686999999999998</v>
      </c>
      <c r="BV123" s="254">
        <f t="shared" si="391"/>
        <v>59.037999999999997</v>
      </c>
      <c r="BW123" s="254">
        <f t="shared" si="391"/>
        <v>65.412000000000006</v>
      </c>
      <c r="BX123" s="254">
        <f t="shared" si="391"/>
        <v>74.036000000000001</v>
      </c>
      <c r="BY123" s="254">
        <f t="shared" si="391"/>
        <v>75.507000000000005</v>
      </c>
      <c r="BZ123" s="254">
        <f t="shared" si="391"/>
        <v>74.933000000000007</v>
      </c>
      <c r="CA123" s="254">
        <f t="shared" si="391"/>
        <v>82.477000000000004</v>
      </c>
      <c r="CB123" s="254">
        <f t="shared" si="391"/>
        <v>88.55</v>
      </c>
      <c r="CC123" s="254">
        <f t="shared" si="391"/>
        <v>100.05500000000001</v>
      </c>
      <c r="CD123" s="254">
        <f t="shared" si="391"/>
        <v>109.188</v>
      </c>
      <c r="CE123" s="254">
        <f t="shared" si="391"/>
        <v>122.39400000000001</v>
      </c>
      <c r="CF123" s="254">
        <f t="shared" si="391"/>
        <v>138.72</v>
      </c>
      <c r="CG123" s="254">
        <f t="shared" si="391"/>
        <v>157.33500000000001</v>
      </c>
      <c r="CH123" s="254">
        <f t="shared" si="391"/>
        <v>172.75399999999999</v>
      </c>
      <c r="CI123" s="254">
        <f t="shared" si="391"/>
        <v>193.66800000000001</v>
      </c>
      <c r="CJ123" s="254">
        <f t="shared" si="391"/>
        <v>214.864</v>
      </c>
      <c r="CK123" s="254">
        <f t="shared" si="391"/>
        <v>247.77600000000001</v>
      </c>
      <c r="CL123" s="254">
        <f t="shared" si="391"/>
        <v>269.89999999999998</v>
      </c>
      <c r="CM123" s="254">
        <f t="shared" si="391"/>
        <v>269.14499999999998</v>
      </c>
      <c r="CN123" s="254">
        <f t="shared" si="391"/>
        <v>303.51400000000001</v>
      </c>
      <c r="CO123" s="254">
        <f t="shared" si="391"/>
        <v>332.39699999999999</v>
      </c>
      <c r="CP123" s="254">
        <f t="shared" si="391"/>
        <v>347.64400000000001</v>
      </c>
      <c r="CQ123" s="254">
        <f t="shared" si="391"/>
        <v>365.26299999999998</v>
      </c>
      <c r="CR123" s="254">
        <f t="shared" si="391"/>
        <v>391.755</v>
      </c>
      <c r="CS123" s="254">
        <f t="shared" si="391"/>
        <v>437.37599999999998</v>
      </c>
      <c r="CT123" s="254">
        <f t="shared" si="391"/>
        <v>475.20400000000001</v>
      </c>
      <c r="CU123" s="254">
        <f t="shared" si="391"/>
        <v>414.51400000000001</v>
      </c>
      <c r="CV123" s="254">
        <f t="shared" si="391"/>
        <v>282.358</v>
      </c>
      <c r="CW123" s="254">
        <f t="shared" si="391"/>
        <v>269.08800000000002</v>
      </c>
      <c r="CX123" s="254">
        <f t="shared" si="391"/>
        <v>285.06900000000002</v>
      </c>
      <c r="CY123" s="254">
        <f t="shared" si="391"/>
        <v>324.43900000000002</v>
      </c>
      <c r="CZ123" s="254">
        <f t="shared" si="391"/>
        <v>366.98899999999998</v>
      </c>
      <c r="DA123" s="254">
        <f t="shared" ref="DA123:ED123" si="392">DA11</f>
        <v>435.99799999999999</v>
      </c>
      <c r="DB123" s="254">
        <f t="shared" si="392"/>
        <v>476.81799999999998</v>
      </c>
      <c r="DC123" s="254">
        <f t="shared" si="392"/>
        <v>495.459</v>
      </c>
      <c r="DD123" s="254">
        <f t="shared" si="392"/>
        <v>539.37199999999996</v>
      </c>
      <c r="DE123" s="254">
        <f t="shared" si="392"/>
        <v>588.85900000000004</v>
      </c>
      <c r="DF123" s="254">
        <f t="shared" si="392"/>
        <v>617.779</v>
      </c>
      <c r="DG123" s="254">
        <f t="shared" si="392"/>
        <v>658.80399999999997</v>
      </c>
      <c r="DH123" s="254">
        <f t="shared" si="392"/>
        <v>706.78599999999994</v>
      </c>
      <c r="DI123" s="254">
        <f t="shared" si="392"/>
        <v>695.10599999999999</v>
      </c>
      <c r="DJ123" s="254">
        <f t="shared" si="392"/>
        <v>696.03</v>
      </c>
      <c r="DK123" s="254">
        <f t="shared" si="392"/>
        <v>685.71</v>
      </c>
      <c r="DL123" s="254">
        <f t="shared" si="392"/>
        <v>695.81600000000003</v>
      </c>
      <c r="DM123" s="254">
        <f t="shared" si="392"/>
        <v>691.45339999999999</v>
      </c>
      <c r="DN123" s="254">
        <f t="shared" si="392"/>
        <v>721.77219200000002</v>
      </c>
      <c r="DO123" s="254">
        <f t="shared" si="392"/>
        <v>741.79100000000005</v>
      </c>
      <c r="DP123" s="254">
        <f t="shared" si="392"/>
        <v>802.279</v>
      </c>
      <c r="DQ123" s="254">
        <f t="shared" si="392"/>
        <v>824.21</v>
      </c>
      <c r="DR123" s="254">
        <f t="shared" si="392"/>
        <v>867.04700000000003</v>
      </c>
      <c r="DS123" s="254">
        <f t="shared" si="392"/>
        <v>647.46577400000001</v>
      </c>
      <c r="DT123" s="254">
        <f t="shared" si="392"/>
        <v>418.89882499999999</v>
      </c>
      <c r="DU123" s="254">
        <f t="shared" si="392"/>
        <v>386.91081999999994</v>
      </c>
      <c r="DV123" s="254">
        <f t="shared" si="392"/>
        <v>340.93393500000002</v>
      </c>
      <c r="DW123" s="254">
        <f t="shared" si="392"/>
        <v>269.71951300000001</v>
      </c>
      <c r="DX123" s="254">
        <f t="shared" si="392"/>
        <v>204.28643000000002</v>
      </c>
      <c r="DY123" s="254">
        <f t="shared" si="392"/>
        <v>208.56247999999999</v>
      </c>
      <c r="DZ123" s="254">
        <f t="shared" si="392"/>
        <v>254.85975200000001</v>
      </c>
      <c r="EA123" s="254">
        <f t="shared" si="392"/>
        <v>325.00280199999997</v>
      </c>
      <c r="EB123" s="254">
        <f t="shared" si="392"/>
        <v>400.37713000000002</v>
      </c>
      <c r="EC123" s="254">
        <f t="shared" si="392"/>
        <v>434.82981999999998</v>
      </c>
      <c r="ED123" s="254">
        <f t="shared" si="392"/>
        <v>457.36165399999999</v>
      </c>
      <c r="EE123" s="255">
        <f t="shared" ref="EE123:EP123" si="393">SUM(EE116:EE118)</f>
        <v>463.97643124999996</v>
      </c>
      <c r="EF123" s="255">
        <f t="shared" si="393"/>
        <v>494.49964999999997</v>
      </c>
      <c r="EG123" s="255">
        <f t="shared" si="393"/>
        <v>526.77150000000006</v>
      </c>
      <c r="EH123" s="255">
        <f t="shared" si="393"/>
        <v>546.76355999999998</v>
      </c>
      <c r="EI123" s="255">
        <f t="shared" si="393"/>
        <v>559.58899999999994</v>
      </c>
      <c r="EJ123" s="255">
        <f t="shared" si="393"/>
        <v>574.01317500000005</v>
      </c>
      <c r="EK123" s="255">
        <f t="shared" si="393"/>
        <v>588.78179999999998</v>
      </c>
      <c r="EL123" s="255">
        <f t="shared" si="393"/>
        <v>610.41100000000006</v>
      </c>
      <c r="EM123" s="255">
        <f t="shared" si="393"/>
        <v>601.86599999999999</v>
      </c>
      <c r="EN123" s="255">
        <f t="shared" si="393"/>
        <v>599.40900000000011</v>
      </c>
      <c r="EO123" s="255">
        <f t="shared" si="393"/>
        <v>602.95900000000006</v>
      </c>
      <c r="EP123" s="255">
        <f t="shared" si="393"/>
        <v>600.47499999999991</v>
      </c>
      <c r="ES123" s="355">
        <f t="shared" si="201"/>
        <v>118</v>
      </c>
      <c r="ET123"/>
      <c r="EU123"/>
      <c r="EV123"/>
      <c r="EW123"/>
      <c r="EX123"/>
      <c r="EY123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</row>
    <row r="124" spans="1:257" s="4" customFormat="1" hidden="1" outlineLevel="2">
      <c r="A124" s="15"/>
      <c r="B124" s="28" t="s">
        <v>158</v>
      </c>
      <c r="C124" s="62"/>
      <c r="D124" s="62"/>
      <c r="E124" s="136"/>
      <c r="F124" s="136"/>
      <c r="G124" s="136"/>
      <c r="H124" s="136"/>
      <c r="I124" s="136"/>
      <c r="J124" s="136"/>
      <c r="K124" s="136"/>
      <c r="L124" s="136"/>
      <c r="M124" s="62"/>
      <c r="N124" s="62">
        <f t="shared" ref="N124:AF124" si="394">-N18</f>
        <v>165.39400000000001</v>
      </c>
      <c r="O124" s="62">
        <f t="shared" si="394"/>
        <v>201.39800000000002</v>
      </c>
      <c r="P124" s="62">
        <f t="shared" si="394"/>
        <v>246.17699999999996</v>
      </c>
      <c r="Q124" s="62">
        <f t="shared" si="394"/>
        <v>294.16399999999999</v>
      </c>
      <c r="R124" s="62">
        <f t="shared" si="394"/>
        <v>398.87300000000005</v>
      </c>
      <c r="S124" s="62">
        <f t="shared" si="394"/>
        <v>587.82500000000005</v>
      </c>
      <c r="T124" s="62">
        <f t="shared" si="394"/>
        <v>756.82799999999997</v>
      </c>
      <c r="U124" s="62">
        <f t="shared" si="394"/>
        <v>663.38499999999999</v>
      </c>
      <c r="V124" s="62">
        <f t="shared" si="394"/>
        <v>772.76599999999996</v>
      </c>
      <c r="W124" s="62">
        <f t="shared" si="394"/>
        <v>1116.126</v>
      </c>
      <c r="X124" s="62">
        <f t="shared" si="394"/>
        <v>1407.9859999999999</v>
      </c>
      <c r="Y124" s="62">
        <f t="shared" si="394"/>
        <v>1424.7160000000001</v>
      </c>
      <c r="Z124" s="62">
        <f t="shared" si="394"/>
        <v>1576.7019999999998</v>
      </c>
      <c r="AA124" s="62">
        <f t="shared" si="394"/>
        <v>1254.424</v>
      </c>
      <c r="AB124" s="62">
        <f t="shared" si="394"/>
        <v>576.77509599999996</v>
      </c>
      <c r="AC124" s="62">
        <f t="shared" si="394"/>
        <v>982.83524000000011</v>
      </c>
      <c r="AD124" s="62">
        <f t="shared" si="394"/>
        <v>1269.3661975</v>
      </c>
      <c r="AE124" s="62">
        <f t="shared" si="394"/>
        <v>1396.2125000000001</v>
      </c>
      <c r="AF124" s="62">
        <f t="shared" si="394"/>
        <v>1485.92</v>
      </c>
      <c r="AG124" s="18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  <c r="AY124" s="136"/>
      <c r="AZ124" s="136"/>
      <c r="BA124" s="136"/>
      <c r="BB124" s="136"/>
      <c r="BC124" s="136"/>
      <c r="BD124" s="136"/>
      <c r="BE124" s="136"/>
      <c r="BF124" s="136"/>
      <c r="BG124" s="136"/>
      <c r="BH124" s="136"/>
      <c r="BI124" s="136"/>
      <c r="BJ124" s="136"/>
      <c r="BK124" s="136"/>
      <c r="BL124" s="136"/>
      <c r="BM124" s="136"/>
      <c r="BN124" s="136"/>
      <c r="BO124" s="136"/>
      <c r="BP124" s="136"/>
      <c r="BQ124" s="136"/>
      <c r="BR124" s="136"/>
      <c r="BS124" s="136"/>
      <c r="BT124" s="136"/>
      <c r="BU124" s="254">
        <f t="shared" ref="BU124:CZ124" si="395">-BU18</f>
        <v>44.564</v>
      </c>
      <c r="BV124" s="254">
        <f t="shared" si="395"/>
        <v>45.856000000000002</v>
      </c>
      <c r="BW124" s="254">
        <f t="shared" si="395"/>
        <v>49.136000000000003</v>
      </c>
      <c r="BX124" s="254">
        <f t="shared" si="395"/>
        <v>52.326999999999998</v>
      </c>
      <c r="BY124" s="254">
        <f t="shared" si="395"/>
        <v>54.079000000000001</v>
      </c>
      <c r="BZ124" s="254">
        <f t="shared" si="395"/>
        <v>53.49</v>
      </c>
      <c r="CA124" s="254">
        <f t="shared" si="395"/>
        <v>60.942999999999998</v>
      </c>
      <c r="CB124" s="254">
        <f t="shared" si="395"/>
        <v>62.783999999999999</v>
      </c>
      <c r="CC124" s="254">
        <f t="shared" si="395"/>
        <v>68.959999999999994</v>
      </c>
      <c r="CD124" s="254">
        <f t="shared" si="395"/>
        <v>66.977999999999994</v>
      </c>
      <c r="CE124" s="254">
        <f t="shared" si="395"/>
        <v>69.694999999999993</v>
      </c>
      <c r="CF124" s="254">
        <f t="shared" si="395"/>
        <v>74.638999999999996</v>
      </c>
      <c r="CG124" s="254">
        <f t="shared" si="395"/>
        <v>82.852000000000004</v>
      </c>
      <c r="CH124" s="254">
        <f t="shared" si="395"/>
        <v>84.215000000000003</v>
      </c>
      <c r="CI124" s="254">
        <f t="shared" si="395"/>
        <v>92.051000000000002</v>
      </c>
      <c r="CJ124" s="254">
        <f t="shared" si="395"/>
        <v>102.09399999999999</v>
      </c>
      <c r="CK124" s="254">
        <f t="shared" si="395"/>
        <v>120.51300000000001</v>
      </c>
      <c r="CL124" s="254">
        <f t="shared" si="395"/>
        <v>127.357</v>
      </c>
      <c r="CM124" s="254">
        <f t="shared" si="395"/>
        <v>132.399</v>
      </c>
      <c r="CN124" s="254">
        <f t="shared" si="395"/>
        <v>157.75800000000001</v>
      </c>
      <c r="CO124" s="254">
        <f t="shared" si="395"/>
        <v>170.31100000000001</v>
      </c>
      <c r="CP124" s="254">
        <f t="shared" si="395"/>
        <v>165.565</v>
      </c>
      <c r="CQ124" s="254">
        <f t="shared" si="395"/>
        <v>181.75700000000001</v>
      </c>
      <c r="CR124" s="254">
        <f t="shared" si="395"/>
        <v>187.77099999999999</v>
      </c>
      <c r="CS124" s="254">
        <f t="shared" si="395"/>
        <v>221.73500000000001</v>
      </c>
      <c r="CT124" s="254">
        <f t="shared" si="395"/>
        <v>233.30600000000001</v>
      </c>
      <c r="CU124" s="254">
        <f t="shared" si="395"/>
        <v>172.03299999999999</v>
      </c>
      <c r="CV124" s="254">
        <f t="shared" si="395"/>
        <v>133.041</v>
      </c>
      <c r="CW124" s="254">
        <f t="shared" si="395"/>
        <v>125.005</v>
      </c>
      <c r="CX124" s="254">
        <f t="shared" si="395"/>
        <v>138.35499999999999</v>
      </c>
      <c r="CY124" s="254">
        <f t="shared" si="395"/>
        <v>176.42400000000001</v>
      </c>
      <c r="CZ124" s="254">
        <f t="shared" si="395"/>
        <v>206.70699999999999</v>
      </c>
      <c r="DA124" s="254">
        <f t="shared" ref="DA124:ED124" si="396">-DA18</f>
        <v>251.28</v>
      </c>
      <c r="DB124" s="254">
        <f t="shared" si="396"/>
        <v>252.238</v>
      </c>
      <c r="DC124" s="254">
        <f t="shared" si="396"/>
        <v>260.834</v>
      </c>
      <c r="DD124" s="254">
        <f t="shared" si="396"/>
        <v>285.73699999999997</v>
      </c>
      <c r="DE124" s="254">
        <f t="shared" si="396"/>
        <v>317.31700000000001</v>
      </c>
      <c r="DF124" s="254">
        <f t="shared" si="396"/>
        <v>312.30599999999998</v>
      </c>
      <c r="DG124" s="254">
        <f t="shared" si="396"/>
        <v>362.89800000000002</v>
      </c>
      <c r="DH124" s="254">
        <f t="shared" si="396"/>
        <v>382.41800000000001</v>
      </c>
      <c r="DI124" s="254">
        <f t="shared" si="396"/>
        <v>350.36399999999998</v>
      </c>
      <c r="DJ124" s="254">
        <f t="shared" si="396"/>
        <v>361.06799999999998</v>
      </c>
      <c r="DK124" s="254">
        <f t="shared" si="396"/>
        <v>354.17</v>
      </c>
      <c r="DL124" s="254">
        <f t="shared" si="396"/>
        <v>348.85</v>
      </c>
      <c r="DM124" s="254">
        <f t="shared" si="396"/>
        <v>360.62799999999999</v>
      </c>
      <c r="DN124" s="254">
        <f t="shared" si="396"/>
        <v>367.18599999999998</v>
      </c>
      <c r="DO124" s="254">
        <f t="shared" si="396"/>
        <v>378.34699999999998</v>
      </c>
      <c r="DP124" s="254">
        <f t="shared" si="396"/>
        <v>408.99</v>
      </c>
      <c r="DQ124" s="254">
        <f t="shared" si="396"/>
        <v>422.17899999999997</v>
      </c>
      <c r="DR124" s="254">
        <f t="shared" si="396"/>
        <v>441.12599999999998</v>
      </c>
      <c r="DS124" s="254">
        <f t="shared" si="396"/>
        <v>352.48899999999998</v>
      </c>
      <c r="DT124" s="254">
        <f t="shared" si="396"/>
        <v>241.10900000000001</v>
      </c>
      <c r="DU124" s="254">
        <f t="shared" si="396"/>
        <v>219.7</v>
      </c>
      <c r="DV124" s="254">
        <f t="shared" si="396"/>
        <v>181.541</v>
      </c>
      <c r="DW124" s="254">
        <f t="shared" si="396"/>
        <v>154.82789</v>
      </c>
      <c r="DX124" s="254">
        <f t="shared" si="396"/>
        <v>119.977671</v>
      </c>
      <c r="DY124" s="254">
        <f t="shared" si="396"/>
        <v>120.42853500000001</v>
      </c>
      <c r="DZ124" s="254">
        <f t="shared" si="396"/>
        <v>169.23623999999998</v>
      </c>
      <c r="EA124" s="254">
        <f t="shared" si="396"/>
        <v>238.249</v>
      </c>
      <c r="EB124" s="254">
        <f t="shared" si="396"/>
        <v>277.37200000000001</v>
      </c>
      <c r="EC124" s="254">
        <f t="shared" si="396"/>
        <v>297.97800000000001</v>
      </c>
      <c r="ED124" s="254">
        <f t="shared" si="396"/>
        <v>299.06400000000002</v>
      </c>
      <c r="EE124" s="62">
        <f t="shared" ref="EE124:EP124" si="397">EE109*EE113/1000000+EE118</f>
        <v>308.73719749999998</v>
      </c>
      <c r="EF124" s="62">
        <f t="shared" si="397"/>
        <v>325.58999999999997</v>
      </c>
      <c r="EG124" s="62">
        <f t="shared" si="397"/>
        <v>335.97500000000002</v>
      </c>
      <c r="EH124" s="62">
        <f t="shared" si="397"/>
        <v>342.185</v>
      </c>
      <c r="EI124" s="62">
        <f t="shared" si="397"/>
        <v>341.91500000000002</v>
      </c>
      <c r="EJ124" s="62">
        <f t="shared" si="397"/>
        <v>351.29750000000001</v>
      </c>
      <c r="EK124" s="62">
        <f t="shared" si="397"/>
        <v>360.815</v>
      </c>
      <c r="EL124" s="62">
        <f t="shared" si="397"/>
        <v>373.23500000000001</v>
      </c>
      <c r="EM124" s="62">
        <f t="shared" si="397"/>
        <v>369.72500000000002</v>
      </c>
      <c r="EN124" s="62">
        <f t="shared" si="397"/>
        <v>369.72500000000002</v>
      </c>
      <c r="EO124" s="62">
        <f t="shared" si="397"/>
        <v>373.23500000000001</v>
      </c>
      <c r="EP124" s="62">
        <f t="shared" si="397"/>
        <v>373.23500000000001</v>
      </c>
      <c r="ES124" s="355">
        <f t="shared" si="201"/>
        <v>119</v>
      </c>
      <c r="ET124"/>
      <c r="EU124"/>
      <c r="EV124"/>
      <c r="EW124"/>
      <c r="EX124"/>
      <c r="EY124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</row>
    <row r="125" spans="1:257" s="4" customFormat="1" hidden="1" outlineLevel="2">
      <c r="A125" s="15"/>
      <c r="B125" s="14" t="s">
        <v>157</v>
      </c>
      <c r="C125" s="62"/>
      <c r="D125" s="62"/>
      <c r="E125" s="136"/>
      <c r="F125" s="136"/>
      <c r="G125" s="136"/>
      <c r="H125" s="136"/>
      <c r="I125" s="136"/>
      <c r="J125" s="136"/>
      <c r="K125" s="136"/>
      <c r="L125" s="136"/>
      <c r="M125" s="62"/>
      <c r="N125" s="62">
        <f t="shared" ref="N125:W126" si="398">SUMIF($AH$5:$ER$5,N$5,$AH125:$ER125)</f>
        <v>3.4969999999999999</v>
      </c>
      <c r="O125" s="62">
        <f t="shared" si="398"/>
        <v>9.3040000000000003</v>
      </c>
      <c r="P125" s="62">
        <f t="shared" si="398"/>
        <v>7.7649999999999988</v>
      </c>
      <c r="Q125" s="62">
        <f t="shared" si="398"/>
        <v>8.5940000000000012</v>
      </c>
      <c r="R125" s="62">
        <f t="shared" si="398"/>
        <v>12.807</v>
      </c>
      <c r="S125" s="62">
        <f t="shared" si="398"/>
        <v>14.023999999999999</v>
      </c>
      <c r="T125" s="62">
        <f t="shared" si="398"/>
        <v>17.599</v>
      </c>
      <c r="U125" s="62">
        <f t="shared" si="398"/>
        <v>16.812000000000001</v>
      </c>
      <c r="V125" s="62">
        <f t="shared" si="398"/>
        <v>23.798999999999999</v>
      </c>
      <c r="W125" s="62">
        <f t="shared" si="398"/>
        <v>25.066000000000003</v>
      </c>
      <c r="X125" s="62">
        <f t="shared" ref="X125:AF126" si="399">SUMIF($AH$5:$ER$5,X$5,$AH125:$ER125)</f>
        <v>29.901</v>
      </c>
      <c r="Y125" s="62">
        <f t="shared" si="399"/>
        <v>37.07</v>
      </c>
      <c r="Z125" s="62">
        <f t="shared" si="399"/>
        <v>41.573</v>
      </c>
      <c r="AA125" s="62">
        <f t="shared" si="399"/>
        <v>50.768999999999998</v>
      </c>
      <c r="AB125" s="62">
        <f t="shared" si="399"/>
        <v>50.057000000000002</v>
      </c>
      <c r="AC125" s="62">
        <f t="shared" si="399"/>
        <v>50.711999999999996</v>
      </c>
      <c r="AD125" s="62">
        <f t="shared" si="399"/>
        <v>54.575946635730858</v>
      </c>
      <c r="AE125" s="62">
        <f t="shared" si="399"/>
        <v>55.476955824564968</v>
      </c>
      <c r="AF125" s="62">
        <f t="shared" si="399"/>
        <v>57.729542693635167</v>
      </c>
      <c r="AG125" s="18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  <c r="AY125" s="136"/>
      <c r="AZ125" s="136"/>
      <c r="BA125" s="136"/>
      <c r="BB125" s="136"/>
      <c r="BC125" s="136"/>
      <c r="BD125" s="136"/>
      <c r="BE125" s="136"/>
      <c r="BF125" s="136"/>
      <c r="BG125" s="136"/>
      <c r="BH125" s="136"/>
      <c r="BI125" s="136"/>
      <c r="BJ125" s="136"/>
      <c r="BK125" s="136"/>
      <c r="BL125" s="136"/>
      <c r="BM125" s="136"/>
      <c r="BN125" s="136"/>
      <c r="BO125" s="136"/>
      <c r="BP125" s="136"/>
      <c r="BQ125" s="136"/>
      <c r="BR125" s="136"/>
      <c r="BS125" s="136"/>
      <c r="BT125" s="136"/>
      <c r="BU125" s="252">
        <v>3.4969999999999999</v>
      </c>
      <c r="BV125" s="252">
        <v>3.3370000000000002</v>
      </c>
      <c r="BW125" s="252">
        <v>2.1480000000000001</v>
      </c>
      <c r="BX125" s="252">
        <v>2.1080000000000001</v>
      </c>
      <c r="BY125" s="252">
        <v>1.7110000000000001</v>
      </c>
      <c r="BZ125" s="252">
        <v>1.925</v>
      </c>
      <c r="CA125" s="252">
        <v>1.867</v>
      </c>
      <c r="CB125" s="252">
        <v>1.831</v>
      </c>
      <c r="CC125" s="252">
        <v>2.1419999999999999</v>
      </c>
      <c r="CD125" s="252">
        <v>1.8660000000000001</v>
      </c>
      <c r="CE125" s="252">
        <v>1.839</v>
      </c>
      <c r="CF125" s="252">
        <v>2.3460000000000001</v>
      </c>
      <c r="CG125" s="252">
        <v>2.5430000000000001</v>
      </c>
      <c r="CH125" s="252">
        <v>3.0819999999999999</v>
      </c>
      <c r="CI125" s="252">
        <v>3.9079999999999999</v>
      </c>
      <c r="CJ125" s="252">
        <v>2.903</v>
      </c>
      <c r="CK125" s="252">
        <v>2.9140000000000001</v>
      </c>
      <c r="CL125" s="252">
        <v>3.452</v>
      </c>
      <c r="CM125" s="252">
        <v>3.1509999999999998</v>
      </c>
      <c r="CN125" s="252">
        <v>3.625</v>
      </c>
      <c r="CO125" s="252">
        <v>3.7959999999999998</v>
      </c>
      <c r="CP125" s="252">
        <v>4.3940000000000001</v>
      </c>
      <c r="CQ125" s="252">
        <v>4.2569999999999997</v>
      </c>
      <c r="CR125" s="252">
        <v>4.8010000000000002</v>
      </c>
      <c r="CS125" s="252">
        <v>4.1470000000000002</v>
      </c>
      <c r="CT125" s="252">
        <v>4.4269999999999996</v>
      </c>
      <c r="CU125" s="252">
        <v>4.274</v>
      </c>
      <c r="CV125" s="252">
        <v>4.133</v>
      </c>
      <c r="CW125" s="252">
        <v>3.9780000000000002</v>
      </c>
      <c r="CX125" s="252">
        <v>6.6609999999999996</v>
      </c>
      <c r="CY125" s="252">
        <v>6.0739999999999998</v>
      </c>
      <c r="CZ125" s="252">
        <v>5.4580000000000002</v>
      </c>
      <c r="DA125" s="252">
        <v>5.6059999999999999</v>
      </c>
      <c r="DB125" s="252">
        <v>5.8550000000000004</v>
      </c>
      <c r="DC125" s="252">
        <v>6.3879999999999999</v>
      </c>
      <c r="DD125" s="252">
        <v>6.33</v>
      </c>
      <c r="DE125" s="252">
        <v>6.4930000000000003</v>
      </c>
      <c r="DF125" s="252">
        <v>7.298</v>
      </c>
      <c r="DG125" s="252">
        <v>7.298</v>
      </c>
      <c r="DH125" s="252">
        <v>7.2270000000000003</v>
      </c>
      <c r="DI125" s="252">
        <v>8.0779999999999994</v>
      </c>
      <c r="DJ125" s="252">
        <v>9.3209999999999997</v>
      </c>
      <c r="DK125" s="252">
        <v>9.0570000000000004</v>
      </c>
      <c r="DL125" s="252">
        <v>9.2840000000000007</v>
      </c>
      <c r="DM125" s="252">
        <v>9.4079999999999995</v>
      </c>
      <c r="DN125" s="252">
        <v>9.9570000000000007</v>
      </c>
      <c r="DO125" s="252">
        <v>10.656000000000001</v>
      </c>
      <c r="DP125" s="252">
        <v>9.548</v>
      </c>
      <c r="DQ125" s="252">
        <v>11.412000000000001</v>
      </c>
      <c r="DR125" s="252">
        <v>11.715</v>
      </c>
      <c r="DS125" s="252">
        <v>12.605</v>
      </c>
      <c r="DT125" s="252">
        <v>10.465</v>
      </c>
      <c r="DU125" s="252">
        <v>15.984</v>
      </c>
      <c r="DV125" s="252">
        <v>12.372999999999999</v>
      </c>
      <c r="DW125" s="252">
        <v>12.196</v>
      </c>
      <c r="DX125" s="252">
        <v>14.221</v>
      </c>
      <c r="DY125" s="252">
        <v>11.266999999999999</v>
      </c>
      <c r="DZ125" s="252">
        <v>11.641999999999999</v>
      </c>
      <c r="EA125" s="252">
        <v>12.573</v>
      </c>
      <c r="EB125" s="252">
        <v>13.347</v>
      </c>
      <c r="EC125" s="252">
        <v>13.15</v>
      </c>
      <c r="ED125" s="252">
        <v>13.993</v>
      </c>
      <c r="EE125" s="251">
        <f t="shared" ref="EE125:EP125" si="400">EE200</f>
        <v>13.527648878576951</v>
      </c>
      <c r="EF125" s="251">
        <f t="shared" si="400"/>
        <v>13.527648878576951</v>
      </c>
      <c r="EG125" s="251">
        <f t="shared" si="400"/>
        <v>13.527648878576951</v>
      </c>
      <c r="EH125" s="251">
        <f t="shared" si="400"/>
        <v>13.662925367362721</v>
      </c>
      <c r="EI125" s="251">
        <f t="shared" si="400"/>
        <v>13.79955462103635</v>
      </c>
      <c r="EJ125" s="251">
        <f t="shared" si="400"/>
        <v>13.937550167246714</v>
      </c>
      <c r="EK125" s="251">
        <f t="shared" si="400"/>
        <v>14.076925668919181</v>
      </c>
      <c r="EL125" s="251">
        <f t="shared" si="400"/>
        <v>14.217694925608372</v>
      </c>
      <c r="EM125" s="251">
        <f t="shared" si="400"/>
        <v>14.359871874864456</v>
      </c>
      <c r="EN125" s="251">
        <f t="shared" si="400"/>
        <v>14.5034705936131</v>
      </c>
      <c r="EO125" s="251">
        <f t="shared" si="400"/>
        <v>14.648505299549232</v>
      </c>
      <c r="EP125" s="251">
        <f t="shared" si="400"/>
        <v>14.794990352544723</v>
      </c>
      <c r="ES125" s="355">
        <f t="shared" si="201"/>
        <v>120</v>
      </c>
      <c r="ET125"/>
      <c r="EU125"/>
      <c r="EV125"/>
      <c r="EW125"/>
      <c r="EX125"/>
      <c r="EY125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</row>
    <row r="126" spans="1:257" s="4" customFormat="1" hidden="1" outlineLevel="2">
      <c r="A126" s="15"/>
      <c r="B126" s="253" t="s">
        <v>138</v>
      </c>
      <c r="C126" s="62"/>
      <c r="D126" s="62"/>
      <c r="E126" s="136"/>
      <c r="F126" s="136"/>
      <c r="G126" s="136"/>
      <c r="H126" s="136"/>
      <c r="I126" s="136"/>
      <c r="J126" s="136"/>
      <c r="K126" s="136"/>
      <c r="L126" s="136"/>
      <c r="M126" s="62"/>
      <c r="N126" s="62">
        <f t="shared" si="398"/>
        <v>7.7679999999999998</v>
      </c>
      <c r="O126" s="62">
        <f t="shared" si="398"/>
        <v>44.725999999999999</v>
      </c>
      <c r="P126" s="62">
        <f t="shared" si="398"/>
        <v>56.527999999999999</v>
      </c>
      <c r="Q126" s="62">
        <f t="shared" si="398"/>
        <v>60.222000000000001</v>
      </c>
      <c r="R126" s="62">
        <f t="shared" si="398"/>
        <v>66.12700000000001</v>
      </c>
      <c r="S126" s="62">
        <f t="shared" si="398"/>
        <v>106.107</v>
      </c>
      <c r="T126" s="62">
        <f t="shared" si="398"/>
        <v>161.89300000000003</v>
      </c>
      <c r="U126" s="62">
        <f t="shared" si="398"/>
        <v>187.25900000000001</v>
      </c>
      <c r="V126" s="62">
        <f t="shared" si="398"/>
        <v>211.65199999999999</v>
      </c>
      <c r="W126" s="62">
        <f t="shared" si="398"/>
        <v>264.12700000000001</v>
      </c>
      <c r="X126" s="62">
        <f t="shared" si="399"/>
        <v>337.58100000000002</v>
      </c>
      <c r="Y126" s="62">
        <f t="shared" si="399"/>
        <v>391.072</v>
      </c>
      <c r="Z126" s="62">
        <f t="shared" si="399"/>
        <v>438.93400000000003</v>
      </c>
      <c r="AA126" s="62">
        <f t="shared" si="399"/>
        <v>489.95000000000005</v>
      </c>
      <c r="AB126" s="62">
        <f t="shared" si="399"/>
        <v>470.13699999999994</v>
      </c>
      <c r="AC126" s="62">
        <f t="shared" si="399"/>
        <v>466.08600000000001</v>
      </c>
      <c r="AD126" s="62">
        <f t="shared" si="399"/>
        <v>466.65283000515058</v>
      </c>
      <c r="AE126" s="62">
        <f t="shared" si="399"/>
        <v>468.43801475719289</v>
      </c>
      <c r="AF126" s="62">
        <f t="shared" si="399"/>
        <v>460.81651627667742</v>
      </c>
      <c r="AG126" s="18"/>
      <c r="AH126" s="136"/>
      <c r="AI126" s="136"/>
      <c r="AJ126" s="136"/>
      <c r="AK126" s="136"/>
      <c r="AL126" s="136"/>
      <c r="AM126" s="136"/>
      <c r="AN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  <c r="AY126" s="136"/>
      <c r="AZ126" s="136"/>
      <c r="BA126" s="136"/>
      <c r="BB126" s="136"/>
      <c r="BC126" s="136"/>
      <c r="BD126" s="136"/>
      <c r="BE126" s="136"/>
      <c r="BF126" s="136"/>
      <c r="BG126" s="136"/>
      <c r="BH126" s="136"/>
      <c r="BI126" s="136"/>
      <c r="BJ126" s="136"/>
      <c r="BK126" s="136"/>
      <c r="BL126" s="136"/>
      <c r="BM126" s="136"/>
      <c r="BN126" s="136"/>
      <c r="BO126" s="136"/>
      <c r="BP126" s="136"/>
      <c r="BQ126" s="136"/>
      <c r="BR126" s="136"/>
      <c r="BS126" s="136"/>
      <c r="BT126" s="136"/>
      <c r="BU126" s="252">
        <v>7.7679999999999998</v>
      </c>
      <c r="BV126" s="252">
        <v>8.9499999999999993</v>
      </c>
      <c r="BW126" s="252">
        <v>10.484</v>
      </c>
      <c r="BX126" s="252">
        <v>11.936</v>
      </c>
      <c r="BY126" s="252">
        <v>13.356</v>
      </c>
      <c r="BZ126" s="252">
        <v>13.063000000000001</v>
      </c>
      <c r="CA126" s="252">
        <v>13.92</v>
      </c>
      <c r="CB126" s="252">
        <v>14.448</v>
      </c>
      <c r="CC126" s="252">
        <v>15.097</v>
      </c>
      <c r="CD126" s="252">
        <v>14.756</v>
      </c>
      <c r="CE126" s="252">
        <v>15.063000000000001</v>
      </c>
      <c r="CF126" s="252">
        <v>14.491</v>
      </c>
      <c r="CG126" s="252">
        <v>15.912000000000001</v>
      </c>
      <c r="CH126" s="252">
        <v>14.465999999999999</v>
      </c>
      <c r="CI126" s="252">
        <v>14.832000000000001</v>
      </c>
      <c r="CJ126" s="252">
        <v>16.158999999999999</v>
      </c>
      <c r="CK126" s="252">
        <v>20.67</v>
      </c>
      <c r="CL126" s="252">
        <v>20.683</v>
      </c>
      <c r="CM126" s="252">
        <v>23.812999999999999</v>
      </c>
      <c r="CN126" s="252">
        <v>27.512</v>
      </c>
      <c r="CO126" s="252">
        <v>34.098999999999997</v>
      </c>
      <c r="CP126" s="252">
        <v>33.844000000000001</v>
      </c>
      <c r="CQ126" s="252">
        <v>35.509</v>
      </c>
      <c r="CR126" s="252">
        <v>39.770000000000003</v>
      </c>
      <c r="CS126" s="252">
        <v>52.77</v>
      </c>
      <c r="CT126" s="252">
        <v>43.423000000000002</v>
      </c>
      <c r="CU126" s="252">
        <v>45.277000000000001</v>
      </c>
      <c r="CV126" s="252">
        <v>48.591000000000001</v>
      </c>
      <c r="CW126" s="252">
        <v>49.968000000000004</v>
      </c>
      <c r="CX126" s="252">
        <v>48.53</v>
      </c>
      <c r="CY126" s="252">
        <v>51.218000000000004</v>
      </c>
      <c r="CZ126" s="252">
        <v>51.686</v>
      </c>
      <c r="DA126" s="252">
        <v>60.218000000000004</v>
      </c>
      <c r="DB126" s="252">
        <v>60.363999999999997</v>
      </c>
      <c r="DC126" s="252">
        <v>63.948</v>
      </c>
      <c r="DD126" s="252">
        <v>66.899000000000001</v>
      </c>
      <c r="DE126" s="252">
        <v>72.915999999999997</v>
      </c>
      <c r="DF126" s="252">
        <v>73.468999999999994</v>
      </c>
      <c r="DG126" s="252">
        <v>77.751999999999995</v>
      </c>
      <c r="DH126" s="252">
        <v>81.456999999999994</v>
      </c>
      <c r="DI126" s="252">
        <f>100.045+4.858</f>
        <v>104.90300000000001</v>
      </c>
      <c r="DJ126" s="252">
        <v>91.253</v>
      </c>
      <c r="DK126" s="252">
        <v>96.484999999999999</v>
      </c>
      <c r="DL126" s="252">
        <v>101.294</v>
      </c>
      <c r="DM126" s="252">
        <v>102.04</v>
      </c>
      <c r="DN126" s="252">
        <v>103.57899999999999</v>
      </c>
      <c r="DO126" s="252">
        <v>107.726</v>
      </c>
      <c r="DP126" s="252">
        <v>112.639</v>
      </c>
      <c r="DQ126" s="252">
        <f>131.99-17</f>
        <v>114.99000000000001</v>
      </c>
      <c r="DR126" s="252">
        <v>119.084</v>
      </c>
      <c r="DS126" s="252">
        <v>128.50299999999999</v>
      </c>
      <c r="DT126" s="252">
        <v>121.307</v>
      </c>
      <c r="DU126" s="252">
        <f>151.056-30</f>
        <v>121.05600000000001</v>
      </c>
      <c r="DV126" s="252">
        <v>120.35899999999999</v>
      </c>
      <c r="DW126" s="252">
        <v>118.682</v>
      </c>
      <c r="DX126" s="252">
        <v>116.06100000000001</v>
      </c>
      <c r="DY126" s="252">
        <f>153.135-38.1</f>
        <v>115.035</v>
      </c>
      <c r="DZ126" s="252">
        <v>112.276</v>
      </c>
      <c r="EA126" s="252">
        <f>131.995-18</f>
        <v>113.995</v>
      </c>
      <c r="EB126" s="252">
        <v>122.777</v>
      </c>
      <c r="EC126" s="252">
        <f>132.438-15.4</f>
        <v>117.03799999999998</v>
      </c>
      <c r="ED126" s="252">
        <f>123.838-7.2</f>
        <v>116.63799999999999</v>
      </c>
      <c r="EE126" s="251">
        <f t="shared" ref="EE126:EP126" si="401">EE207</f>
        <v>116.69714749351421</v>
      </c>
      <c r="EF126" s="251">
        <f t="shared" si="401"/>
        <v>116.31676910551415</v>
      </c>
      <c r="EG126" s="251">
        <f t="shared" si="401"/>
        <v>117.00091340612219</v>
      </c>
      <c r="EH126" s="251">
        <f t="shared" si="401"/>
        <v>117.65917588481625</v>
      </c>
      <c r="EI126" s="251">
        <f t="shared" si="401"/>
        <v>117.32312723728825</v>
      </c>
      <c r="EJ126" s="251">
        <f t="shared" si="401"/>
        <v>116.97211479030956</v>
      </c>
      <c r="EK126" s="251">
        <f t="shared" si="401"/>
        <v>116.48359684477883</v>
      </c>
      <c r="EL126" s="251">
        <f t="shared" si="401"/>
        <v>115.98290523918321</v>
      </c>
      <c r="EM126" s="251">
        <f t="shared" si="401"/>
        <v>115.47076244153878</v>
      </c>
      <c r="EN126" s="251">
        <f t="shared" si="401"/>
        <v>114.94788178071522</v>
      </c>
      <c r="EO126" s="251">
        <f t="shared" si="401"/>
        <v>114.41496681524025</v>
      </c>
      <c r="EP126" s="251">
        <f t="shared" si="401"/>
        <v>113.87271073474906</v>
      </c>
      <c r="ES126" s="355">
        <f t="shared" si="201"/>
        <v>121</v>
      </c>
      <c r="ET126"/>
      <c r="EU126"/>
      <c r="EV126"/>
      <c r="EW126"/>
      <c r="EX126"/>
      <c r="EY126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</row>
    <row r="127" spans="1:257" s="4" customFormat="1" hidden="1" outlineLevel="2">
      <c r="A127" s="15"/>
      <c r="B127" s="250" t="s">
        <v>156</v>
      </c>
      <c r="C127" s="127"/>
      <c r="D127" s="127"/>
      <c r="E127" s="249">
        <v>0.122</v>
      </c>
      <c r="F127" s="249">
        <v>5.8739999999999997</v>
      </c>
      <c r="G127" s="249">
        <v>7.1269999999999998</v>
      </c>
      <c r="H127" s="249">
        <v>10.066000000000001</v>
      </c>
      <c r="I127" s="249">
        <v>24.437000000000001</v>
      </c>
      <c r="J127" s="249">
        <v>35.817</v>
      </c>
      <c r="K127" s="249">
        <v>30.154</v>
      </c>
      <c r="L127" s="249">
        <v>35.808</v>
      </c>
      <c r="M127" s="249">
        <v>107.691</v>
      </c>
      <c r="N127" s="127">
        <f t="shared" ref="N127:AF127" si="402">N123-SUM(N124:N126)</f>
        <v>187.90900000000002</v>
      </c>
      <c r="O127" s="127">
        <f t="shared" si="402"/>
        <v>18.564999999999969</v>
      </c>
      <c r="P127" s="127">
        <f t="shared" si="402"/>
        <v>35.545000000000073</v>
      </c>
      <c r="Q127" s="127">
        <f t="shared" si="402"/>
        <v>164.6570000000001</v>
      </c>
      <c r="R127" s="127">
        <f t="shared" si="402"/>
        <v>351.25500000000005</v>
      </c>
      <c r="S127" s="127">
        <f t="shared" si="402"/>
        <v>466.99999999999989</v>
      </c>
      <c r="T127" s="127">
        <f t="shared" si="402"/>
        <v>605.71799999999973</v>
      </c>
      <c r="U127" s="127">
        <f t="shared" si="402"/>
        <v>573.70799999999997</v>
      </c>
      <c r="V127" s="127">
        <f t="shared" si="402"/>
        <v>404.27800000000025</v>
      </c>
      <c r="W127" s="127">
        <f t="shared" si="402"/>
        <v>695.18899999999985</v>
      </c>
      <c r="X127" s="127">
        <f t="shared" si="402"/>
        <v>903.00700000000052</v>
      </c>
      <c r="Y127" s="127">
        <f t="shared" si="402"/>
        <v>916.15139999999974</v>
      </c>
      <c r="Z127" s="127">
        <f t="shared" si="402"/>
        <v>1032.8431920000003</v>
      </c>
      <c r="AA127" s="127">
        <f t="shared" si="402"/>
        <v>525.17941900000005</v>
      </c>
      <c r="AB127" s="127">
        <f t="shared" si="402"/>
        <v>-73.46673799999985</v>
      </c>
      <c r="AC127" s="127">
        <f t="shared" si="402"/>
        <v>-84.563736000000063</v>
      </c>
      <c r="AD127" s="127">
        <f t="shared" si="402"/>
        <v>152.01426110911871</v>
      </c>
      <c r="AE127" s="127">
        <f t="shared" si="402"/>
        <v>349.0200644182421</v>
      </c>
      <c r="AF127" s="127">
        <f t="shared" si="402"/>
        <v>410.17894102968762</v>
      </c>
      <c r="AG127" s="165"/>
      <c r="AH127" s="248"/>
      <c r="AI127" s="248"/>
      <c r="AJ127" s="248"/>
      <c r="AK127" s="248"/>
      <c r="AL127" s="248"/>
      <c r="AM127" s="248"/>
      <c r="AN127" s="248"/>
      <c r="AO127" s="248"/>
      <c r="AP127" s="248"/>
      <c r="AQ127" s="248"/>
      <c r="AR127" s="248"/>
      <c r="AS127" s="248"/>
      <c r="AT127" s="248"/>
      <c r="AU127" s="248"/>
      <c r="AV127" s="248"/>
      <c r="AW127" s="248"/>
      <c r="AX127" s="248"/>
      <c r="AY127" s="248"/>
      <c r="AZ127" s="248"/>
      <c r="BA127" s="248"/>
      <c r="BB127" s="248"/>
      <c r="BC127" s="248"/>
      <c r="BD127" s="248"/>
      <c r="BE127" s="248"/>
      <c r="BF127" s="248"/>
      <c r="BG127" s="248"/>
      <c r="BH127" s="248"/>
      <c r="BI127" s="248"/>
      <c r="BJ127" s="248"/>
      <c r="BK127" s="248"/>
      <c r="BL127" s="248"/>
      <c r="BM127" s="248"/>
      <c r="BN127" s="248"/>
      <c r="BO127" s="248"/>
      <c r="BP127" s="248"/>
      <c r="BQ127" s="248"/>
      <c r="BR127" s="248"/>
      <c r="BS127" s="248"/>
      <c r="BT127" s="248"/>
      <c r="BU127" s="127">
        <f t="shared" ref="BU127:CZ127" si="403">BU123-SUM(BU124:BU126)</f>
        <v>3.857999999999997</v>
      </c>
      <c r="BV127" s="127">
        <f t="shared" si="403"/>
        <v>0.89499999999999602</v>
      </c>
      <c r="BW127" s="127">
        <f t="shared" si="403"/>
        <v>3.6439999999999984</v>
      </c>
      <c r="BX127" s="127">
        <f t="shared" si="403"/>
        <v>7.6650000000000063</v>
      </c>
      <c r="BY127" s="127">
        <f t="shared" si="403"/>
        <v>6.3610000000000042</v>
      </c>
      <c r="BZ127" s="127">
        <f t="shared" si="403"/>
        <v>6.4550000000000125</v>
      </c>
      <c r="CA127" s="127">
        <f t="shared" si="403"/>
        <v>5.7470000000000141</v>
      </c>
      <c r="CB127" s="127">
        <f t="shared" si="403"/>
        <v>9.487000000000009</v>
      </c>
      <c r="CC127" s="127">
        <f t="shared" si="403"/>
        <v>13.856000000000023</v>
      </c>
      <c r="CD127" s="127">
        <f t="shared" si="403"/>
        <v>25.588000000000008</v>
      </c>
      <c r="CE127" s="127">
        <f t="shared" si="403"/>
        <v>35.797000000000011</v>
      </c>
      <c r="CF127" s="127">
        <f t="shared" si="403"/>
        <v>47.244</v>
      </c>
      <c r="CG127" s="127">
        <f t="shared" si="403"/>
        <v>56.027999999999992</v>
      </c>
      <c r="CH127" s="127">
        <f t="shared" si="403"/>
        <v>70.991</v>
      </c>
      <c r="CI127" s="127">
        <f t="shared" si="403"/>
        <v>82.87700000000001</v>
      </c>
      <c r="CJ127" s="127">
        <f t="shared" si="403"/>
        <v>93.707999999999998</v>
      </c>
      <c r="CK127" s="127">
        <f t="shared" si="403"/>
        <v>103.679</v>
      </c>
      <c r="CL127" s="127">
        <f t="shared" si="403"/>
        <v>118.40799999999999</v>
      </c>
      <c r="CM127" s="127">
        <f t="shared" si="403"/>
        <v>109.78199999999998</v>
      </c>
      <c r="CN127" s="127">
        <f t="shared" si="403"/>
        <v>114.619</v>
      </c>
      <c r="CO127" s="127">
        <f t="shared" si="403"/>
        <v>124.191</v>
      </c>
      <c r="CP127" s="127">
        <f t="shared" si="403"/>
        <v>143.84100000000001</v>
      </c>
      <c r="CQ127" s="127">
        <f t="shared" si="403"/>
        <v>143.73999999999995</v>
      </c>
      <c r="CR127" s="127">
        <f t="shared" si="403"/>
        <v>159.41300000000001</v>
      </c>
      <c r="CS127" s="127">
        <f t="shared" si="403"/>
        <v>158.72399999999999</v>
      </c>
      <c r="CT127" s="127">
        <f t="shared" si="403"/>
        <v>194.048</v>
      </c>
      <c r="CU127" s="127">
        <f t="shared" si="403"/>
        <v>192.93</v>
      </c>
      <c r="CV127" s="127">
        <f t="shared" si="403"/>
        <v>96.592999999999989</v>
      </c>
      <c r="CW127" s="127">
        <f t="shared" si="403"/>
        <v>90.137</v>
      </c>
      <c r="CX127" s="127">
        <f t="shared" si="403"/>
        <v>91.523000000000025</v>
      </c>
      <c r="CY127" s="127">
        <f t="shared" si="403"/>
        <v>90.723000000000013</v>
      </c>
      <c r="CZ127" s="127">
        <f t="shared" si="403"/>
        <v>103.13799999999998</v>
      </c>
      <c r="DA127" s="127">
        <f t="shared" ref="DA127:EF127" si="404">DA123-SUM(DA124:DA126)</f>
        <v>118.89399999999995</v>
      </c>
      <c r="DB127" s="127">
        <f t="shared" si="404"/>
        <v>158.36099999999999</v>
      </c>
      <c r="DC127" s="127">
        <f t="shared" si="404"/>
        <v>164.28900000000004</v>
      </c>
      <c r="DD127" s="127">
        <f t="shared" si="404"/>
        <v>180.40600000000001</v>
      </c>
      <c r="DE127" s="127">
        <f t="shared" si="404"/>
        <v>192.13300000000004</v>
      </c>
      <c r="DF127" s="127">
        <f t="shared" si="404"/>
        <v>224.70600000000002</v>
      </c>
      <c r="DG127" s="127">
        <f t="shared" si="404"/>
        <v>210.85599999999994</v>
      </c>
      <c r="DH127" s="127">
        <f t="shared" si="404"/>
        <v>235.68399999999997</v>
      </c>
      <c r="DI127" s="127">
        <f t="shared" si="404"/>
        <v>231.76100000000002</v>
      </c>
      <c r="DJ127" s="127">
        <f t="shared" si="404"/>
        <v>234.38799999999998</v>
      </c>
      <c r="DK127" s="127">
        <f t="shared" si="404"/>
        <v>225.99799999999999</v>
      </c>
      <c r="DL127" s="127">
        <f t="shared" si="404"/>
        <v>236.38800000000003</v>
      </c>
      <c r="DM127" s="127">
        <f t="shared" si="404"/>
        <v>219.37739999999997</v>
      </c>
      <c r="DN127" s="127">
        <f t="shared" si="404"/>
        <v>241.05019200000004</v>
      </c>
      <c r="DO127" s="127">
        <f t="shared" si="404"/>
        <v>245.06200000000007</v>
      </c>
      <c r="DP127" s="127">
        <f t="shared" si="404"/>
        <v>271.10199999999998</v>
      </c>
      <c r="DQ127" s="127">
        <f t="shared" si="404"/>
        <v>275.62900000000013</v>
      </c>
      <c r="DR127" s="127">
        <f t="shared" si="404"/>
        <v>295.12200000000007</v>
      </c>
      <c r="DS127" s="127">
        <f t="shared" si="404"/>
        <v>153.86877400000003</v>
      </c>
      <c r="DT127" s="127">
        <f t="shared" si="404"/>
        <v>46.017824999999959</v>
      </c>
      <c r="DU127" s="127">
        <f t="shared" si="404"/>
        <v>30.170819999999935</v>
      </c>
      <c r="DV127" s="127">
        <f t="shared" si="404"/>
        <v>26.660935000000052</v>
      </c>
      <c r="DW127" s="127">
        <f t="shared" si="404"/>
        <v>-15.986377000000005</v>
      </c>
      <c r="DX127" s="127">
        <f t="shared" si="404"/>
        <v>-45.973240999999973</v>
      </c>
      <c r="DY127" s="127">
        <f t="shared" si="404"/>
        <v>-38.16805500000001</v>
      </c>
      <c r="DZ127" s="127">
        <f t="shared" si="404"/>
        <v>-38.294487999999944</v>
      </c>
      <c r="EA127" s="127">
        <f t="shared" si="404"/>
        <v>-39.814198000000033</v>
      </c>
      <c r="EB127" s="127">
        <f t="shared" si="404"/>
        <v>-13.118869999999959</v>
      </c>
      <c r="EC127" s="127">
        <f t="shared" si="404"/>
        <v>6.6638200000000438</v>
      </c>
      <c r="ED127" s="127">
        <f t="shared" si="404"/>
        <v>27.666653999999994</v>
      </c>
      <c r="EE127" s="127">
        <f t="shared" si="404"/>
        <v>25.014437377908848</v>
      </c>
      <c r="EF127" s="127">
        <f t="shared" si="404"/>
        <v>39.065232015908919</v>
      </c>
      <c r="EG127" s="127">
        <f t="shared" ref="EG127:EP127" si="405">EG123-SUM(EG124:EG126)</f>
        <v>60.267937715300889</v>
      </c>
      <c r="EH127" s="127">
        <f t="shared" si="405"/>
        <v>73.256458747821</v>
      </c>
      <c r="EI127" s="127">
        <f t="shared" si="405"/>
        <v>86.551318141675324</v>
      </c>
      <c r="EJ127" s="127">
        <f t="shared" si="405"/>
        <v>91.806010042443745</v>
      </c>
      <c r="EK127" s="127">
        <f t="shared" si="405"/>
        <v>97.406277486301974</v>
      </c>
      <c r="EL127" s="127">
        <f t="shared" si="405"/>
        <v>106.97539983520846</v>
      </c>
      <c r="EM127" s="127">
        <f t="shared" si="405"/>
        <v>102.31036568359673</v>
      </c>
      <c r="EN127" s="127">
        <f t="shared" si="405"/>
        <v>100.2326476256718</v>
      </c>
      <c r="EO127" s="127">
        <f t="shared" si="405"/>
        <v>100.66052788521057</v>
      </c>
      <c r="EP127" s="127">
        <f t="shared" si="405"/>
        <v>98.57229891270606</v>
      </c>
      <c r="ES127" s="355">
        <f t="shared" si="201"/>
        <v>122</v>
      </c>
      <c r="ET127"/>
      <c r="EU127"/>
      <c r="EV127"/>
      <c r="EW127"/>
      <c r="EX127"/>
      <c r="EY127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</row>
    <row r="128" spans="1:257" s="4" customFormat="1" hidden="1" outlineLevel="2">
      <c r="A128" s="15"/>
      <c r="B128" s="168"/>
      <c r="C128" s="165"/>
      <c r="D128" s="165"/>
      <c r="E128" s="247"/>
      <c r="F128" s="247"/>
      <c r="G128" s="247"/>
      <c r="H128" s="247"/>
      <c r="I128" s="247"/>
      <c r="J128" s="247"/>
      <c r="K128" s="247"/>
      <c r="L128" s="247"/>
      <c r="M128" s="247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55"/>
      <c r="AI128" s="155"/>
      <c r="AJ128" s="155"/>
      <c r="AK128" s="155"/>
      <c r="AL128" s="155"/>
      <c r="AM128" s="155"/>
      <c r="AN128" s="155"/>
      <c r="AO128" s="155"/>
      <c r="AP128" s="155"/>
      <c r="AQ128" s="155"/>
      <c r="AR128" s="155"/>
      <c r="AS128" s="155"/>
      <c r="AT128" s="155"/>
      <c r="AU128" s="155"/>
      <c r="AV128" s="155"/>
      <c r="AW128" s="155"/>
      <c r="AX128" s="155"/>
      <c r="AY128" s="155"/>
      <c r="AZ128" s="155"/>
      <c r="BA128" s="155"/>
      <c r="BB128" s="155"/>
      <c r="BC128" s="155"/>
      <c r="BD128" s="155"/>
      <c r="BE128" s="155"/>
      <c r="BF128" s="155"/>
      <c r="BG128" s="155"/>
      <c r="BH128" s="155"/>
      <c r="BI128" s="155"/>
      <c r="BJ128" s="155"/>
      <c r="BK128" s="155"/>
      <c r="BL128" s="155"/>
      <c r="BM128" s="155"/>
      <c r="BN128" s="155"/>
      <c r="BO128" s="155"/>
      <c r="BP128" s="155"/>
      <c r="BQ128" s="155"/>
      <c r="BR128" s="155"/>
      <c r="BS128" s="155"/>
      <c r="BT128" s="155"/>
      <c r="BU128" s="165"/>
      <c r="BV128" s="165"/>
      <c r="BW128" s="165"/>
      <c r="BX128" s="165"/>
      <c r="BY128" s="165"/>
      <c r="BZ128" s="165"/>
      <c r="CA128" s="165"/>
      <c r="CB128" s="165"/>
      <c r="CC128" s="165"/>
      <c r="CD128" s="165"/>
      <c r="CE128" s="165"/>
      <c r="CF128" s="165"/>
      <c r="CG128" s="165"/>
      <c r="CH128" s="165"/>
      <c r="CI128" s="165"/>
      <c r="CJ128" s="165"/>
      <c r="CK128" s="165"/>
      <c r="CL128" s="165"/>
      <c r="CM128" s="165"/>
      <c r="CN128" s="165"/>
      <c r="CO128" s="165"/>
      <c r="CP128" s="165"/>
      <c r="CQ128" s="165"/>
      <c r="CR128" s="165"/>
      <c r="CS128" s="165"/>
      <c r="CT128" s="165"/>
      <c r="CU128" s="165"/>
      <c r="CV128" s="165"/>
      <c r="CW128" s="165"/>
      <c r="CX128" s="165"/>
      <c r="CY128" s="165"/>
      <c r="CZ128" s="165"/>
      <c r="DA128" s="165"/>
      <c r="DB128" s="165"/>
      <c r="DC128" s="165"/>
      <c r="DD128" s="165"/>
      <c r="DE128" s="165"/>
      <c r="DF128" s="165"/>
      <c r="DG128" s="165"/>
      <c r="DH128" s="165"/>
      <c r="DI128" s="165"/>
      <c r="DJ128" s="165"/>
      <c r="DK128" s="165"/>
      <c r="DL128" s="165"/>
      <c r="DM128" s="165"/>
      <c r="DN128" s="165"/>
      <c r="DO128" s="165"/>
      <c r="DP128" s="165"/>
      <c r="DQ128" s="165"/>
      <c r="DR128" s="165"/>
      <c r="DS128" s="165"/>
      <c r="DT128" s="165"/>
      <c r="DU128" s="165"/>
      <c r="DV128" s="165"/>
      <c r="DW128" s="165"/>
      <c r="DX128" s="165"/>
      <c r="DY128" s="165"/>
      <c r="DZ128" s="165"/>
      <c r="EA128" s="165"/>
      <c r="EB128" s="165"/>
      <c r="EC128" s="165"/>
      <c r="ED128" s="165"/>
      <c r="EE128" s="165"/>
      <c r="EF128" s="165"/>
      <c r="EG128" s="165"/>
      <c r="EH128" s="165"/>
      <c r="EI128" s="165"/>
      <c r="EJ128" s="165"/>
      <c r="EK128" s="165"/>
      <c r="EL128" s="165"/>
      <c r="EM128" s="165"/>
      <c r="EN128" s="165"/>
      <c r="EO128" s="165"/>
      <c r="EP128" s="165"/>
      <c r="ES128" s="355">
        <f t="shared" si="201"/>
        <v>123</v>
      </c>
      <c r="ET128"/>
      <c r="EU128"/>
      <c r="EV128"/>
      <c r="EW128"/>
      <c r="EX128"/>
      <c r="EY128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</row>
    <row r="129" spans="1:257" s="4" customFormat="1" hidden="1" outlineLevel="2">
      <c r="A129" s="15"/>
      <c r="B129" s="245" t="s">
        <v>155</v>
      </c>
      <c r="C129" s="165"/>
      <c r="D129" s="165"/>
      <c r="E129" s="247"/>
      <c r="F129" s="247"/>
      <c r="G129" s="247"/>
      <c r="H129" s="247"/>
      <c r="I129" s="247"/>
      <c r="J129" s="247"/>
      <c r="K129" s="247"/>
      <c r="L129" s="247"/>
      <c r="M129" s="247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55"/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55"/>
      <c r="AS129" s="155"/>
      <c r="AT129" s="155"/>
      <c r="AU129" s="155"/>
      <c r="AV129" s="155"/>
      <c r="AW129" s="155"/>
      <c r="AX129" s="155"/>
      <c r="AY129" s="155"/>
      <c r="AZ129" s="155"/>
      <c r="BA129" s="155"/>
      <c r="BB129" s="155"/>
      <c r="BC129" s="155"/>
      <c r="BD129" s="155"/>
      <c r="BE129" s="155"/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65"/>
      <c r="BV129" s="165"/>
      <c r="BW129" s="165"/>
      <c r="BX129" s="165"/>
      <c r="BY129" s="165"/>
      <c r="BZ129" s="165"/>
      <c r="CA129" s="165"/>
      <c r="CB129" s="165"/>
      <c r="CC129" s="165"/>
      <c r="CD129" s="165"/>
      <c r="CE129" s="165"/>
      <c r="CF129" s="165"/>
      <c r="CG129" s="165"/>
      <c r="CH129" s="165"/>
      <c r="CI129" s="165"/>
      <c r="CJ129" s="165"/>
      <c r="CK129" s="165"/>
      <c r="CL129" s="165"/>
      <c r="CM129" s="165"/>
      <c r="CN129" s="165"/>
      <c r="CO129" s="165"/>
      <c r="CP129" s="165"/>
      <c r="CQ129" s="165"/>
      <c r="CR129" s="165"/>
      <c r="CS129" s="165"/>
      <c r="CT129" s="165"/>
      <c r="CU129" s="165"/>
      <c r="CV129" s="165"/>
      <c r="CW129" s="165"/>
      <c r="CX129" s="165"/>
      <c r="CY129" s="165"/>
      <c r="CZ129" s="165"/>
      <c r="DA129" s="165"/>
      <c r="DB129" s="165"/>
      <c r="DC129" s="165"/>
      <c r="DD129" s="165"/>
      <c r="DE129" s="165"/>
      <c r="DF129" s="165"/>
      <c r="DG129" s="165"/>
      <c r="DH129" s="165"/>
      <c r="DI129" s="165"/>
      <c r="DJ129" s="165"/>
      <c r="DK129" s="165"/>
      <c r="DL129" s="165"/>
      <c r="DM129" s="165"/>
      <c r="DN129" s="165"/>
      <c r="DO129" s="165"/>
      <c r="DP129" s="165"/>
      <c r="DQ129" s="165"/>
      <c r="DR129" s="165"/>
      <c r="DS129" s="165"/>
      <c r="DT129" s="165"/>
      <c r="DU129" s="165"/>
      <c r="DV129" s="165"/>
      <c r="DW129" s="165"/>
      <c r="DX129" s="165"/>
      <c r="DY129" s="165"/>
      <c r="DZ129" s="165"/>
      <c r="EA129" s="165"/>
      <c r="EB129" s="165"/>
      <c r="EC129" s="165"/>
      <c r="ED129" s="165"/>
      <c r="EE129" s="165"/>
      <c r="EF129" s="165"/>
      <c r="EG129" s="165"/>
      <c r="EH129" s="165"/>
      <c r="EI129" s="165"/>
      <c r="EJ129" s="165"/>
      <c r="EK129" s="165"/>
      <c r="EL129" s="165"/>
      <c r="EM129" s="165"/>
      <c r="EN129" s="165"/>
      <c r="EO129" s="165"/>
      <c r="EP129" s="165"/>
      <c r="ES129" s="355">
        <f t="shared" si="201"/>
        <v>124</v>
      </c>
      <c r="ET129"/>
      <c r="EU129"/>
      <c r="EV129"/>
      <c r="EW129"/>
      <c r="EX129"/>
      <c r="EY129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</row>
    <row r="130" spans="1:257" s="4" customFormat="1" hidden="1" outlineLevel="2">
      <c r="A130" s="15"/>
      <c r="B130" s="54" t="s">
        <v>154</v>
      </c>
      <c r="C130" s="161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>
        <f t="shared" ref="N130:AF130" si="406">N123-N124</f>
        <v>199.17400000000004</v>
      </c>
      <c r="O130" s="161">
        <f t="shared" si="406"/>
        <v>72.59499999999997</v>
      </c>
      <c r="P130" s="161">
        <f t="shared" si="406"/>
        <v>99.838000000000079</v>
      </c>
      <c r="Q130" s="161">
        <f t="shared" si="406"/>
        <v>233.47300000000007</v>
      </c>
      <c r="R130" s="161">
        <f t="shared" si="406"/>
        <v>430.18900000000008</v>
      </c>
      <c r="S130" s="161">
        <f t="shared" si="406"/>
        <v>587.13099999999986</v>
      </c>
      <c r="T130" s="161">
        <f t="shared" si="406"/>
        <v>785.20999999999981</v>
      </c>
      <c r="U130" s="161">
        <f t="shared" si="406"/>
        <v>777.779</v>
      </c>
      <c r="V130" s="161">
        <f t="shared" si="406"/>
        <v>639.72900000000016</v>
      </c>
      <c r="W130" s="161">
        <f t="shared" si="406"/>
        <v>984.38199999999983</v>
      </c>
      <c r="X130" s="161">
        <f t="shared" si="406"/>
        <v>1270.4890000000005</v>
      </c>
      <c r="Y130" s="161">
        <f t="shared" si="406"/>
        <v>1344.2933999999998</v>
      </c>
      <c r="Z130" s="161">
        <f t="shared" si="406"/>
        <v>1513.3501920000003</v>
      </c>
      <c r="AA130" s="161">
        <f t="shared" si="406"/>
        <v>1065.8984190000001</v>
      </c>
      <c r="AB130" s="161">
        <f t="shared" si="406"/>
        <v>446.727262</v>
      </c>
      <c r="AC130" s="161">
        <f t="shared" si="406"/>
        <v>432.23426399999994</v>
      </c>
      <c r="AD130" s="161">
        <f t="shared" si="406"/>
        <v>673.24303774999998</v>
      </c>
      <c r="AE130" s="161">
        <f t="shared" si="406"/>
        <v>872.93503499999997</v>
      </c>
      <c r="AF130" s="161">
        <f t="shared" si="406"/>
        <v>928.72500000000036</v>
      </c>
      <c r="AG130" s="162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  <c r="BS130" s="161"/>
      <c r="BT130" s="161"/>
      <c r="BU130" s="161">
        <f t="shared" ref="BU130:CZ130" si="407">BU123-BU124</f>
        <v>15.122999999999998</v>
      </c>
      <c r="BV130" s="161">
        <f t="shared" si="407"/>
        <v>13.181999999999995</v>
      </c>
      <c r="BW130" s="161">
        <f t="shared" si="407"/>
        <v>16.276000000000003</v>
      </c>
      <c r="BX130" s="161">
        <f t="shared" si="407"/>
        <v>21.709000000000003</v>
      </c>
      <c r="BY130" s="161">
        <f t="shared" si="407"/>
        <v>21.428000000000004</v>
      </c>
      <c r="BZ130" s="161">
        <f t="shared" si="407"/>
        <v>21.443000000000005</v>
      </c>
      <c r="CA130" s="161">
        <f t="shared" si="407"/>
        <v>21.534000000000006</v>
      </c>
      <c r="CB130" s="161">
        <f t="shared" si="407"/>
        <v>25.765999999999998</v>
      </c>
      <c r="CC130" s="161">
        <f t="shared" si="407"/>
        <v>31.095000000000013</v>
      </c>
      <c r="CD130" s="161">
        <f t="shared" si="407"/>
        <v>42.210000000000008</v>
      </c>
      <c r="CE130" s="161">
        <f t="shared" si="407"/>
        <v>52.699000000000012</v>
      </c>
      <c r="CF130" s="161">
        <f t="shared" si="407"/>
        <v>64.081000000000003</v>
      </c>
      <c r="CG130" s="161">
        <f t="shared" si="407"/>
        <v>74.483000000000004</v>
      </c>
      <c r="CH130" s="161">
        <f t="shared" si="407"/>
        <v>88.538999999999987</v>
      </c>
      <c r="CI130" s="161">
        <f t="shared" si="407"/>
        <v>101.617</v>
      </c>
      <c r="CJ130" s="161">
        <f t="shared" si="407"/>
        <v>112.77000000000001</v>
      </c>
      <c r="CK130" s="161">
        <f t="shared" si="407"/>
        <v>127.26300000000001</v>
      </c>
      <c r="CL130" s="161">
        <f t="shared" si="407"/>
        <v>142.54299999999998</v>
      </c>
      <c r="CM130" s="161">
        <f t="shared" si="407"/>
        <v>136.74599999999998</v>
      </c>
      <c r="CN130" s="161">
        <f t="shared" si="407"/>
        <v>145.756</v>
      </c>
      <c r="CO130" s="161">
        <f t="shared" si="407"/>
        <v>162.08599999999998</v>
      </c>
      <c r="CP130" s="161">
        <f t="shared" si="407"/>
        <v>182.07900000000001</v>
      </c>
      <c r="CQ130" s="161">
        <f t="shared" si="407"/>
        <v>183.50599999999997</v>
      </c>
      <c r="CR130" s="161">
        <f t="shared" si="407"/>
        <v>203.98400000000001</v>
      </c>
      <c r="CS130" s="161">
        <f t="shared" si="407"/>
        <v>215.64099999999996</v>
      </c>
      <c r="CT130" s="161">
        <f t="shared" si="407"/>
        <v>241.898</v>
      </c>
      <c r="CU130" s="161">
        <f t="shared" si="407"/>
        <v>242.48100000000002</v>
      </c>
      <c r="CV130" s="161">
        <f t="shared" si="407"/>
        <v>149.31700000000001</v>
      </c>
      <c r="CW130" s="161">
        <f t="shared" si="407"/>
        <v>144.08300000000003</v>
      </c>
      <c r="CX130" s="161">
        <f t="shared" si="407"/>
        <v>146.71400000000003</v>
      </c>
      <c r="CY130" s="161">
        <f t="shared" si="407"/>
        <v>148.01500000000001</v>
      </c>
      <c r="CZ130" s="161">
        <f t="shared" si="407"/>
        <v>160.28199999999998</v>
      </c>
      <c r="DA130" s="161">
        <f t="shared" ref="DA130:EF130" si="408">DA123-DA124</f>
        <v>184.71799999999999</v>
      </c>
      <c r="DB130" s="161">
        <f t="shared" si="408"/>
        <v>224.57999999999998</v>
      </c>
      <c r="DC130" s="161">
        <f t="shared" si="408"/>
        <v>234.625</v>
      </c>
      <c r="DD130" s="161">
        <f t="shared" si="408"/>
        <v>253.63499999999999</v>
      </c>
      <c r="DE130" s="161">
        <f t="shared" si="408"/>
        <v>271.54200000000003</v>
      </c>
      <c r="DF130" s="161">
        <f t="shared" si="408"/>
        <v>305.47300000000001</v>
      </c>
      <c r="DG130" s="161">
        <f t="shared" si="408"/>
        <v>295.90599999999995</v>
      </c>
      <c r="DH130" s="161">
        <f t="shared" si="408"/>
        <v>324.36799999999994</v>
      </c>
      <c r="DI130" s="161">
        <f t="shared" si="408"/>
        <v>344.74200000000002</v>
      </c>
      <c r="DJ130" s="161">
        <f t="shared" si="408"/>
        <v>334.96199999999999</v>
      </c>
      <c r="DK130" s="161">
        <f t="shared" si="408"/>
        <v>331.54</v>
      </c>
      <c r="DL130" s="161">
        <f t="shared" si="408"/>
        <v>346.96600000000001</v>
      </c>
      <c r="DM130" s="161">
        <f t="shared" si="408"/>
        <v>330.8254</v>
      </c>
      <c r="DN130" s="161">
        <f t="shared" si="408"/>
        <v>354.58619200000004</v>
      </c>
      <c r="DO130" s="161">
        <f t="shared" si="408"/>
        <v>363.44400000000007</v>
      </c>
      <c r="DP130" s="161">
        <f t="shared" si="408"/>
        <v>393.28899999999999</v>
      </c>
      <c r="DQ130" s="161">
        <f t="shared" si="408"/>
        <v>402.03100000000006</v>
      </c>
      <c r="DR130" s="161">
        <f t="shared" si="408"/>
        <v>425.92100000000005</v>
      </c>
      <c r="DS130" s="161">
        <f t="shared" si="408"/>
        <v>294.97677400000003</v>
      </c>
      <c r="DT130" s="161">
        <f t="shared" si="408"/>
        <v>177.78982499999998</v>
      </c>
      <c r="DU130" s="161">
        <f t="shared" si="408"/>
        <v>167.21081999999996</v>
      </c>
      <c r="DV130" s="161">
        <f t="shared" si="408"/>
        <v>159.39293500000002</v>
      </c>
      <c r="DW130" s="161">
        <f t="shared" si="408"/>
        <v>114.89162300000001</v>
      </c>
      <c r="DX130" s="161">
        <f t="shared" si="408"/>
        <v>84.308759000000023</v>
      </c>
      <c r="DY130" s="161">
        <f t="shared" si="408"/>
        <v>88.133944999999983</v>
      </c>
      <c r="DZ130" s="161">
        <f t="shared" si="408"/>
        <v>85.623512000000034</v>
      </c>
      <c r="EA130" s="161">
        <f t="shared" si="408"/>
        <v>86.753801999999979</v>
      </c>
      <c r="EB130" s="161">
        <f t="shared" ref="EB130:EC130" si="409">EB123-EB124</f>
        <v>123.00513000000001</v>
      </c>
      <c r="EC130" s="161">
        <f t="shared" si="409"/>
        <v>136.85181999999998</v>
      </c>
      <c r="ED130" s="161">
        <f t="shared" ref="ED130" si="410">ED123-ED124</f>
        <v>158.29765399999997</v>
      </c>
      <c r="EE130" s="161">
        <f t="shared" si="408"/>
        <v>155.23923374999998</v>
      </c>
      <c r="EF130" s="161">
        <f t="shared" si="408"/>
        <v>168.90965</v>
      </c>
      <c r="EG130" s="161">
        <f t="shared" ref="EG130:EP130" si="411">EG123-EG124</f>
        <v>190.79650000000004</v>
      </c>
      <c r="EH130" s="161">
        <f t="shared" si="411"/>
        <v>204.57855999999998</v>
      </c>
      <c r="EI130" s="161">
        <f t="shared" si="411"/>
        <v>217.67399999999992</v>
      </c>
      <c r="EJ130" s="161">
        <f t="shared" si="411"/>
        <v>222.71567500000003</v>
      </c>
      <c r="EK130" s="161">
        <f t="shared" si="411"/>
        <v>227.96679999999998</v>
      </c>
      <c r="EL130" s="161">
        <f t="shared" si="411"/>
        <v>237.17600000000004</v>
      </c>
      <c r="EM130" s="161">
        <f t="shared" si="411"/>
        <v>232.14099999999996</v>
      </c>
      <c r="EN130" s="161">
        <f t="shared" si="411"/>
        <v>229.68400000000008</v>
      </c>
      <c r="EO130" s="161">
        <f t="shared" si="411"/>
        <v>229.72400000000005</v>
      </c>
      <c r="EP130" s="161">
        <f t="shared" si="411"/>
        <v>227.2399999999999</v>
      </c>
      <c r="ES130" s="355">
        <f t="shared" si="201"/>
        <v>125</v>
      </c>
      <c r="ET130"/>
      <c r="EU130"/>
      <c r="EV130"/>
      <c r="EW130"/>
      <c r="EX130"/>
      <c r="EY130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</row>
    <row r="131" spans="1:257" s="4" customFormat="1" hidden="1" outlineLevel="2">
      <c r="A131" s="15"/>
      <c r="B131" s="54" t="s">
        <v>153</v>
      </c>
      <c r="C131" s="161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59">
        <f t="shared" ref="N131:AF131" si="412">N130/N123</f>
        <v>0.5463288056000527</v>
      </c>
      <c r="O131" s="159">
        <f t="shared" si="412"/>
        <v>0.26495202432178916</v>
      </c>
      <c r="P131" s="159">
        <f t="shared" si="412"/>
        <v>0.28853662413479203</v>
      </c>
      <c r="Q131" s="159">
        <f t="shared" si="412"/>
        <v>0.4424879225679777</v>
      </c>
      <c r="R131" s="159">
        <f t="shared" si="412"/>
        <v>0.51888640415312726</v>
      </c>
      <c r="S131" s="159">
        <f t="shared" si="412"/>
        <v>0.49970466979188999</v>
      </c>
      <c r="T131" s="159">
        <f t="shared" si="412"/>
        <v>0.50920275635230772</v>
      </c>
      <c r="U131" s="159">
        <f t="shared" si="412"/>
        <v>0.53968805770890749</v>
      </c>
      <c r="V131" s="159">
        <f t="shared" si="412"/>
        <v>0.45290708993660161</v>
      </c>
      <c r="W131" s="159">
        <f t="shared" si="412"/>
        <v>0.46863996709367445</v>
      </c>
      <c r="X131" s="159">
        <f t="shared" si="412"/>
        <v>0.474332969320229</v>
      </c>
      <c r="Y131" s="159">
        <f t="shared" si="412"/>
        <v>0.48547809191258068</v>
      </c>
      <c r="Z131" s="159">
        <f t="shared" si="412"/>
        <v>0.48974907152636221</v>
      </c>
      <c r="AA131" s="159">
        <f t="shared" si="412"/>
        <v>0.45937513264185725</v>
      </c>
      <c r="AB131" s="159">
        <f t="shared" si="412"/>
        <v>0.43646920645394355</v>
      </c>
      <c r="AC131" s="159">
        <f t="shared" si="412"/>
        <v>0.30545090737818625</v>
      </c>
      <c r="AD131" s="159">
        <f t="shared" si="412"/>
        <v>0.34656637348033525</v>
      </c>
      <c r="AE131" s="159">
        <f t="shared" si="412"/>
        <v>0.38469734626576407</v>
      </c>
      <c r="AF131" s="159">
        <f t="shared" si="412"/>
        <v>0.3846217559931171</v>
      </c>
      <c r="AG131" s="41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  <c r="BE131" s="163"/>
      <c r="BF131" s="163"/>
      <c r="BG131" s="163"/>
      <c r="BH131" s="163"/>
      <c r="BI131" s="163"/>
      <c r="BJ131" s="163"/>
      <c r="BK131" s="163"/>
      <c r="BL131" s="163"/>
      <c r="BM131" s="163"/>
      <c r="BN131" s="163"/>
      <c r="BO131" s="163"/>
      <c r="BP131" s="163"/>
      <c r="BQ131" s="163"/>
      <c r="BR131" s="163"/>
      <c r="BS131" s="163"/>
      <c r="BT131" s="163"/>
      <c r="BU131" s="163">
        <f t="shared" ref="BU131:CZ131" si="413">BU130/BU123</f>
        <v>0.25337175599376743</v>
      </c>
      <c r="BV131" s="163">
        <f t="shared" si="413"/>
        <v>0.22327992140655165</v>
      </c>
      <c r="BW131" s="163">
        <f t="shared" si="413"/>
        <v>0.24882284596098578</v>
      </c>
      <c r="BX131" s="163">
        <f t="shared" si="413"/>
        <v>0.29322221621913669</v>
      </c>
      <c r="BY131" s="163">
        <f t="shared" si="413"/>
        <v>0.28378825804230073</v>
      </c>
      <c r="BZ131" s="163">
        <f t="shared" si="413"/>
        <v>0.28616230499245998</v>
      </c>
      <c r="CA131" s="163">
        <f t="shared" si="413"/>
        <v>0.26109097081610638</v>
      </c>
      <c r="CB131" s="163">
        <f t="shared" si="413"/>
        <v>0.29097684923771877</v>
      </c>
      <c r="CC131" s="163">
        <f t="shared" si="413"/>
        <v>0.31077907151066925</v>
      </c>
      <c r="CD131" s="163">
        <f t="shared" si="413"/>
        <v>0.38658094296076501</v>
      </c>
      <c r="CE131" s="163">
        <f t="shared" si="413"/>
        <v>0.43056849191953861</v>
      </c>
      <c r="CF131" s="163">
        <f t="shared" si="413"/>
        <v>0.46194492502883511</v>
      </c>
      <c r="CG131" s="163">
        <f t="shared" si="413"/>
        <v>0.4734038834334382</v>
      </c>
      <c r="CH131" s="163">
        <f t="shared" si="413"/>
        <v>0.51251490558829316</v>
      </c>
      <c r="CI131" s="163">
        <f t="shared" si="413"/>
        <v>0.52469690398000701</v>
      </c>
      <c r="CJ131" s="163">
        <f t="shared" si="413"/>
        <v>0.52484362201206347</v>
      </c>
      <c r="CK131" s="163">
        <f t="shared" si="413"/>
        <v>0.51362117396357998</v>
      </c>
      <c r="CL131" s="163">
        <f t="shared" si="413"/>
        <v>0.52813264171915519</v>
      </c>
      <c r="CM131" s="163">
        <f t="shared" si="413"/>
        <v>0.50807557264671455</v>
      </c>
      <c r="CN131" s="163">
        <f t="shared" si="413"/>
        <v>0.48022825965194355</v>
      </c>
      <c r="CO131" s="163">
        <f t="shared" si="413"/>
        <v>0.48762774633946754</v>
      </c>
      <c r="CP131" s="163">
        <f t="shared" si="413"/>
        <v>0.52375130881016219</v>
      </c>
      <c r="CQ131" s="163">
        <f t="shared" si="413"/>
        <v>0.50239416530007142</v>
      </c>
      <c r="CR131" s="163">
        <f t="shared" si="413"/>
        <v>0.52069277992622942</v>
      </c>
      <c r="CS131" s="163">
        <f t="shared" si="413"/>
        <v>0.49303345405326304</v>
      </c>
      <c r="CT131" s="163">
        <f t="shared" si="413"/>
        <v>0.50904032794336751</v>
      </c>
      <c r="CU131" s="163">
        <f t="shared" si="413"/>
        <v>0.58497662322623611</v>
      </c>
      <c r="CV131" s="163">
        <f t="shared" si="413"/>
        <v>0.5288215669469255</v>
      </c>
      <c r="CW131" s="163">
        <f t="shared" si="413"/>
        <v>0.53544936972291601</v>
      </c>
      <c r="CX131" s="163">
        <f t="shared" si="413"/>
        <v>0.51466136268763008</v>
      </c>
      <c r="CY131" s="163">
        <f t="shared" si="413"/>
        <v>0.45621827215593685</v>
      </c>
      <c r="CZ131" s="163">
        <f t="shared" si="413"/>
        <v>0.43674878538593798</v>
      </c>
      <c r="DA131" s="163">
        <f t="shared" ref="DA131:EF131" si="414">DA130/DA123</f>
        <v>0.42366708104165612</v>
      </c>
      <c r="DB131" s="163">
        <f t="shared" si="414"/>
        <v>0.47099731973205705</v>
      </c>
      <c r="DC131" s="163">
        <f t="shared" si="414"/>
        <v>0.47355078825896796</v>
      </c>
      <c r="DD131" s="163">
        <f t="shared" si="414"/>
        <v>0.47024131768056188</v>
      </c>
      <c r="DE131" s="163">
        <f t="shared" si="414"/>
        <v>0.46113246125133522</v>
      </c>
      <c r="DF131" s="163">
        <f t="shared" si="414"/>
        <v>0.49446970518583511</v>
      </c>
      <c r="DG131" s="163">
        <f t="shared" si="414"/>
        <v>0.44915634999180326</v>
      </c>
      <c r="DH131" s="163">
        <f t="shared" si="414"/>
        <v>0.45893382155277546</v>
      </c>
      <c r="DI131" s="163">
        <f t="shared" si="414"/>
        <v>0.49595601246428606</v>
      </c>
      <c r="DJ131" s="163">
        <f t="shared" si="414"/>
        <v>0.48124649799577607</v>
      </c>
      <c r="DK131" s="163">
        <f t="shared" si="414"/>
        <v>0.48349885520117836</v>
      </c>
      <c r="DL131" s="163">
        <f t="shared" si="414"/>
        <v>0.49864619382135505</v>
      </c>
      <c r="DM131" s="163">
        <f t="shared" si="414"/>
        <v>0.47844930692364807</v>
      </c>
      <c r="DN131" s="163">
        <f t="shared" si="414"/>
        <v>0.49127161718084039</v>
      </c>
      <c r="DO131" s="163">
        <f t="shared" si="414"/>
        <v>0.48995471770350413</v>
      </c>
      <c r="DP131" s="163">
        <f t="shared" si="414"/>
        <v>0.49021475072886117</v>
      </c>
      <c r="DQ131" s="163">
        <f t="shared" si="414"/>
        <v>0.48777738683102612</v>
      </c>
      <c r="DR131" s="163">
        <f t="shared" si="414"/>
        <v>0.49123173253583718</v>
      </c>
      <c r="DS131" s="163">
        <f t="shared" si="414"/>
        <v>0.45558666704133777</v>
      </c>
      <c r="DT131" s="163">
        <f t="shared" si="414"/>
        <v>0.42442187561638539</v>
      </c>
      <c r="DU131" s="163">
        <f t="shared" si="414"/>
        <v>0.43216889101214584</v>
      </c>
      <c r="DV131" s="163">
        <f t="shared" si="414"/>
        <v>0.46751853845232511</v>
      </c>
      <c r="DW131" s="163">
        <f t="shared" si="414"/>
        <v>0.42596704154660109</v>
      </c>
      <c r="DX131" s="163">
        <f t="shared" si="414"/>
        <v>0.41269877299241076</v>
      </c>
      <c r="DY131" s="163">
        <f t="shared" si="414"/>
        <v>0.42257814061282734</v>
      </c>
      <c r="DZ131" s="163">
        <f t="shared" si="414"/>
        <v>0.33596325558693957</v>
      </c>
      <c r="EA131" s="163">
        <f t="shared" si="414"/>
        <v>0.26693247401602399</v>
      </c>
      <c r="EB131" s="163">
        <f t="shared" ref="EB131:EC131" si="415">EB130/EB123</f>
        <v>0.30722316731727412</v>
      </c>
      <c r="EC131" s="163">
        <f t="shared" si="415"/>
        <v>0.31472501126992619</v>
      </c>
      <c r="ED131" s="163">
        <f t="shared" ref="ED131" si="416">ED130/ED123</f>
        <v>0.34611046338397222</v>
      </c>
      <c r="EE131" s="163">
        <f t="shared" si="414"/>
        <v>0.3345843092326255</v>
      </c>
      <c r="EF131" s="163">
        <f t="shared" si="414"/>
        <v>0.3415768848370267</v>
      </c>
      <c r="EG131" s="163">
        <f t="shared" ref="EG131:EP131" si="417">EG130/EG123</f>
        <v>0.3621997393556789</v>
      </c>
      <c r="EH131" s="163">
        <f t="shared" si="417"/>
        <v>0.37416275510386976</v>
      </c>
      <c r="EI131" s="163">
        <f t="shared" si="417"/>
        <v>0.38898906161486368</v>
      </c>
      <c r="EJ131" s="163">
        <f t="shared" si="417"/>
        <v>0.38799749674735257</v>
      </c>
      <c r="EK131" s="163">
        <f t="shared" si="417"/>
        <v>0.38718384297884206</v>
      </c>
      <c r="EL131" s="163">
        <f t="shared" si="417"/>
        <v>0.38855132033990214</v>
      </c>
      <c r="EM131" s="163">
        <f t="shared" si="417"/>
        <v>0.38570213303293421</v>
      </c>
      <c r="EN131" s="163">
        <f t="shared" si="417"/>
        <v>0.38318410300812977</v>
      </c>
      <c r="EO131" s="163">
        <f t="shared" si="417"/>
        <v>0.38099439597053869</v>
      </c>
      <c r="EP131" s="163">
        <f t="shared" si="417"/>
        <v>0.37843373995586815</v>
      </c>
      <c r="ES131" s="355">
        <f t="shared" si="201"/>
        <v>126</v>
      </c>
      <c r="ET131"/>
      <c r="EU131"/>
      <c r="EV131"/>
      <c r="EW131"/>
      <c r="EX131"/>
      <c r="EY13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</row>
    <row r="132" spans="1:257" s="4" customFormat="1" hidden="1" outlineLevel="2">
      <c r="A132" s="15"/>
      <c r="B132" s="37" t="s">
        <v>152</v>
      </c>
      <c r="C132" s="161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>
        <f t="shared" ref="N132:AF132" si="418">N130-N125</f>
        <v>195.67700000000002</v>
      </c>
      <c r="O132" s="161">
        <f t="shared" si="418"/>
        <v>63.290999999999968</v>
      </c>
      <c r="P132" s="161">
        <f t="shared" si="418"/>
        <v>92.073000000000079</v>
      </c>
      <c r="Q132" s="161">
        <f t="shared" si="418"/>
        <v>224.87900000000008</v>
      </c>
      <c r="R132" s="161">
        <f t="shared" si="418"/>
        <v>417.38200000000006</v>
      </c>
      <c r="S132" s="161">
        <f t="shared" si="418"/>
        <v>573.10699999999986</v>
      </c>
      <c r="T132" s="161">
        <f t="shared" si="418"/>
        <v>767.61099999999976</v>
      </c>
      <c r="U132" s="161">
        <f t="shared" si="418"/>
        <v>760.96699999999998</v>
      </c>
      <c r="V132" s="161">
        <f t="shared" si="418"/>
        <v>615.93000000000018</v>
      </c>
      <c r="W132" s="161">
        <f t="shared" si="418"/>
        <v>959.3159999999998</v>
      </c>
      <c r="X132" s="161">
        <f t="shared" si="418"/>
        <v>1240.5880000000004</v>
      </c>
      <c r="Y132" s="161">
        <f t="shared" si="418"/>
        <v>1307.2233999999999</v>
      </c>
      <c r="Z132" s="161">
        <f t="shared" si="418"/>
        <v>1471.7771920000002</v>
      </c>
      <c r="AA132" s="161">
        <f t="shared" si="418"/>
        <v>1015.1294190000001</v>
      </c>
      <c r="AB132" s="161">
        <f t="shared" si="418"/>
        <v>396.67026199999998</v>
      </c>
      <c r="AC132" s="161">
        <f t="shared" si="418"/>
        <v>381.52226399999995</v>
      </c>
      <c r="AD132" s="161">
        <f t="shared" si="418"/>
        <v>618.66709111426917</v>
      </c>
      <c r="AE132" s="161">
        <f t="shared" si="418"/>
        <v>817.45807917543505</v>
      </c>
      <c r="AF132" s="161">
        <f t="shared" si="418"/>
        <v>870.99545730636521</v>
      </c>
      <c r="AG132" s="162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  <c r="BS132" s="161"/>
      <c r="BT132" s="161"/>
      <c r="BU132" s="161">
        <f t="shared" ref="BU132:CZ132" si="419">BU130-BU125</f>
        <v>11.625999999999998</v>
      </c>
      <c r="BV132" s="161">
        <f t="shared" si="419"/>
        <v>9.8449999999999953</v>
      </c>
      <c r="BW132" s="161">
        <f t="shared" si="419"/>
        <v>14.128000000000004</v>
      </c>
      <c r="BX132" s="161">
        <f t="shared" si="419"/>
        <v>19.601000000000003</v>
      </c>
      <c r="BY132" s="161">
        <f t="shared" si="419"/>
        <v>19.717000000000006</v>
      </c>
      <c r="BZ132" s="161">
        <f t="shared" si="419"/>
        <v>19.518000000000004</v>
      </c>
      <c r="CA132" s="161">
        <f t="shared" si="419"/>
        <v>19.667000000000005</v>
      </c>
      <c r="CB132" s="161">
        <f t="shared" si="419"/>
        <v>23.934999999999999</v>
      </c>
      <c r="CC132" s="161">
        <f t="shared" si="419"/>
        <v>28.953000000000014</v>
      </c>
      <c r="CD132" s="161">
        <f t="shared" si="419"/>
        <v>40.344000000000008</v>
      </c>
      <c r="CE132" s="161">
        <f t="shared" si="419"/>
        <v>50.860000000000014</v>
      </c>
      <c r="CF132" s="161">
        <f t="shared" si="419"/>
        <v>61.734999999999999</v>
      </c>
      <c r="CG132" s="161">
        <f t="shared" si="419"/>
        <v>71.94</v>
      </c>
      <c r="CH132" s="161">
        <f t="shared" si="419"/>
        <v>85.456999999999994</v>
      </c>
      <c r="CI132" s="161">
        <f t="shared" si="419"/>
        <v>97.709000000000003</v>
      </c>
      <c r="CJ132" s="161">
        <f t="shared" si="419"/>
        <v>109.867</v>
      </c>
      <c r="CK132" s="161">
        <f t="shared" si="419"/>
        <v>124.349</v>
      </c>
      <c r="CL132" s="161">
        <f t="shared" si="419"/>
        <v>139.09099999999998</v>
      </c>
      <c r="CM132" s="161">
        <f t="shared" si="419"/>
        <v>133.59499999999997</v>
      </c>
      <c r="CN132" s="161">
        <f t="shared" si="419"/>
        <v>142.131</v>
      </c>
      <c r="CO132" s="161">
        <f t="shared" si="419"/>
        <v>158.29</v>
      </c>
      <c r="CP132" s="161">
        <f t="shared" si="419"/>
        <v>177.685</v>
      </c>
      <c r="CQ132" s="161">
        <f t="shared" si="419"/>
        <v>179.24899999999997</v>
      </c>
      <c r="CR132" s="161">
        <f t="shared" si="419"/>
        <v>199.18300000000002</v>
      </c>
      <c r="CS132" s="161">
        <f t="shared" si="419"/>
        <v>211.49399999999997</v>
      </c>
      <c r="CT132" s="161">
        <f t="shared" si="419"/>
        <v>237.471</v>
      </c>
      <c r="CU132" s="161">
        <f t="shared" si="419"/>
        <v>238.20700000000002</v>
      </c>
      <c r="CV132" s="161">
        <f t="shared" si="419"/>
        <v>145.184</v>
      </c>
      <c r="CW132" s="161">
        <f t="shared" si="419"/>
        <v>140.10500000000002</v>
      </c>
      <c r="CX132" s="161">
        <f t="shared" si="419"/>
        <v>140.05300000000003</v>
      </c>
      <c r="CY132" s="161">
        <f t="shared" si="419"/>
        <v>141.941</v>
      </c>
      <c r="CZ132" s="161">
        <f t="shared" si="419"/>
        <v>154.82399999999998</v>
      </c>
      <c r="DA132" s="161">
        <f t="shared" ref="DA132:EF132" si="420">DA130-DA125</f>
        <v>179.11199999999999</v>
      </c>
      <c r="DB132" s="161">
        <f t="shared" si="420"/>
        <v>218.72499999999999</v>
      </c>
      <c r="DC132" s="161">
        <f t="shared" si="420"/>
        <v>228.23699999999999</v>
      </c>
      <c r="DD132" s="161">
        <f t="shared" si="420"/>
        <v>247.30499999999998</v>
      </c>
      <c r="DE132" s="161">
        <f t="shared" si="420"/>
        <v>265.04900000000004</v>
      </c>
      <c r="DF132" s="161">
        <f t="shared" si="420"/>
        <v>298.17500000000001</v>
      </c>
      <c r="DG132" s="161">
        <f t="shared" si="420"/>
        <v>288.60799999999995</v>
      </c>
      <c r="DH132" s="161">
        <f t="shared" si="420"/>
        <v>317.14099999999996</v>
      </c>
      <c r="DI132" s="161">
        <f t="shared" si="420"/>
        <v>336.66400000000004</v>
      </c>
      <c r="DJ132" s="161">
        <f t="shared" si="420"/>
        <v>325.64099999999996</v>
      </c>
      <c r="DK132" s="161">
        <f t="shared" si="420"/>
        <v>322.483</v>
      </c>
      <c r="DL132" s="161">
        <f t="shared" si="420"/>
        <v>337.68200000000002</v>
      </c>
      <c r="DM132" s="161">
        <f t="shared" si="420"/>
        <v>321.41739999999999</v>
      </c>
      <c r="DN132" s="161">
        <f t="shared" si="420"/>
        <v>344.62919200000005</v>
      </c>
      <c r="DO132" s="161">
        <f t="shared" si="420"/>
        <v>352.78800000000007</v>
      </c>
      <c r="DP132" s="161">
        <f t="shared" si="420"/>
        <v>383.74099999999999</v>
      </c>
      <c r="DQ132" s="161">
        <f t="shared" si="420"/>
        <v>390.61900000000009</v>
      </c>
      <c r="DR132" s="161">
        <f t="shared" si="420"/>
        <v>414.20600000000007</v>
      </c>
      <c r="DS132" s="161">
        <f t="shared" si="420"/>
        <v>282.37177400000002</v>
      </c>
      <c r="DT132" s="161">
        <f t="shared" si="420"/>
        <v>167.32482499999998</v>
      </c>
      <c r="DU132" s="161">
        <f t="shared" si="420"/>
        <v>151.22681999999995</v>
      </c>
      <c r="DV132" s="161">
        <f t="shared" si="420"/>
        <v>147.01993500000003</v>
      </c>
      <c r="DW132" s="161">
        <f t="shared" si="420"/>
        <v>102.69562300000001</v>
      </c>
      <c r="DX132" s="161">
        <f t="shared" si="420"/>
        <v>70.08775900000002</v>
      </c>
      <c r="DY132" s="161">
        <f t="shared" si="420"/>
        <v>76.866944999999987</v>
      </c>
      <c r="DZ132" s="161">
        <f t="shared" si="420"/>
        <v>73.981512000000038</v>
      </c>
      <c r="EA132" s="161">
        <f t="shared" si="420"/>
        <v>74.180801999999971</v>
      </c>
      <c r="EB132" s="161">
        <f t="shared" ref="EB132:EC132" si="421">EB130-EB125</f>
        <v>109.65813000000001</v>
      </c>
      <c r="EC132" s="161">
        <f t="shared" si="421"/>
        <v>123.70181999999997</v>
      </c>
      <c r="ED132" s="161">
        <f t="shared" ref="ED132" si="422">ED130-ED125</f>
        <v>144.30465399999997</v>
      </c>
      <c r="EE132" s="161">
        <f t="shared" si="420"/>
        <v>141.71158487142304</v>
      </c>
      <c r="EF132" s="161">
        <f t="shared" si="420"/>
        <v>155.38200112142306</v>
      </c>
      <c r="EG132" s="161">
        <f t="shared" ref="EG132:EP132" si="423">EG130-EG125</f>
        <v>177.2688511214231</v>
      </c>
      <c r="EH132" s="161">
        <f t="shared" si="423"/>
        <v>190.91563463263725</v>
      </c>
      <c r="EI132" s="161">
        <f t="shared" si="423"/>
        <v>203.87444537896357</v>
      </c>
      <c r="EJ132" s="161">
        <f t="shared" si="423"/>
        <v>208.77812483275332</v>
      </c>
      <c r="EK132" s="161">
        <f t="shared" si="423"/>
        <v>213.88987433108079</v>
      </c>
      <c r="EL132" s="161">
        <f t="shared" si="423"/>
        <v>222.95830507439166</v>
      </c>
      <c r="EM132" s="161">
        <f t="shared" si="423"/>
        <v>217.7811281251355</v>
      </c>
      <c r="EN132" s="161">
        <f t="shared" si="423"/>
        <v>215.180529406387</v>
      </c>
      <c r="EO132" s="161">
        <f t="shared" si="423"/>
        <v>215.0754947004508</v>
      </c>
      <c r="EP132" s="161">
        <f t="shared" si="423"/>
        <v>212.44500964745518</v>
      </c>
      <c r="ES132" s="355">
        <f t="shared" si="201"/>
        <v>127</v>
      </c>
      <c r="ET132"/>
      <c r="EU132"/>
      <c r="EV132"/>
      <c r="EW132"/>
      <c r="EX132"/>
      <c r="EY132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</row>
    <row r="133" spans="1:257" s="4" customFormat="1" hidden="1" outlineLevel="2">
      <c r="A133" s="15"/>
      <c r="B133" s="54" t="s">
        <v>151</v>
      </c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59">
        <f t="shared" ref="N133:AF133" si="424">N132/N123</f>
        <v>0.53673663075201339</v>
      </c>
      <c r="O133" s="159">
        <f t="shared" si="424"/>
        <v>0.23099495242579179</v>
      </c>
      <c r="P133" s="159">
        <f t="shared" si="424"/>
        <v>0.26609540048841834</v>
      </c>
      <c r="Q133" s="159">
        <f t="shared" si="424"/>
        <v>0.42620020961380656</v>
      </c>
      <c r="R133" s="159">
        <f t="shared" si="424"/>
        <v>0.50343882604678536</v>
      </c>
      <c r="S133" s="159">
        <f t="shared" si="424"/>
        <v>0.48776890368660608</v>
      </c>
      <c r="T133" s="159">
        <f t="shared" si="424"/>
        <v>0.49778993773175489</v>
      </c>
      <c r="U133" s="159">
        <f t="shared" si="424"/>
        <v>0.52802248737825808</v>
      </c>
      <c r="V133" s="159">
        <f t="shared" si="424"/>
        <v>0.43605818073692304</v>
      </c>
      <c r="W133" s="159">
        <f t="shared" si="424"/>
        <v>0.4567066633404871</v>
      </c>
      <c r="X133" s="159">
        <f t="shared" si="424"/>
        <v>0.46316952743632112</v>
      </c>
      <c r="Y133" s="159">
        <f t="shared" si="424"/>
        <v>0.4720906328450889</v>
      </c>
      <c r="Z133" s="159">
        <f t="shared" si="424"/>
        <v>0.47629525346217849</v>
      </c>
      <c r="AA133" s="159">
        <f t="shared" si="424"/>
        <v>0.43749498375208351</v>
      </c>
      <c r="AB133" s="159">
        <f t="shared" si="424"/>
        <v>0.38756164936944876</v>
      </c>
      <c r="AC133" s="159">
        <f t="shared" si="424"/>
        <v>0.26961379841876654</v>
      </c>
      <c r="AD133" s="159">
        <f t="shared" si="424"/>
        <v>0.3184722279129138</v>
      </c>
      <c r="AE133" s="159">
        <f t="shared" si="424"/>
        <v>0.36024897745374457</v>
      </c>
      <c r="AF133" s="159">
        <f t="shared" si="424"/>
        <v>0.36071366900988139</v>
      </c>
      <c r="AG133" s="91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159"/>
      <c r="AV133" s="159"/>
      <c r="AW133" s="159"/>
      <c r="AX133" s="159"/>
      <c r="AY133" s="159"/>
      <c r="AZ133" s="159"/>
      <c r="BA133" s="159"/>
      <c r="BB133" s="159"/>
      <c r="BC133" s="159"/>
      <c r="BD133" s="159"/>
      <c r="BE133" s="159"/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59"/>
      <c r="BP133" s="159"/>
      <c r="BQ133" s="159"/>
      <c r="BR133" s="159"/>
      <c r="BS133" s="159"/>
      <c r="BT133" s="159"/>
      <c r="BU133" s="159">
        <f t="shared" ref="BU133:CZ133" si="425">BU132/BU123</f>
        <v>0.19478278352069961</v>
      </c>
      <c r="BV133" s="159">
        <f t="shared" si="425"/>
        <v>0.16675700396354884</v>
      </c>
      <c r="BW133" s="159">
        <f t="shared" si="425"/>
        <v>0.21598483458692599</v>
      </c>
      <c r="BX133" s="159">
        <f t="shared" si="425"/>
        <v>0.26474958128478043</v>
      </c>
      <c r="BY133" s="159">
        <f t="shared" si="425"/>
        <v>0.26112810732779751</v>
      </c>
      <c r="BZ133" s="159">
        <f t="shared" si="425"/>
        <v>0.26047268893544906</v>
      </c>
      <c r="CA133" s="159">
        <f t="shared" si="425"/>
        <v>0.23845435697224687</v>
      </c>
      <c r="CB133" s="159">
        <f t="shared" si="425"/>
        <v>0.27029926595143988</v>
      </c>
      <c r="CC133" s="159">
        <f t="shared" si="425"/>
        <v>0.28937084603468105</v>
      </c>
      <c r="CD133" s="159">
        <f t="shared" si="425"/>
        <v>0.36949115287394224</v>
      </c>
      <c r="CE133" s="159">
        <f t="shared" si="425"/>
        <v>0.41554324558393396</v>
      </c>
      <c r="CF133" s="159">
        <f t="shared" si="425"/>
        <v>0.4450331603229527</v>
      </c>
      <c r="CG133" s="159">
        <f t="shared" si="425"/>
        <v>0.4572409190580608</v>
      </c>
      <c r="CH133" s="159">
        <f t="shared" si="425"/>
        <v>0.49467450826030074</v>
      </c>
      <c r="CI133" s="159">
        <f t="shared" si="425"/>
        <v>0.50451804118388166</v>
      </c>
      <c r="CJ133" s="159">
        <f t="shared" si="425"/>
        <v>0.51133275001861644</v>
      </c>
      <c r="CK133" s="159">
        <f t="shared" si="425"/>
        <v>0.50186055146584008</v>
      </c>
      <c r="CL133" s="159">
        <f t="shared" si="425"/>
        <v>0.51534271952575028</v>
      </c>
      <c r="CM133" s="159">
        <f t="shared" si="425"/>
        <v>0.49636812870385844</v>
      </c>
      <c r="CN133" s="159">
        <f t="shared" si="425"/>
        <v>0.46828482376430741</v>
      </c>
      <c r="CO133" s="159">
        <f t="shared" si="425"/>
        <v>0.47620766733755115</v>
      </c>
      <c r="CP133" s="159">
        <f t="shared" si="425"/>
        <v>0.5111119421016902</v>
      </c>
      <c r="CQ133" s="159">
        <f t="shared" si="425"/>
        <v>0.4907395493110443</v>
      </c>
      <c r="CR133" s="159">
        <f t="shared" si="425"/>
        <v>0.50843767150387364</v>
      </c>
      <c r="CS133" s="159">
        <f t="shared" si="425"/>
        <v>0.48355190956979804</v>
      </c>
      <c r="CT133" s="159">
        <f t="shared" si="425"/>
        <v>0.49972432891979024</v>
      </c>
      <c r="CU133" s="159">
        <f t="shared" si="425"/>
        <v>0.57466575314705903</v>
      </c>
      <c r="CV133" s="159">
        <f t="shared" si="425"/>
        <v>0.51418412086783438</v>
      </c>
      <c r="CW133" s="159">
        <f t="shared" si="425"/>
        <v>0.52066610179569506</v>
      </c>
      <c r="CX133" s="159">
        <f t="shared" si="425"/>
        <v>0.49129508996067622</v>
      </c>
      <c r="CY133" s="159">
        <f t="shared" si="425"/>
        <v>0.43749672511627763</v>
      </c>
      <c r="CZ133" s="159">
        <f t="shared" si="425"/>
        <v>0.42187640501486418</v>
      </c>
      <c r="DA133" s="159">
        <f t="shared" ref="DA133:EF133" si="426">DA132/DA123</f>
        <v>0.41080922389552244</v>
      </c>
      <c r="DB133" s="159">
        <f t="shared" si="426"/>
        <v>0.45871800141773172</v>
      </c>
      <c r="DC133" s="159">
        <f t="shared" si="426"/>
        <v>0.46065769316936417</v>
      </c>
      <c r="DD133" s="159">
        <f t="shared" si="426"/>
        <v>0.45850544707548779</v>
      </c>
      <c r="DE133" s="159">
        <f t="shared" si="426"/>
        <v>0.45010605255247865</v>
      </c>
      <c r="DF133" s="159">
        <f t="shared" si="426"/>
        <v>0.48265641920492608</v>
      </c>
      <c r="DG133" s="159">
        <f t="shared" si="426"/>
        <v>0.4380787001900413</v>
      </c>
      <c r="DH133" s="159">
        <f t="shared" si="426"/>
        <v>0.44870866146188521</v>
      </c>
      <c r="DI133" s="159">
        <f t="shared" si="426"/>
        <v>0.48433476333106035</v>
      </c>
      <c r="DJ133" s="159">
        <f t="shared" si="426"/>
        <v>0.46785483384336879</v>
      </c>
      <c r="DK133" s="159">
        <f t="shared" si="426"/>
        <v>0.4702906476498811</v>
      </c>
      <c r="DL133" s="159">
        <f t="shared" si="426"/>
        <v>0.48530358600549572</v>
      </c>
      <c r="DM133" s="159">
        <f t="shared" si="426"/>
        <v>0.46484318393690738</v>
      </c>
      <c r="DN133" s="159">
        <f t="shared" si="426"/>
        <v>0.47747640574105138</v>
      </c>
      <c r="DO133" s="159">
        <f t="shared" si="426"/>
        <v>0.47558948544805751</v>
      </c>
      <c r="DP133" s="159">
        <f t="shared" si="426"/>
        <v>0.4783136539782295</v>
      </c>
      <c r="DQ133" s="159">
        <f t="shared" si="426"/>
        <v>0.4739314009779062</v>
      </c>
      <c r="DR133" s="159">
        <f t="shared" si="426"/>
        <v>0.4777203542599191</v>
      </c>
      <c r="DS133" s="159">
        <f t="shared" si="426"/>
        <v>0.43611845651010428</v>
      </c>
      <c r="DT133" s="159">
        <f t="shared" si="426"/>
        <v>0.39943970957665009</v>
      </c>
      <c r="DU133" s="159">
        <f t="shared" si="426"/>
        <v>0.39085704555897394</v>
      </c>
      <c r="DV133" s="159">
        <f t="shared" si="426"/>
        <v>0.43122704989751176</v>
      </c>
      <c r="DW133" s="159">
        <f t="shared" si="426"/>
        <v>0.38074969755710636</v>
      </c>
      <c r="DX133" s="159">
        <f t="shared" si="426"/>
        <v>0.34308573016817617</v>
      </c>
      <c r="DY133" s="159">
        <f t="shared" si="426"/>
        <v>0.36855595982556399</v>
      </c>
      <c r="DZ133" s="159">
        <f t="shared" si="426"/>
        <v>0.29028322997034084</v>
      </c>
      <c r="EA133" s="159">
        <f t="shared" si="426"/>
        <v>0.22824665370115788</v>
      </c>
      <c r="EB133" s="159">
        <f t="shared" ref="EB133:EC133" si="427">EB132/EB123</f>
        <v>0.27388709739739631</v>
      </c>
      <c r="EC133" s="159">
        <f t="shared" si="427"/>
        <v>0.28448329509691855</v>
      </c>
      <c r="ED133" s="159">
        <f t="shared" ref="ED133" si="428">ED132/ED123</f>
        <v>0.31551541922664111</v>
      </c>
      <c r="EE133" s="159">
        <f t="shared" si="426"/>
        <v>0.30542841258043546</v>
      </c>
      <c r="EF133" s="159">
        <f t="shared" si="426"/>
        <v>0.31422064934004112</v>
      </c>
      <c r="EG133" s="159">
        <f t="shared" ref="EG133:EP133" si="429">EG132/EG123</f>
        <v>0.33651944177204551</v>
      </c>
      <c r="EH133" s="159">
        <f t="shared" si="429"/>
        <v>0.34917402804356101</v>
      </c>
      <c r="EI133" s="159">
        <f t="shared" si="429"/>
        <v>0.3643289009951296</v>
      </c>
      <c r="EJ133" s="159">
        <f t="shared" si="429"/>
        <v>0.36371660778126441</v>
      </c>
      <c r="EK133" s="159">
        <f t="shared" si="429"/>
        <v>0.36327528182950086</v>
      </c>
      <c r="EL133" s="159">
        <f t="shared" si="429"/>
        <v>0.36525931720495147</v>
      </c>
      <c r="EM133" s="159">
        <f t="shared" si="429"/>
        <v>0.36184321447819862</v>
      </c>
      <c r="EN133" s="159">
        <f t="shared" si="429"/>
        <v>0.3589878186787101</v>
      </c>
      <c r="EO133" s="159">
        <f t="shared" si="429"/>
        <v>0.35670003217540625</v>
      </c>
      <c r="EP133" s="159">
        <f t="shared" si="429"/>
        <v>0.35379492842742033</v>
      </c>
      <c r="ES133" s="355">
        <f t="shared" si="201"/>
        <v>128</v>
      </c>
      <c r="ET133"/>
      <c r="EU133"/>
      <c r="EV133"/>
      <c r="EW133"/>
      <c r="EX133"/>
      <c r="EY133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</row>
    <row r="134" spans="1:257" s="4" customFormat="1" hidden="1" outlineLevel="2">
      <c r="A134" s="15"/>
      <c r="B134" s="54" t="s">
        <v>150</v>
      </c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59">
        <f t="shared" ref="N134:AF134" si="430">N127/N123</f>
        <v>0.51542922033749539</v>
      </c>
      <c r="O134" s="159">
        <f t="shared" si="430"/>
        <v>6.7757205476052199E-2</v>
      </c>
      <c r="P134" s="159">
        <f t="shared" si="430"/>
        <v>0.10272676040056086</v>
      </c>
      <c r="Q134" s="159">
        <f t="shared" si="430"/>
        <v>0.31206492342273207</v>
      </c>
      <c r="R134" s="159">
        <f t="shared" si="430"/>
        <v>0.4236776019163826</v>
      </c>
      <c r="S134" s="159">
        <f t="shared" si="430"/>
        <v>0.3974616921825157</v>
      </c>
      <c r="T134" s="159">
        <f t="shared" si="430"/>
        <v>0.39280354958827202</v>
      </c>
      <c r="U134" s="159">
        <f t="shared" si="430"/>
        <v>0.39808654670807764</v>
      </c>
      <c r="V134" s="159">
        <f t="shared" si="430"/>
        <v>0.28621552642664239</v>
      </c>
      <c r="W134" s="159">
        <f t="shared" si="430"/>
        <v>0.33096231959126071</v>
      </c>
      <c r="X134" s="159">
        <f t="shared" si="430"/>
        <v>0.33713475018434014</v>
      </c>
      <c r="Y134" s="159">
        <f t="shared" si="430"/>
        <v>0.33085889849272443</v>
      </c>
      <c r="Z134" s="159">
        <f t="shared" si="430"/>
        <v>0.33424781454306268</v>
      </c>
      <c r="AA134" s="159">
        <f t="shared" si="430"/>
        <v>0.2263389840565084</v>
      </c>
      <c r="AB134" s="159">
        <f t="shared" si="430"/>
        <v>-7.1779744741926485E-2</v>
      </c>
      <c r="AC134" s="159">
        <f t="shared" si="430"/>
        <v>-5.9759422248138606E-2</v>
      </c>
      <c r="AD134" s="159">
        <f t="shared" si="430"/>
        <v>7.8252619389794859E-2</v>
      </c>
      <c r="AE134" s="159">
        <f t="shared" si="430"/>
        <v>0.15381109382922609</v>
      </c>
      <c r="AF134" s="159">
        <f t="shared" si="430"/>
        <v>0.16987132312604442</v>
      </c>
      <c r="AG134" s="91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159"/>
      <c r="AV134" s="159"/>
      <c r="AW134" s="159"/>
      <c r="AX134" s="159"/>
      <c r="AY134" s="159"/>
      <c r="AZ134" s="159"/>
      <c r="BA134" s="159"/>
      <c r="BB134" s="159"/>
      <c r="BC134" s="159"/>
      <c r="BD134" s="159"/>
      <c r="BE134" s="159"/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159"/>
      <c r="BP134" s="159"/>
      <c r="BQ134" s="159"/>
      <c r="BR134" s="159"/>
      <c r="BS134" s="159"/>
      <c r="BT134" s="159"/>
      <c r="BU134" s="159">
        <f t="shared" ref="BU134:CZ134" si="431">BU127/BU123</f>
        <v>6.463719067803704E-2</v>
      </c>
      <c r="BV134" s="159">
        <f t="shared" si="431"/>
        <v>1.5159727633049834E-2</v>
      </c>
      <c r="BW134" s="159">
        <f t="shared" si="431"/>
        <v>5.570843270347945E-2</v>
      </c>
      <c r="BX134" s="159">
        <f t="shared" si="431"/>
        <v>0.10353071478740081</v>
      </c>
      <c r="BY134" s="159">
        <f t="shared" si="431"/>
        <v>8.4243844941528645E-2</v>
      </c>
      <c r="BZ134" s="159">
        <f t="shared" si="431"/>
        <v>8.6143621635327725E-2</v>
      </c>
      <c r="CA134" s="159">
        <f t="shared" si="431"/>
        <v>6.9680032008923865E-2</v>
      </c>
      <c r="CB134" s="159">
        <f t="shared" si="431"/>
        <v>0.10713721061547159</v>
      </c>
      <c r="CC134" s="159">
        <f t="shared" si="431"/>
        <v>0.13848383389135996</v>
      </c>
      <c r="CD134" s="159">
        <f t="shared" si="431"/>
        <v>0.23434809686046093</v>
      </c>
      <c r="CE134" s="159">
        <f t="shared" si="431"/>
        <v>0.2924734872624476</v>
      </c>
      <c r="CF134" s="159">
        <f t="shared" si="431"/>
        <v>0.34057093425605539</v>
      </c>
      <c r="CG134" s="159">
        <f t="shared" si="431"/>
        <v>0.35610639717799591</v>
      </c>
      <c r="CH134" s="159">
        <f t="shared" si="431"/>
        <v>0.41093693923150842</v>
      </c>
      <c r="CI134" s="159">
        <f t="shared" si="431"/>
        <v>0.42793337051035796</v>
      </c>
      <c r="CJ134" s="159">
        <f t="shared" si="431"/>
        <v>0.43612703849877132</v>
      </c>
      <c r="CK134" s="159">
        <f t="shared" si="431"/>
        <v>0.41843842825778121</v>
      </c>
      <c r="CL134" s="159">
        <f t="shared" si="431"/>
        <v>0.43871063356798812</v>
      </c>
      <c r="CM134" s="159">
        <f t="shared" si="431"/>
        <v>0.40789165691355955</v>
      </c>
      <c r="CN134" s="159">
        <f t="shared" si="431"/>
        <v>0.37763991117378437</v>
      </c>
      <c r="CO134" s="159">
        <f t="shared" si="431"/>
        <v>0.37362250561828175</v>
      </c>
      <c r="CP134" s="159">
        <f t="shared" si="431"/>
        <v>0.41375947808677843</v>
      </c>
      <c r="CQ134" s="159">
        <f t="shared" si="431"/>
        <v>0.39352466578876033</v>
      </c>
      <c r="CR134" s="159">
        <f t="shared" si="431"/>
        <v>0.40692014141491495</v>
      </c>
      <c r="CS134" s="159">
        <f t="shared" si="431"/>
        <v>0.3629005706760316</v>
      </c>
      <c r="CT134" s="159">
        <f t="shared" si="431"/>
        <v>0.40834673108812214</v>
      </c>
      <c r="CU134" s="159">
        <f t="shared" si="431"/>
        <v>0.46543663181460698</v>
      </c>
      <c r="CV134" s="159">
        <f t="shared" si="431"/>
        <v>0.34209407914774859</v>
      </c>
      <c r="CW134" s="159">
        <f t="shared" si="431"/>
        <v>0.33497220240218811</v>
      </c>
      <c r="CX134" s="159">
        <f t="shared" si="431"/>
        <v>0.32105560408181888</v>
      </c>
      <c r="CY134" s="159">
        <f t="shared" si="431"/>
        <v>0.27963037735907215</v>
      </c>
      <c r="CZ134" s="159">
        <f t="shared" si="431"/>
        <v>0.28103839624620897</v>
      </c>
      <c r="DA134" s="159">
        <f t="shared" ref="DA134:EF134" si="432">DA127/DA123</f>
        <v>0.27269391143996063</v>
      </c>
      <c r="DB134" s="159">
        <f t="shared" si="432"/>
        <v>0.33212043169511218</v>
      </c>
      <c r="DC134" s="159">
        <f t="shared" si="432"/>
        <v>0.33158949580086355</v>
      </c>
      <c r="DD134" s="159">
        <f t="shared" si="432"/>
        <v>0.3344741662526049</v>
      </c>
      <c r="DE134" s="159">
        <f t="shared" si="432"/>
        <v>0.3262801451620847</v>
      </c>
      <c r="DF134" s="159">
        <f t="shared" si="432"/>
        <v>0.3637320141992525</v>
      </c>
      <c r="DG134" s="159">
        <f t="shared" si="432"/>
        <v>0.32005877317077608</v>
      </c>
      <c r="DH134" s="159">
        <f t="shared" si="432"/>
        <v>0.33345878384687866</v>
      </c>
      <c r="DI134" s="159">
        <f t="shared" si="432"/>
        <v>0.33341821247406872</v>
      </c>
      <c r="DJ134" s="159">
        <f t="shared" si="432"/>
        <v>0.33674985273623259</v>
      </c>
      <c r="DK134" s="159">
        <f t="shared" si="432"/>
        <v>0.32958247655714512</v>
      </c>
      <c r="DL134" s="159">
        <f t="shared" si="432"/>
        <v>0.33972774411626067</v>
      </c>
      <c r="DM134" s="159">
        <f t="shared" si="432"/>
        <v>0.31726997076014085</v>
      </c>
      <c r="DN134" s="159">
        <f t="shared" si="432"/>
        <v>0.33396990722524267</v>
      </c>
      <c r="DO134" s="159">
        <f t="shared" si="432"/>
        <v>0.33036529157134564</v>
      </c>
      <c r="DP134" s="159">
        <f t="shared" si="432"/>
        <v>0.33791486502825074</v>
      </c>
      <c r="DQ134" s="159">
        <f t="shared" si="432"/>
        <v>0.334415986217105</v>
      </c>
      <c r="DR134" s="159">
        <f t="shared" si="432"/>
        <v>0.34037601191169575</v>
      </c>
      <c r="DS134" s="159">
        <f t="shared" si="432"/>
        <v>0.23764773394801875</v>
      </c>
      <c r="DT134" s="159">
        <f t="shared" si="432"/>
        <v>0.10985427089703573</v>
      </c>
      <c r="DU134" s="159">
        <f t="shared" si="432"/>
        <v>7.7978744559275809E-2</v>
      </c>
      <c r="DV134" s="159">
        <f t="shared" si="432"/>
        <v>7.8199710451234639E-2</v>
      </c>
      <c r="DW134" s="159">
        <f t="shared" si="432"/>
        <v>-5.9270376185203942E-2</v>
      </c>
      <c r="DX134" s="159">
        <f t="shared" si="432"/>
        <v>-0.22504304862540292</v>
      </c>
      <c r="DY134" s="159">
        <f t="shared" si="432"/>
        <v>-0.18300537565529529</v>
      </c>
      <c r="DZ134" s="159">
        <f t="shared" si="432"/>
        <v>-0.15025710297324602</v>
      </c>
      <c r="EA134" s="159">
        <f t="shared" si="432"/>
        <v>-0.12250416844098481</v>
      </c>
      <c r="EB134" s="159">
        <f t="shared" ref="EB134:EC134" si="433">EB127/EB123</f>
        <v>-3.2766282130050631E-2</v>
      </c>
      <c r="EC134" s="159">
        <f t="shared" si="433"/>
        <v>1.5325121906312782E-2</v>
      </c>
      <c r="ED134" s="159">
        <f t="shared" ref="ED134" si="434">ED127/ED123</f>
        <v>6.0491853127678241E-2</v>
      </c>
      <c r="EE134" s="159">
        <f t="shared" si="432"/>
        <v>5.3913163887478931E-2</v>
      </c>
      <c r="EF134" s="159">
        <f t="shared" si="432"/>
        <v>7.8999513985316114E-2</v>
      </c>
      <c r="EG134" s="159">
        <f t="shared" ref="EG134:EP134" si="435">EG127/EG123</f>
        <v>0.11441001974347678</v>
      </c>
      <c r="EH134" s="159">
        <f t="shared" si="435"/>
        <v>0.13398196973445159</v>
      </c>
      <c r="EI134" s="159">
        <f t="shared" si="435"/>
        <v>0.15466944157529067</v>
      </c>
      <c r="EJ134" s="159">
        <f t="shared" si="435"/>
        <v>0.15993711301564417</v>
      </c>
      <c r="EK134" s="159">
        <f t="shared" si="435"/>
        <v>0.16543697085457121</v>
      </c>
      <c r="EL134" s="159">
        <f t="shared" si="435"/>
        <v>0.17525142868527674</v>
      </c>
      <c r="EM134" s="159">
        <f t="shared" si="435"/>
        <v>0.16998861155738443</v>
      </c>
      <c r="EN134" s="159">
        <f t="shared" si="435"/>
        <v>0.16721912354614593</v>
      </c>
      <c r="EO134" s="159">
        <f t="shared" si="435"/>
        <v>0.16694423316545662</v>
      </c>
      <c r="EP134" s="159">
        <f t="shared" si="435"/>
        <v>0.1641572070655832</v>
      </c>
      <c r="ES134" s="355">
        <f t="shared" si="201"/>
        <v>129</v>
      </c>
      <c r="ET134"/>
      <c r="EU134"/>
      <c r="EV134"/>
      <c r="EW134"/>
      <c r="EX134"/>
      <c r="EY134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</row>
    <row r="135" spans="1:257" s="4" customFormat="1" hidden="1" outlineLevel="2">
      <c r="A135" s="15"/>
      <c r="B135" s="54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246"/>
      <c r="O135" s="246"/>
      <c r="P135" s="246"/>
      <c r="Q135" s="246"/>
      <c r="R135" s="246"/>
      <c r="S135" s="246"/>
      <c r="T135" s="246"/>
      <c r="U135" s="246"/>
      <c r="V135" s="246"/>
      <c r="W135" s="246"/>
      <c r="X135" s="246"/>
      <c r="Y135" s="246"/>
      <c r="Z135" s="246"/>
      <c r="AA135" s="246"/>
      <c r="AB135" s="246"/>
      <c r="AC135" s="246"/>
      <c r="AD135" s="246"/>
      <c r="AE135" s="246"/>
      <c r="AF135" s="246"/>
      <c r="AG135" s="25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  <c r="CJ135" s="50"/>
      <c r="CK135" s="50"/>
      <c r="CL135" s="50"/>
      <c r="CM135" s="50"/>
      <c r="CN135" s="50"/>
      <c r="CO135" s="50"/>
      <c r="CP135" s="50"/>
      <c r="CQ135" s="50"/>
      <c r="CR135" s="50"/>
      <c r="CS135" s="50"/>
      <c r="CT135" s="50"/>
      <c r="CU135" s="50"/>
      <c r="CV135" s="50"/>
      <c r="CW135" s="50"/>
      <c r="CX135" s="50"/>
      <c r="CY135" s="50"/>
      <c r="CZ135" s="50"/>
      <c r="DA135" s="50"/>
      <c r="DB135" s="50"/>
      <c r="DC135" s="50"/>
      <c r="DD135" s="50"/>
      <c r="DE135" s="50"/>
      <c r="DF135" s="50"/>
      <c r="DG135" s="50"/>
      <c r="DH135" s="50"/>
      <c r="DI135" s="50"/>
      <c r="DJ135" s="50"/>
      <c r="DK135" s="50"/>
      <c r="DL135" s="50"/>
      <c r="DM135" s="50"/>
      <c r="DN135" s="50"/>
      <c r="DO135" s="50"/>
      <c r="DP135" s="50"/>
      <c r="DQ135" s="50"/>
      <c r="DR135" s="50"/>
      <c r="DS135" s="50"/>
      <c r="DT135" s="50"/>
      <c r="DU135" s="50"/>
      <c r="DV135" s="50"/>
      <c r="DW135" s="50"/>
      <c r="DX135" s="50"/>
      <c r="DY135" s="50"/>
      <c r="DZ135" s="50"/>
      <c r="EA135" s="50"/>
      <c r="EB135" s="50"/>
      <c r="EC135" s="50"/>
      <c r="ED135" s="50"/>
      <c r="EE135" s="50"/>
      <c r="EF135" s="50"/>
      <c r="EG135" s="50"/>
      <c r="EH135" s="50"/>
      <c r="EI135" s="50"/>
      <c r="EJ135" s="50"/>
      <c r="EK135" s="50"/>
      <c r="EL135" s="50"/>
      <c r="EM135" s="50"/>
      <c r="EN135" s="50"/>
      <c r="EO135" s="50"/>
      <c r="EP135" s="50"/>
      <c r="ES135" s="355">
        <f t="shared" si="201"/>
        <v>130</v>
      </c>
      <c r="ET135"/>
      <c r="EU135"/>
      <c r="EV135"/>
      <c r="EW135"/>
      <c r="EX135"/>
      <c r="EY135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</row>
    <row r="136" spans="1:257" s="4" customFormat="1" hidden="1" outlineLevel="2">
      <c r="A136" s="15"/>
      <c r="B136" s="245" t="s">
        <v>182</v>
      </c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157"/>
      <c r="EF136" s="157"/>
      <c r="EG136" s="157"/>
      <c r="EH136" s="157"/>
      <c r="EI136" s="157"/>
      <c r="EJ136" s="157"/>
      <c r="EK136" s="157"/>
      <c r="EL136" s="157"/>
      <c r="EM136" s="157"/>
      <c r="EN136" s="157"/>
      <c r="EO136" s="157"/>
      <c r="EP136" s="157"/>
      <c r="EQ136" s="18"/>
      <c r="ER136" s="18"/>
      <c r="ES136" s="355">
        <f t="shared" ref="ES136:ES199" si="436">ES135+1</f>
        <v>131</v>
      </c>
      <c r="ET136"/>
      <c r="EU136"/>
      <c r="EV136"/>
      <c r="EW136"/>
      <c r="EX136"/>
      <c r="EY136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</row>
    <row r="137" spans="1:257" s="4" customFormat="1" hidden="1" outlineLevel="2">
      <c r="A137" s="15"/>
      <c r="B137" s="14" t="s">
        <v>181</v>
      </c>
      <c r="C137" s="192"/>
      <c r="D137" s="192"/>
      <c r="E137" s="192"/>
      <c r="F137" s="192"/>
      <c r="G137" s="192"/>
      <c r="H137" s="192"/>
      <c r="I137" s="244">
        <v>967.63461538461547</v>
      </c>
      <c r="J137" s="244">
        <v>846.82692307692309</v>
      </c>
      <c r="K137" s="244">
        <v>620.67673992673986</v>
      </c>
      <c r="L137" s="244">
        <v>918.11538461538476</v>
      </c>
      <c r="M137" s="244">
        <v>1156.4038461538462</v>
      </c>
      <c r="N137" s="244">
        <v>830.03846153846155</v>
      </c>
      <c r="O137" s="244">
        <v>1030.6903846153846</v>
      </c>
      <c r="P137" s="244">
        <v>1189.20641025641</v>
      </c>
      <c r="Q137" s="244">
        <v>1380.7089285714287</v>
      </c>
      <c r="R137" s="244">
        <v>1647.3291666666667</v>
      </c>
      <c r="S137" s="244">
        <v>1766.7124999999999</v>
      </c>
      <c r="T137" s="244">
        <v>1877.4791666666665</v>
      </c>
      <c r="U137" s="244">
        <v>1085.4208333333333</v>
      </c>
      <c r="V137" s="244">
        <v>1539.1750000000002</v>
      </c>
      <c r="W137" s="244">
        <v>1875.3291666666664</v>
      </c>
      <c r="X137" s="244">
        <v>1918.7583333333334</v>
      </c>
      <c r="Y137" s="244">
        <v>1761.1291666666666</v>
      </c>
      <c r="Z137" s="244">
        <v>1861.4249999999997</v>
      </c>
      <c r="AA137" s="244">
        <v>977.12500000000011</v>
      </c>
      <c r="AB137" s="244">
        <v>509.92499999999995</v>
      </c>
      <c r="AC137" s="244">
        <v>874.57916666666665</v>
      </c>
      <c r="AD137" s="244">
        <v>999.57435897435903</v>
      </c>
      <c r="AE137" s="244">
        <v>1144.5166666666667</v>
      </c>
      <c r="AF137" s="244">
        <v>1215.0166666666667</v>
      </c>
      <c r="AG137" s="17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244">
        <v>1076.6923076923078</v>
      </c>
      <c r="BR137" s="244">
        <v>858.53846153846155</v>
      </c>
      <c r="BS137" s="244">
        <v>681.92307692307679</v>
      </c>
      <c r="BT137" s="244">
        <v>688.15384615384619</v>
      </c>
      <c r="BU137" s="244">
        <v>725.23076923076917</v>
      </c>
      <c r="BV137" s="244">
        <v>719.46153846153845</v>
      </c>
      <c r="BW137" s="244">
        <v>774.69230769230774</v>
      </c>
      <c r="BX137" s="244">
        <v>909.15384615384619</v>
      </c>
      <c r="BY137" s="244">
        <v>967.15384615384596</v>
      </c>
      <c r="BZ137" s="244">
        <v>991.06666666666661</v>
      </c>
      <c r="CA137" s="244">
        <v>1003.6166666666664</v>
      </c>
      <c r="CB137" s="244">
        <v>1051.3833333333334</v>
      </c>
      <c r="CC137" s="244">
        <v>1118.8423076923079</v>
      </c>
      <c r="CD137" s="244">
        <v>1132.0999999999999</v>
      </c>
      <c r="CE137" s="244">
        <v>1159.0833333333333</v>
      </c>
      <c r="CF137" s="244">
        <v>1221.5999999999999</v>
      </c>
      <c r="CG137" s="244">
        <v>1310.6976190476189</v>
      </c>
      <c r="CH137" s="244">
        <v>1379.2333333333336</v>
      </c>
      <c r="CI137" s="244">
        <v>1420.9333333333332</v>
      </c>
      <c r="CJ137" s="244">
        <v>1516.6</v>
      </c>
      <c r="CK137" s="244">
        <v>1605.6166666666666</v>
      </c>
      <c r="CL137" s="244">
        <v>1612.9166666666667</v>
      </c>
      <c r="CM137" s="244">
        <v>1628.1333333333332</v>
      </c>
      <c r="CN137" s="244">
        <v>1654.3</v>
      </c>
      <c r="CO137" s="244">
        <v>1692.2166666666667</v>
      </c>
      <c r="CP137" s="244">
        <v>1706.35</v>
      </c>
      <c r="CQ137" s="244">
        <v>1690.9666666666667</v>
      </c>
      <c r="CR137" s="244">
        <v>1776.6833333333332</v>
      </c>
      <c r="CS137" s="244">
        <v>1887.7833333333333</v>
      </c>
      <c r="CT137" s="244">
        <v>1815.5333333333335</v>
      </c>
      <c r="CU137" s="244">
        <v>1265.0166666666667</v>
      </c>
      <c r="CV137" s="244">
        <v>881.46666666666658</v>
      </c>
      <c r="CW137" s="244">
        <v>933.48333333333335</v>
      </c>
      <c r="CX137" s="244">
        <v>1060.3</v>
      </c>
      <c r="CY137" s="244">
        <v>1283.0500000000002</v>
      </c>
      <c r="CZ137" s="244">
        <v>1454.9333333333334</v>
      </c>
      <c r="DA137" s="244">
        <v>1590.5166666666669</v>
      </c>
      <c r="DB137" s="244">
        <v>1648</v>
      </c>
      <c r="DC137" s="244">
        <v>1674.3333333333333</v>
      </c>
      <c r="DD137" s="244">
        <v>1780.8999999999999</v>
      </c>
      <c r="DE137" s="244">
        <v>1894.1499999999996</v>
      </c>
      <c r="DF137" s="244">
        <v>1955.9833333333333</v>
      </c>
      <c r="DG137" s="244">
        <v>1930.3</v>
      </c>
      <c r="DH137" s="244">
        <v>1903.35</v>
      </c>
      <c r="DI137" s="244">
        <v>1838.3166666666666</v>
      </c>
      <c r="DJ137" s="244">
        <v>1744.2999999999997</v>
      </c>
      <c r="DK137" s="244">
        <v>1689.0833333333335</v>
      </c>
      <c r="DL137" s="244">
        <v>1687.6666666666667</v>
      </c>
      <c r="DM137" s="244">
        <v>1688.6833333333332</v>
      </c>
      <c r="DN137" s="244">
        <v>1680.8833333333332</v>
      </c>
      <c r="DO137" s="244">
        <v>1707.4666666666665</v>
      </c>
      <c r="DP137" s="244">
        <v>1782.15</v>
      </c>
      <c r="DQ137" s="244">
        <v>1829.8999999999999</v>
      </c>
      <c r="DR137" s="244">
        <v>1843.8</v>
      </c>
      <c r="DS137" s="244">
        <v>1323.7666666666669</v>
      </c>
      <c r="DT137" s="244">
        <v>874.48333333333335</v>
      </c>
      <c r="DU137" s="244">
        <v>829.58333333333337</v>
      </c>
      <c r="DV137" s="244">
        <v>723.26666666666688</v>
      </c>
      <c r="DW137" s="244">
        <v>526.04999999999995</v>
      </c>
      <c r="DX137" s="244">
        <v>393.73333333333335</v>
      </c>
      <c r="DY137" s="244">
        <v>457.90000000000003</v>
      </c>
      <c r="DZ137" s="244">
        <v>561.88333333333321</v>
      </c>
      <c r="EA137" s="244">
        <v>715.55000000000018</v>
      </c>
      <c r="EB137" s="244">
        <v>867.88333333333321</v>
      </c>
      <c r="EC137" s="244">
        <v>924.49999999999989</v>
      </c>
      <c r="ED137" s="244">
        <v>899.66666666666663</v>
      </c>
      <c r="EE137" s="244">
        <v>984.61538461538464</v>
      </c>
      <c r="EF137" s="244">
        <v>1045</v>
      </c>
      <c r="EG137" s="244">
        <v>1080</v>
      </c>
      <c r="EH137" s="244">
        <v>1105</v>
      </c>
      <c r="EI137" s="244">
        <v>1115</v>
      </c>
      <c r="EJ137" s="244">
        <v>1125</v>
      </c>
      <c r="EK137" s="244">
        <v>1140</v>
      </c>
      <c r="EL137" s="244">
        <v>1150</v>
      </c>
      <c r="EM137" s="244">
        <v>1150</v>
      </c>
      <c r="EN137" s="244">
        <v>1150</v>
      </c>
      <c r="EO137" s="244">
        <v>1150</v>
      </c>
      <c r="EP137" s="244">
        <v>1150</v>
      </c>
      <c r="ES137" s="355">
        <f t="shared" si="436"/>
        <v>132</v>
      </c>
      <c r="ET137"/>
      <c r="EU137"/>
      <c r="EV137"/>
      <c r="EW137"/>
      <c r="EX137"/>
      <c r="EY137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</row>
    <row r="138" spans="1:257" s="240" customFormat="1" hidden="1" outlineLevel="2">
      <c r="A138" s="243"/>
      <c r="B138" s="242" t="s">
        <v>180</v>
      </c>
      <c r="C138" s="91"/>
      <c r="D138" s="91"/>
      <c r="E138" s="91"/>
      <c r="F138" s="91"/>
      <c r="G138" s="91"/>
      <c r="H138" s="91"/>
      <c r="I138" s="91">
        <f t="shared" ref="I138:AF138" si="437">I108/I137</f>
        <v>3.1204960550112286E-2</v>
      </c>
      <c r="J138" s="91">
        <f t="shared" si="437"/>
        <v>3.6075848756670824E-2</v>
      </c>
      <c r="K138" s="91">
        <f t="shared" si="437"/>
        <v>4.224421234650233E-2</v>
      </c>
      <c r="L138" s="91">
        <f t="shared" si="437"/>
        <v>3.610657282895563E-2</v>
      </c>
      <c r="M138" s="91">
        <f t="shared" si="437"/>
        <v>3.6488118005088721E-2</v>
      </c>
      <c r="N138" s="91">
        <f t="shared" si="437"/>
        <v>5.7781841333034573E-2</v>
      </c>
      <c r="O138" s="91">
        <f t="shared" si="437"/>
        <v>6.0042212899795777E-2</v>
      </c>
      <c r="P138" s="91">
        <f t="shared" si="437"/>
        <v>6.311781423498504E-2</v>
      </c>
      <c r="Q138" s="91">
        <f t="shared" si="437"/>
        <v>6.1449472702565421E-2</v>
      </c>
      <c r="R138" s="91">
        <f t="shared" si="437"/>
        <v>5.7235028320194649E-2</v>
      </c>
      <c r="S138" s="91">
        <f t="shared" si="437"/>
        <v>7.340931288193836E-2</v>
      </c>
      <c r="T138" s="91">
        <f t="shared" si="437"/>
        <v>8.7031009453984259E-2</v>
      </c>
      <c r="U138" s="91">
        <f t="shared" si="437"/>
        <v>0.12129630296689105</v>
      </c>
      <c r="V138" s="91">
        <f t="shared" si="437"/>
        <v>9.7990584263807912E-2</v>
      </c>
      <c r="W138" s="91">
        <f t="shared" si="437"/>
        <v>0.10797008634739833</v>
      </c>
      <c r="X138" s="91">
        <f t="shared" si="437"/>
        <v>0.12294494582569228</v>
      </c>
      <c r="Y138" s="91">
        <f t="shared" si="437"/>
        <v>0.13786298310389605</v>
      </c>
      <c r="Z138" s="91">
        <f t="shared" si="437"/>
        <v>0.14812337211824569</v>
      </c>
      <c r="AA138" s="91">
        <f t="shared" si="437"/>
        <v>0.21271797855394195</v>
      </c>
      <c r="AB138" s="91">
        <f t="shared" si="437"/>
        <v>0.19816478958252462</v>
      </c>
      <c r="AC138" s="91">
        <f t="shared" si="437"/>
        <v>0.17893537446287766</v>
      </c>
      <c r="AD138" s="91">
        <f t="shared" si="437"/>
        <v>0.21415560546635198</v>
      </c>
      <c r="AE138" s="91">
        <f t="shared" si="437"/>
        <v>0.21188581728683303</v>
      </c>
      <c r="AF138" s="91">
        <f t="shared" si="437"/>
        <v>0.21457510495092519</v>
      </c>
      <c r="AG138" s="42"/>
      <c r="AH138" s="91"/>
      <c r="AI138" s="91"/>
      <c r="AJ138" s="91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C138" s="91"/>
      <c r="BD138" s="91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>
        <f t="shared" ref="BQ138:CV138" si="438">BQ108/BQ137</f>
        <v>4.5509752089733506E-2</v>
      </c>
      <c r="BR138" s="91">
        <f t="shared" si="438"/>
        <v>5.3387241286623061E-2</v>
      </c>
      <c r="BS138" s="91">
        <f t="shared" si="438"/>
        <v>6.4930751394372391E-2</v>
      </c>
      <c r="BT138" s="91">
        <f t="shared" si="438"/>
        <v>7.131678962664878E-2</v>
      </c>
      <c r="BU138" s="91">
        <f t="shared" si="438"/>
        <v>7.2510652819538474E-2</v>
      </c>
      <c r="BV138" s="91">
        <f t="shared" si="438"/>
        <v>7.5766203822070569E-2</v>
      </c>
      <c r="BW138" s="91">
        <f t="shared" si="438"/>
        <v>7.6833371948057685E-2</v>
      </c>
      <c r="BX138" s="91">
        <f t="shared" si="438"/>
        <v>7.14587891167974E-2</v>
      </c>
      <c r="BY138" s="91">
        <f t="shared" si="438"/>
        <v>7.0848851403456009E-2</v>
      </c>
      <c r="BZ138" s="91">
        <f t="shared" si="438"/>
        <v>6.8876163290613537E-2</v>
      </c>
      <c r="CA138" s="91">
        <f t="shared" si="438"/>
        <v>7.3996116974013593E-2</v>
      </c>
      <c r="CB138" s="91">
        <f t="shared" si="438"/>
        <v>7.3905771795853101E-2</v>
      </c>
      <c r="CC138" s="91">
        <f t="shared" si="438"/>
        <v>7.1531625274990837E-2</v>
      </c>
      <c r="CD138" s="91">
        <f t="shared" si="438"/>
        <v>7.285421859337976E-2</v>
      </c>
      <c r="CE138" s="91">
        <f t="shared" si="438"/>
        <v>7.2749059362043761E-2</v>
      </c>
      <c r="CF138" s="91">
        <f t="shared" si="438"/>
        <v>7.0138604028584392E-2</v>
      </c>
      <c r="CG138" s="91">
        <f t="shared" si="438"/>
        <v>6.6293936210064366E-2</v>
      </c>
      <c r="CH138" s="91">
        <f t="shared" si="438"/>
        <v>6.3322829002880179E-2</v>
      </c>
      <c r="CI138" s="91">
        <f t="shared" si="438"/>
        <v>6.3229176441149809E-2</v>
      </c>
      <c r="CJ138" s="91">
        <f t="shared" si="438"/>
        <v>6.3154569286706971E-2</v>
      </c>
      <c r="CK138" s="91">
        <f t="shared" si="438"/>
        <v>6.4833548535011387E-2</v>
      </c>
      <c r="CL138" s="91">
        <f t="shared" si="438"/>
        <v>7.1083755461458106E-2</v>
      </c>
      <c r="CM138" s="91">
        <f t="shared" si="438"/>
        <v>7.6133540796549562E-2</v>
      </c>
      <c r="CN138" s="91">
        <f t="shared" si="438"/>
        <v>8.2176784709578038E-2</v>
      </c>
      <c r="CO138" s="91">
        <f t="shared" si="438"/>
        <v>8.5191835252535153E-2</v>
      </c>
      <c r="CP138" s="91">
        <f t="shared" si="438"/>
        <v>8.8461131757208683E-2</v>
      </c>
      <c r="CQ138" s="91">
        <f t="shared" si="438"/>
        <v>9.2748821089612354E-2</v>
      </c>
      <c r="CR138" s="91">
        <f t="shared" si="438"/>
        <v>9.440358423951449E-2</v>
      </c>
      <c r="CS138" s="91">
        <f t="shared" si="438"/>
        <v>9.4325028856403551E-2</v>
      </c>
      <c r="CT138" s="91">
        <f t="shared" si="438"/>
        <v>9.7719518678585277E-2</v>
      </c>
      <c r="CU138" s="91">
        <f t="shared" si="438"/>
        <v>0.11004685928599975</v>
      </c>
      <c r="CV138" s="91">
        <f t="shared" si="438"/>
        <v>0.11596556521681314</v>
      </c>
      <c r="CW138" s="91">
        <f t="shared" ref="CW138:EA138" si="439">CW108/CW137</f>
        <v>0.1152997926575465</v>
      </c>
      <c r="CX138" s="91">
        <f t="shared" si="439"/>
        <v>0.11543082556618514</v>
      </c>
      <c r="CY138" s="91">
        <f t="shared" si="439"/>
        <v>0.11356619859795884</v>
      </c>
      <c r="CZ138" s="91">
        <f t="shared" si="439"/>
        <v>0.10856582933195835</v>
      </c>
      <c r="DA138" s="91">
        <f t="shared" si="439"/>
        <v>0.11141443874996411</v>
      </c>
      <c r="DB138" s="91">
        <f t="shared" si="439"/>
        <v>0.11376767623469818</v>
      </c>
      <c r="DC138" s="91">
        <f t="shared" si="439"/>
        <v>0.118103391067755</v>
      </c>
      <c r="DD138" s="91">
        <f t="shared" si="439"/>
        <v>0.11669615128540392</v>
      </c>
      <c r="DE138" s="91">
        <f t="shared" si="439"/>
        <v>0.11446570619607971</v>
      </c>
      <c r="DF138" s="91">
        <f t="shared" si="439"/>
        <v>0.11652095372911879</v>
      </c>
      <c r="DG138" s="91">
        <f t="shared" si="439"/>
        <v>0.12207861557703552</v>
      </c>
      <c r="DH138" s="91">
        <f t="shared" si="439"/>
        <v>0.12688443770483332</v>
      </c>
      <c r="DI138" s="91">
        <f t="shared" si="439"/>
        <v>0.12979147195547913</v>
      </c>
      <c r="DJ138" s="91">
        <f t="shared" si="439"/>
        <v>0.13549100299360153</v>
      </c>
      <c r="DK138" s="91">
        <f t="shared" si="439"/>
        <v>0.14371371717072046</v>
      </c>
      <c r="DL138" s="91">
        <f t="shared" si="439"/>
        <v>0.14657079045781396</v>
      </c>
      <c r="DM138" s="91">
        <f t="shared" si="439"/>
        <v>0.14495471345268141</v>
      </c>
      <c r="DN138" s="91">
        <f t="shared" si="439"/>
        <v>0.15173181457816995</v>
      </c>
      <c r="DO138" s="91">
        <f t="shared" si="439"/>
        <v>0.15812900203029831</v>
      </c>
      <c r="DP138" s="91">
        <f t="shared" si="439"/>
        <v>0.16070230025284313</v>
      </c>
      <c r="DQ138" s="91">
        <f t="shared" si="439"/>
        <v>0.15926268244641545</v>
      </c>
      <c r="DR138" s="91">
        <f t="shared" si="439"/>
        <v>0.16126312860491329</v>
      </c>
      <c r="DS138" s="91">
        <f t="shared" si="439"/>
        <v>0.17460277490997905</v>
      </c>
      <c r="DT138" s="91">
        <f t="shared" si="439"/>
        <v>0.17868007461862881</v>
      </c>
      <c r="DU138" s="91">
        <f t="shared" si="439"/>
        <v>0.17675190531303908</v>
      </c>
      <c r="DV138" s="91">
        <f t="shared" si="439"/>
        <v>0.17951464170210032</v>
      </c>
      <c r="DW138" s="91">
        <f t="shared" si="439"/>
        <v>0.20056172323067106</v>
      </c>
      <c r="DX138" s="91">
        <f t="shared" si="439"/>
        <v>0.20884888900466278</v>
      </c>
      <c r="DY138" s="91">
        <f t="shared" si="439"/>
        <v>0.18883466107086225</v>
      </c>
      <c r="DZ138" s="91">
        <f t="shared" si="439"/>
        <v>0.1892702982593478</v>
      </c>
      <c r="EA138" s="91">
        <f t="shared" si="439"/>
        <v>0.20444258107593999</v>
      </c>
      <c r="EB138" s="91">
        <f t="shared" ref="EB138:EC138" si="440">EB108/EB137</f>
        <v>0.20989553338371345</v>
      </c>
      <c r="EC138" s="91">
        <f t="shared" si="440"/>
        <v>0.20684506313636045</v>
      </c>
      <c r="ED138" s="91">
        <f t="shared" ref="ED138" si="441">ED108/ED137</f>
        <v>0.22184545000563816</v>
      </c>
      <c r="EE138" s="91">
        <f t="shared" ref="EE138:EP138" si="442">EE108/EE137</f>
        <v>0.20980019531249999</v>
      </c>
      <c r="EF138" s="91">
        <f t="shared" si="442"/>
        <v>0.21052631578947367</v>
      </c>
      <c r="EG138" s="91">
        <f t="shared" si="442"/>
        <v>0.21296296296296297</v>
      </c>
      <c r="EH138" s="91">
        <f t="shared" si="442"/>
        <v>0.21266968325791855</v>
      </c>
      <c r="EI138" s="91">
        <f t="shared" si="442"/>
        <v>0.21524663677130046</v>
      </c>
      <c r="EJ138" s="91">
        <f t="shared" si="442"/>
        <v>0.21777777777777776</v>
      </c>
      <c r="EK138" s="91">
        <f t="shared" si="442"/>
        <v>0.21929824561403508</v>
      </c>
      <c r="EL138" s="91">
        <f t="shared" si="442"/>
        <v>0.22608695652173913</v>
      </c>
      <c r="EM138" s="91">
        <f t="shared" si="442"/>
        <v>0.22608695652173913</v>
      </c>
      <c r="EN138" s="91">
        <f t="shared" si="442"/>
        <v>0.22608695652173913</v>
      </c>
      <c r="EO138" s="91">
        <f t="shared" si="442"/>
        <v>0.22608695652173913</v>
      </c>
      <c r="EP138" s="91">
        <f t="shared" si="442"/>
        <v>0.22608695652173913</v>
      </c>
      <c r="ES138" s="355">
        <f t="shared" si="436"/>
        <v>133</v>
      </c>
      <c r="ET138"/>
      <c r="EU138"/>
      <c r="EV138"/>
      <c r="EW138"/>
      <c r="EX138"/>
      <c r="EY138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</row>
    <row r="139" spans="1:257" s="4" customFormat="1" hidden="1" outlineLevel="2">
      <c r="A139" s="15"/>
      <c r="B139" s="14" t="s">
        <v>179</v>
      </c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192"/>
      <c r="O139" s="192"/>
      <c r="P139" s="192"/>
      <c r="Q139" s="244">
        <v>179.60000000000002</v>
      </c>
      <c r="R139" s="244">
        <v>283.77499999999998</v>
      </c>
      <c r="S139" s="244">
        <v>392.60833333333335</v>
      </c>
      <c r="T139" s="244">
        <v>553.17083333333335</v>
      </c>
      <c r="U139" s="244">
        <v>453.67499999999995</v>
      </c>
      <c r="V139" s="244">
        <v>817.22500000000002</v>
      </c>
      <c r="W139" s="244">
        <v>1072.2166666666667</v>
      </c>
      <c r="X139" s="244">
        <v>1150.5666666666666</v>
      </c>
      <c r="Y139" s="244">
        <v>1101.925</v>
      </c>
      <c r="Z139" s="244">
        <v>1275.1500000000001</v>
      </c>
      <c r="AA139" s="244">
        <v>743.9041666666667</v>
      </c>
      <c r="AB139" s="244">
        <v>401.43333333333334</v>
      </c>
      <c r="AC139" s="244">
        <v>734.7833333333333</v>
      </c>
      <c r="AD139" s="244">
        <v>916.15384615384619</v>
      </c>
      <c r="AE139" s="244">
        <v>982.5</v>
      </c>
      <c r="AF139" s="244">
        <v>1000</v>
      </c>
      <c r="AG139" s="17"/>
      <c r="AH139" s="192"/>
      <c r="AI139" s="192"/>
      <c r="AJ139" s="192"/>
      <c r="AK139" s="192"/>
      <c r="AL139" s="19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2"/>
      <c r="BQ139" s="192"/>
      <c r="BR139" s="192"/>
      <c r="BS139" s="192"/>
      <c r="BT139" s="192"/>
      <c r="BU139" s="192"/>
      <c r="BV139" s="192"/>
      <c r="BW139" s="192"/>
      <c r="BX139" s="192"/>
      <c r="BY139" s="192"/>
      <c r="BZ139" s="192"/>
      <c r="CA139" s="192"/>
      <c r="CB139" s="192"/>
      <c r="CC139" s="192"/>
      <c r="CD139" s="192"/>
      <c r="CE139" s="244">
        <v>144.5</v>
      </c>
      <c r="CF139" s="244">
        <v>171.06666666666669</v>
      </c>
      <c r="CG139" s="244">
        <v>190.56666666666669</v>
      </c>
      <c r="CH139" s="244">
        <v>212.26666666666665</v>
      </c>
      <c r="CI139" s="244">
        <v>244.68333333333331</v>
      </c>
      <c r="CJ139" s="244">
        <v>272.25</v>
      </c>
      <c r="CK139" s="244">
        <v>299.71666666666664</v>
      </c>
      <c r="CL139" s="244">
        <v>318.45</v>
      </c>
      <c r="CM139" s="244">
        <v>341.13333333333333</v>
      </c>
      <c r="CN139" s="244">
        <v>368.59999999999997</v>
      </c>
      <c r="CO139" s="244">
        <v>420.2</v>
      </c>
      <c r="CP139" s="244">
        <v>440.5</v>
      </c>
      <c r="CQ139" s="244">
        <v>463.48333333333335</v>
      </c>
      <c r="CR139" s="244">
        <v>523.61666666666667</v>
      </c>
      <c r="CS139" s="244">
        <v>600.25</v>
      </c>
      <c r="CT139" s="244">
        <v>625.33333333333337</v>
      </c>
      <c r="CU139" s="244">
        <v>490.48333333333335</v>
      </c>
      <c r="CV139" s="244">
        <v>387.75</v>
      </c>
      <c r="CW139" s="244">
        <v>419.56666666666666</v>
      </c>
      <c r="CX139" s="244">
        <v>516.9</v>
      </c>
      <c r="CY139" s="244">
        <v>660.26666666666665</v>
      </c>
      <c r="CZ139" s="244">
        <v>783.23333333333323</v>
      </c>
      <c r="DA139" s="244">
        <v>885.4666666666667</v>
      </c>
      <c r="DB139" s="244">
        <v>939.93333333333339</v>
      </c>
      <c r="DC139" s="244">
        <v>977.5</v>
      </c>
      <c r="DD139" s="244">
        <v>1040.55</v>
      </c>
      <c r="DE139" s="244">
        <v>1114.7333333333333</v>
      </c>
      <c r="DF139" s="244">
        <v>1156.0833333333333</v>
      </c>
      <c r="DG139" s="244">
        <v>1171.3666666666666</v>
      </c>
      <c r="DH139" s="244">
        <v>1168.1499999999999</v>
      </c>
      <c r="DI139" s="244">
        <v>1152.9666666666667</v>
      </c>
      <c r="DJ139" s="244">
        <v>1109.7833333333333</v>
      </c>
      <c r="DK139" s="244">
        <v>1126.9833333333333</v>
      </c>
      <c r="DL139" s="244">
        <v>1088.1166666666666</v>
      </c>
      <c r="DM139" s="244">
        <v>1072.7</v>
      </c>
      <c r="DN139" s="244">
        <v>1119.8999999999999</v>
      </c>
      <c r="DO139" s="244">
        <v>1184.2166666666667</v>
      </c>
      <c r="DP139" s="244">
        <v>1242.8</v>
      </c>
      <c r="DQ139" s="244">
        <v>1313.6666666666667</v>
      </c>
      <c r="DR139" s="244">
        <v>1359.9166666666667</v>
      </c>
      <c r="DS139" s="244">
        <v>1037.7166666666667</v>
      </c>
      <c r="DT139" s="244">
        <v>702.36666666666667</v>
      </c>
      <c r="DU139" s="244">
        <v>657.9666666666667</v>
      </c>
      <c r="DV139" s="244">
        <v>577.56666666666672</v>
      </c>
      <c r="DW139" s="244">
        <v>437.40000000000003</v>
      </c>
      <c r="DX139" s="244">
        <v>324.7</v>
      </c>
      <c r="DY139" s="244">
        <v>373.09999999999997</v>
      </c>
      <c r="DZ139" s="244">
        <v>470.5333333333333</v>
      </c>
      <c r="EA139" s="244">
        <v>606.69999999999993</v>
      </c>
      <c r="EB139" s="244">
        <v>748.63333333333333</v>
      </c>
      <c r="EC139" s="244">
        <v>799.73333333333323</v>
      </c>
      <c r="ED139" s="244">
        <v>784.06666666666661</v>
      </c>
      <c r="EE139" s="244">
        <v>859.61538461538464</v>
      </c>
      <c r="EF139" s="244">
        <v>910</v>
      </c>
      <c r="EG139" s="244">
        <v>940</v>
      </c>
      <c r="EH139" s="244">
        <v>955</v>
      </c>
      <c r="EI139" s="244">
        <v>965</v>
      </c>
      <c r="EJ139" s="244">
        <v>975</v>
      </c>
      <c r="EK139" s="244">
        <v>990</v>
      </c>
      <c r="EL139" s="244">
        <v>1000</v>
      </c>
      <c r="EM139" s="244">
        <v>1000</v>
      </c>
      <c r="EN139" s="244">
        <v>1000</v>
      </c>
      <c r="EO139" s="244">
        <v>1000</v>
      </c>
      <c r="EP139" s="244">
        <v>1000</v>
      </c>
      <c r="ES139" s="355">
        <f t="shared" si="436"/>
        <v>134</v>
      </c>
      <c r="ET139"/>
      <c r="EU139"/>
      <c r="EV139"/>
      <c r="EW139"/>
      <c r="EX139"/>
      <c r="EY139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</row>
    <row r="140" spans="1:257" s="240" customFormat="1" hidden="1" outlineLevel="2">
      <c r="A140" s="243"/>
      <c r="B140" s="242" t="s">
        <v>178</v>
      </c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91">
        <f t="shared" ref="R140:AF140" si="443">R108/R139</f>
        <v>0.33225242359915186</v>
      </c>
      <c r="S140" s="91">
        <f t="shared" si="443"/>
        <v>0.33033723350650096</v>
      </c>
      <c r="T140" s="91">
        <f t="shared" si="443"/>
        <v>0.29538597709355935</v>
      </c>
      <c r="U140" s="91">
        <f t="shared" si="443"/>
        <v>0.29020231277142305</v>
      </c>
      <c r="V140" s="91">
        <f t="shared" si="443"/>
        <v>0.18455707734619789</v>
      </c>
      <c r="W140" s="91">
        <f t="shared" si="443"/>
        <v>0.18884191819575755</v>
      </c>
      <c r="X140" s="91">
        <f t="shared" si="443"/>
        <v>0.20503083061470781</v>
      </c>
      <c r="Y140" s="91">
        <f t="shared" si="443"/>
        <v>0.2203367021784107</v>
      </c>
      <c r="Z140" s="91">
        <f t="shared" si="443"/>
        <v>0.21622597180347836</v>
      </c>
      <c r="AA140" s="91">
        <f t="shared" si="443"/>
        <v>0.27940703131947398</v>
      </c>
      <c r="AB140" s="91">
        <f t="shared" si="443"/>
        <v>0.25172095074616502</v>
      </c>
      <c r="AC140" s="91">
        <f t="shared" si="443"/>
        <v>0.21297863408932088</v>
      </c>
      <c r="AD140" s="91">
        <f t="shared" si="443"/>
        <v>0.23365557319163127</v>
      </c>
      <c r="AE140" s="91">
        <f t="shared" si="443"/>
        <v>0.24682630973543868</v>
      </c>
      <c r="AF140" s="91">
        <f t="shared" si="443"/>
        <v>0.26071232876712325</v>
      </c>
      <c r="AG140" s="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91"/>
      <c r="BR140" s="91"/>
      <c r="BS140" s="91"/>
      <c r="BT140" s="91"/>
      <c r="BU140" s="91"/>
      <c r="BV140" s="91"/>
      <c r="BW140" s="91"/>
      <c r="BX140" s="91"/>
      <c r="BY140" s="91"/>
      <c r="BZ140" s="91"/>
      <c r="CA140" s="91"/>
      <c r="CB140" s="91"/>
      <c r="CC140" s="91"/>
      <c r="CD140" s="91"/>
      <c r="CE140" s="91">
        <f t="shared" ref="CE140:DJ140" si="444">CE108/CE139</f>
        <v>0.58354479046520569</v>
      </c>
      <c r="CF140" s="91">
        <f t="shared" si="444"/>
        <v>0.50086507413085746</v>
      </c>
      <c r="CG140" s="91">
        <f t="shared" si="444"/>
        <v>0.4559627655124685</v>
      </c>
      <c r="CH140" s="91">
        <f t="shared" si="444"/>
        <v>0.41144922984487659</v>
      </c>
      <c r="CI140" s="91">
        <f t="shared" si="444"/>
        <v>0.36718661308266926</v>
      </c>
      <c r="CJ140" s="91">
        <f t="shared" si="444"/>
        <v>0.35180980635526088</v>
      </c>
      <c r="CK140" s="91">
        <f t="shared" si="444"/>
        <v>0.34732077880316919</v>
      </c>
      <c r="CL140" s="91">
        <f t="shared" si="444"/>
        <v>0.3600319482274878</v>
      </c>
      <c r="CM140" s="91">
        <f t="shared" si="444"/>
        <v>0.36336395023125528</v>
      </c>
      <c r="CN140" s="91">
        <f t="shared" si="444"/>
        <v>0.36881458205386586</v>
      </c>
      <c r="CO140" s="91">
        <f t="shared" si="444"/>
        <v>0.34308196924859802</v>
      </c>
      <c r="CP140" s="91">
        <f t="shared" si="444"/>
        <v>0.34266890391353694</v>
      </c>
      <c r="CQ140" s="91">
        <f t="shared" si="444"/>
        <v>0.33838361286309793</v>
      </c>
      <c r="CR140" s="91">
        <f t="shared" si="444"/>
        <v>0.32032073347284856</v>
      </c>
      <c r="CS140" s="91">
        <f t="shared" si="444"/>
        <v>0.29665175741991562</v>
      </c>
      <c r="CT140" s="91">
        <f t="shared" si="444"/>
        <v>0.28370955780105683</v>
      </c>
      <c r="CU140" s="91">
        <f t="shared" si="444"/>
        <v>0.28382434560014497</v>
      </c>
      <c r="CV140" s="91">
        <f t="shared" si="444"/>
        <v>0.26362290192077426</v>
      </c>
      <c r="CW140" s="91">
        <f t="shared" si="444"/>
        <v>0.25652761130358792</v>
      </c>
      <c r="CX140" s="91">
        <f t="shared" si="444"/>
        <v>0.23677946285127896</v>
      </c>
      <c r="CY140" s="91">
        <f t="shared" si="444"/>
        <v>0.22068524501884759</v>
      </c>
      <c r="CZ140" s="91">
        <f t="shared" si="444"/>
        <v>0.20167175889182953</v>
      </c>
      <c r="DA140" s="91">
        <f t="shared" si="444"/>
        <v>0.20012782909855115</v>
      </c>
      <c r="DB140" s="91">
        <f t="shared" si="444"/>
        <v>0.19947066859505913</v>
      </c>
      <c r="DC140" s="91">
        <f t="shared" si="444"/>
        <v>0.20229610684853652</v>
      </c>
      <c r="DD140" s="91">
        <f t="shared" si="444"/>
        <v>0.19972531432816859</v>
      </c>
      <c r="DE140" s="91">
        <f t="shared" si="444"/>
        <v>0.19449962686858233</v>
      </c>
      <c r="DF140" s="91">
        <f t="shared" si="444"/>
        <v>0.19714240047135664</v>
      </c>
      <c r="DG140" s="91">
        <f t="shared" si="444"/>
        <v>0.20117385815573119</v>
      </c>
      <c r="DH140" s="91">
        <f t="shared" si="444"/>
        <v>0.20674185207849552</v>
      </c>
      <c r="DI140" s="91">
        <f t="shared" si="444"/>
        <v>0.20694251879524403</v>
      </c>
      <c r="DJ140" s="91">
        <f t="shared" si="444"/>
        <v>0.21295774537528869</v>
      </c>
      <c r="DK140" s="91">
        <f t="shared" ref="DK140:EP140" si="445">DK108/DK139</f>
        <v>0.2153931094317672</v>
      </c>
      <c r="DL140" s="91">
        <f t="shared" si="445"/>
        <v>0.22733098843197336</v>
      </c>
      <c r="DM140" s="91">
        <f t="shared" si="445"/>
        <v>0.22819297911406</v>
      </c>
      <c r="DN140" s="91">
        <f t="shared" si="445"/>
        <v>0.22773772502979694</v>
      </c>
      <c r="DO140" s="91">
        <f t="shared" si="445"/>
        <v>0.22799881778390779</v>
      </c>
      <c r="DP140" s="91">
        <f t="shared" si="445"/>
        <v>0.23044384003508561</v>
      </c>
      <c r="DQ140" s="91">
        <f t="shared" si="445"/>
        <v>0.22184835012080356</v>
      </c>
      <c r="DR140" s="91">
        <f t="shared" si="445"/>
        <v>0.21864351236355595</v>
      </c>
      <c r="DS140" s="91">
        <f t="shared" si="445"/>
        <v>0.22273260202688594</v>
      </c>
      <c r="DT140" s="91">
        <f t="shared" si="445"/>
        <v>0.22246606319502715</v>
      </c>
      <c r="DU140" s="91">
        <f t="shared" si="445"/>
        <v>0.22285389551032272</v>
      </c>
      <c r="DV140" s="91">
        <f t="shared" si="445"/>
        <v>0.22479994780701643</v>
      </c>
      <c r="DW140" s="91">
        <f t="shared" si="445"/>
        <v>0.24121054985252516</v>
      </c>
      <c r="DX140" s="91">
        <f t="shared" si="445"/>
        <v>0.2532515221150885</v>
      </c>
      <c r="DY140" s="91">
        <f t="shared" si="445"/>
        <v>0.23175393005721748</v>
      </c>
      <c r="DZ140" s="91">
        <f t="shared" si="445"/>
        <v>0.22601549890965542</v>
      </c>
      <c r="EA140" s="91">
        <f t="shared" si="445"/>
        <v>0.24112228265846203</v>
      </c>
      <c r="EB140" s="91">
        <f t="shared" ref="EB140:EC140" si="446">EB108/EB139</f>
        <v>0.24332984794269802</v>
      </c>
      <c r="EC140" s="91">
        <f t="shared" si="446"/>
        <v>0.23911503109732232</v>
      </c>
      <c r="ED140" s="91">
        <f t="shared" ref="ED140" si="447">ED108/ED139</f>
        <v>0.25455355393470686</v>
      </c>
      <c r="EE140" s="91">
        <f t="shared" si="445"/>
        <v>0.24030805369127514</v>
      </c>
      <c r="EF140" s="91">
        <f t="shared" si="445"/>
        <v>0.24175824175824176</v>
      </c>
      <c r="EG140" s="91">
        <f t="shared" si="445"/>
        <v>0.24468085106382978</v>
      </c>
      <c r="EH140" s="91">
        <f t="shared" si="445"/>
        <v>0.24607329842931938</v>
      </c>
      <c r="EI140" s="91">
        <f t="shared" si="445"/>
        <v>0.24870466321243523</v>
      </c>
      <c r="EJ140" s="91">
        <f t="shared" si="445"/>
        <v>0.25128205128205128</v>
      </c>
      <c r="EK140" s="91">
        <f t="shared" si="445"/>
        <v>0.25252525252525254</v>
      </c>
      <c r="EL140" s="91">
        <f t="shared" si="445"/>
        <v>0.26</v>
      </c>
      <c r="EM140" s="91">
        <f t="shared" si="445"/>
        <v>0.26</v>
      </c>
      <c r="EN140" s="91">
        <f t="shared" si="445"/>
        <v>0.26</v>
      </c>
      <c r="EO140" s="91">
        <f t="shared" si="445"/>
        <v>0.26</v>
      </c>
      <c r="EP140" s="91">
        <f t="shared" si="445"/>
        <v>0.26</v>
      </c>
      <c r="ES140" s="355">
        <f t="shared" si="436"/>
        <v>135</v>
      </c>
      <c r="ET140"/>
      <c r="EU140"/>
      <c r="EV140"/>
      <c r="EW140"/>
      <c r="EX140"/>
      <c r="EY140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</row>
    <row r="141" spans="1:257" s="4" customFormat="1" hidden="1" outlineLevel="2">
      <c r="A141" s="15"/>
      <c r="B141" s="31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157"/>
      <c r="EF141" s="157"/>
      <c r="EG141" s="157"/>
      <c r="EH141" s="157"/>
      <c r="EI141" s="157"/>
      <c r="EJ141" s="157"/>
      <c r="EK141" s="157"/>
      <c r="EL141" s="157"/>
      <c r="EM141" s="157"/>
      <c r="EN141" s="157"/>
      <c r="EO141" s="157"/>
      <c r="EP141" s="157"/>
      <c r="EQ141" s="18"/>
      <c r="ER141" s="18"/>
      <c r="ES141" s="355">
        <f t="shared" si="436"/>
        <v>136</v>
      </c>
      <c r="ET141"/>
      <c r="EU141"/>
      <c r="EV141"/>
      <c r="EW141"/>
      <c r="EX141"/>
      <c r="EY14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</row>
    <row r="142" spans="1:257" s="4" customFormat="1" outlineLevel="1" collapsed="1">
      <c r="A142" s="15" t="s">
        <v>0</v>
      </c>
      <c r="B142" s="158" t="s">
        <v>177</v>
      </c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5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44"/>
      <c r="DC142" s="44"/>
      <c r="DD142" s="44"/>
      <c r="DE142" s="10"/>
      <c r="DF142" s="10"/>
      <c r="DG142" s="10"/>
      <c r="DH142" s="10"/>
      <c r="DI142" s="10"/>
      <c r="DJ142" s="10"/>
      <c r="DK142" s="10"/>
      <c r="DL142" s="44"/>
      <c r="DM142" s="44"/>
      <c r="DN142" s="44"/>
      <c r="DO142" s="44"/>
      <c r="DP142" s="44"/>
      <c r="DQ142" s="44"/>
      <c r="DR142" s="44"/>
      <c r="DS142" s="44"/>
      <c r="DT142" s="44"/>
      <c r="DU142" s="44"/>
      <c r="DV142" s="44"/>
      <c r="DW142" s="44"/>
      <c r="DX142" s="44"/>
      <c r="DY142" s="44"/>
      <c r="DZ142" s="44"/>
      <c r="EA142" s="44"/>
      <c r="EB142" s="44"/>
      <c r="EC142" s="44"/>
      <c r="ED142" s="44"/>
      <c r="EE142" s="44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S142" s="355">
        <f t="shared" si="436"/>
        <v>137</v>
      </c>
      <c r="ET142"/>
      <c r="EU142"/>
      <c r="EV142"/>
      <c r="EW142"/>
      <c r="EX142"/>
      <c r="EY142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</row>
    <row r="143" spans="1:257" s="4" customFormat="1" hidden="1" outlineLevel="2">
      <c r="A143" s="15"/>
      <c r="B143" s="65" t="s">
        <v>173</v>
      </c>
      <c r="C143" s="10"/>
      <c r="D143" s="10"/>
      <c r="E143" s="214">
        <v>9</v>
      </c>
      <c r="F143" s="214">
        <v>11</v>
      </c>
      <c r="G143" s="214">
        <v>11</v>
      </c>
      <c r="H143" s="214">
        <v>9</v>
      </c>
      <c r="I143" s="214">
        <v>9</v>
      </c>
      <c r="J143" s="214">
        <v>10</v>
      </c>
      <c r="K143" s="214">
        <v>10</v>
      </c>
      <c r="L143" s="214">
        <v>10</v>
      </c>
      <c r="M143" s="214">
        <v>10</v>
      </c>
      <c r="N143" s="214">
        <v>12</v>
      </c>
      <c r="O143" s="214">
        <v>12</v>
      </c>
      <c r="P143" s="214">
        <v>11</v>
      </c>
      <c r="Q143" s="214">
        <v>11</v>
      </c>
      <c r="R143" s="214">
        <v>9</v>
      </c>
      <c r="S143" s="214">
        <v>9</v>
      </c>
      <c r="T143" s="34">
        <v>9</v>
      </c>
      <c r="U143" s="34">
        <f>CW143</f>
        <v>9</v>
      </c>
      <c r="V143" s="34">
        <f>DA143</f>
        <v>9</v>
      </c>
      <c r="W143" s="34">
        <f>DE143</f>
        <v>9</v>
      </c>
      <c r="X143" s="34">
        <f>DI143</f>
        <v>9</v>
      </c>
      <c r="Y143" s="34">
        <f>DM143</f>
        <v>9</v>
      </c>
      <c r="Z143" s="34">
        <f t="shared" ref="Z143:AF143" si="448">INDEX($AH143:$EQ143,1,MATCH(Z$4,$AH$4:$EQ$4,0))</f>
        <v>9</v>
      </c>
      <c r="AA143" s="34">
        <f t="shared" si="448"/>
        <v>9</v>
      </c>
      <c r="AB143" s="34">
        <f t="shared" si="448"/>
        <v>9</v>
      </c>
      <c r="AC143" s="34">
        <f t="shared" si="448"/>
        <v>8</v>
      </c>
      <c r="AD143" s="34">
        <f t="shared" si="448"/>
        <v>8</v>
      </c>
      <c r="AE143" s="34">
        <f t="shared" si="448"/>
        <v>8</v>
      </c>
      <c r="AF143" s="34">
        <f t="shared" si="448"/>
        <v>8</v>
      </c>
      <c r="AG143" s="5"/>
      <c r="AH143" s="208" t="s">
        <v>167</v>
      </c>
      <c r="AI143" s="208" t="s">
        <v>167</v>
      </c>
      <c r="AJ143" s="208" t="s">
        <v>167</v>
      </c>
      <c r="AK143" s="209">
        <f>E143</f>
        <v>9</v>
      </c>
      <c r="AL143" s="208" t="s">
        <v>167</v>
      </c>
      <c r="AM143" s="208" t="s">
        <v>167</v>
      </c>
      <c r="AN143" s="208" t="s">
        <v>167</v>
      </c>
      <c r="AO143" s="209">
        <f>F143</f>
        <v>11</v>
      </c>
      <c r="AP143" s="209">
        <f>AO143</f>
        <v>11</v>
      </c>
      <c r="AQ143" s="209">
        <f>AP143</f>
        <v>11</v>
      </c>
      <c r="AR143" s="209">
        <f>AQ143</f>
        <v>11</v>
      </c>
      <c r="AS143" s="209">
        <f>G143</f>
        <v>11</v>
      </c>
      <c r="AT143" s="208" t="s">
        <v>167</v>
      </c>
      <c r="AU143" s="208" t="s">
        <v>167</v>
      </c>
      <c r="AV143" s="208" t="s">
        <v>167</v>
      </c>
      <c r="AW143" s="209">
        <f>H143</f>
        <v>9</v>
      </c>
      <c r="AX143" s="209">
        <f>AW143</f>
        <v>9</v>
      </c>
      <c r="AY143" s="209">
        <f>AX143</f>
        <v>9</v>
      </c>
      <c r="AZ143" s="209">
        <f>AY143</f>
        <v>9</v>
      </c>
      <c r="BA143" s="209">
        <f>I143</f>
        <v>9</v>
      </c>
      <c r="BB143" s="208" t="s">
        <v>167</v>
      </c>
      <c r="BC143" s="208" t="s">
        <v>167</v>
      </c>
      <c r="BD143" s="208" t="s">
        <v>167</v>
      </c>
      <c r="BE143" s="209">
        <f>J143</f>
        <v>10</v>
      </c>
      <c r="BF143" s="209">
        <f>BE143</f>
        <v>10</v>
      </c>
      <c r="BG143" s="209">
        <f>BF143</f>
        <v>10</v>
      </c>
      <c r="BH143" s="209">
        <f>BG143</f>
        <v>10</v>
      </c>
      <c r="BI143" s="34">
        <f>K143</f>
        <v>10</v>
      </c>
      <c r="BJ143" s="34">
        <f>BI143</f>
        <v>10</v>
      </c>
      <c r="BK143" s="34">
        <f>BJ143</f>
        <v>10</v>
      </c>
      <c r="BL143" s="34">
        <f>BK143</f>
        <v>10</v>
      </c>
      <c r="BM143" s="34">
        <f>L143</f>
        <v>10</v>
      </c>
      <c r="BN143" s="34">
        <f>BM143</f>
        <v>10</v>
      </c>
      <c r="BO143" s="34">
        <f>BN143</f>
        <v>10</v>
      </c>
      <c r="BP143" s="34">
        <f>BO143</f>
        <v>10</v>
      </c>
      <c r="BQ143" s="34">
        <f>M143</f>
        <v>10</v>
      </c>
      <c r="BR143" s="239">
        <v>10</v>
      </c>
      <c r="BS143" s="238">
        <f>AVERAGE(BS144:BT144)</f>
        <v>10.709948949649323</v>
      </c>
      <c r="BT143" s="238">
        <f>AVERAGE(BT144:BU144)</f>
        <v>11.736372859561264</v>
      </c>
      <c r="BU143" s="34">
        <f>N143</f>
        <v>12</v>
      </c>
      <c r="BV143" s="34">
        <f>BU143</f>
        <v>12</v>
      </c>
      <c r="BW143" s="34">
        <f>BV143</f>
        <v>12</v>
      </c>
      <c r="BX143" s="10">
        <v>12</v>
      </c>
      <c r="BY143" s="34">
        <f>O143</f>
        <v>12</v>
      </c>
      <c r="BZ143" s="34">
        <f>BY143</f>
        <v>12</v>
      </c>
      <c r="CA143" s="237">
        <f>AVERAGE(CA144:CB144)</f>
        <v>11.996336996336996</v>
      </c>
      <c r="CB143" s="237">
        <f>AVERAGE(CB144:CC144)</f>
        <v>12.092667799189538</v>
      </c>
      <c r="CC143" s="34">
        <f>P143</f>
        <v>11</v>
      </c>
      <c r="CD143" s="34">
        <f>CC143</f>
        <v>11</v>
      </c>
      <c r="CE143" s="34">
        <f>CD143</f>
        <v>11</v>
      </c>
      <c r="CF143" s="34">
        <f>CE143</f>
        <v>11</v>
      </c>
      <c r="CG143" s="34">
        <f>Q143</f>
        <v>11</v>
      </c>
      <c r="CH143" s="237">
        <f>AVERAGE(CH144:CI144)</f>
        <v>10.938233568075118</v>
      </c>
      <c r="CI143" s="237">
        <f>AVERAGE(CI144:CJ144)</f>
        <v>10.948935622869637</v>
      </c>
      <c r="CJ143" s="237">
        <f>AVERAGE(CJ144:CK144)</f>
        <v>10.772457725872025</v>
      </c>
      <c r="CK143" s="34">
        <f>R143</f>
        <v>9</v>
      </c>
      <c r="CL143" s="34">
        <f>CK143</f>
        <v>9</v>
      </c>
      <c r="CM143" s="34">
        <f>CL143</f>
        <v>9</v>
      </c>
      <c r="CN143" s="34">
        <f>CM143</f>
        <v>9</v>
      </c>
      <c r="CO143" s="34">
        <f>S143</f>
        <v>9</v>
      </c>
      <c r="CP143" s="34">
        <f>CO143</f>
        <v>9</v>
      </c>
      <c r="CQ143" s="34">
        <f>CP143</f>
        <v>9</v>
      </c>
      <c r="CR143" s="34">
        <f>CQ143</f>
        <v>9</v>
      </c>
      <c r="CS143" s="34">
        <f>T143</f>
        <v>9</v>
      </c>
      <c r="CT143" s="34">
        <v>9</v>
      </c>
      <c r="CU143" s="34">
        <v>9</v>
      </c>
      <c r="CV143" s="34">
        <v>9</v>
      </c>
      <c r="CW143" s="34">
        <v>9</v>
      </c>
      <c r="CX143" s="34">
        <v>9</v>
      </c>
      <c r="CY143" s="34">
        <v>9</v>
      </c>
      <c r="CZ143" s="34">
        <v>9</v>
      </c>
      <c r="DA143" s="34">
        <f>CZ143</f>
        <v>9</v>
      </c>
      <c r="DB143" s="34">
        <f>DA143</f>
        <v>9</v>
      </c>
      <c r="DC143" s="34">
        <v>9</v>
      </c>
      <c r="DD143" s="34">
        <v>9</v>
      </c>
      <c r="DE143" s="34">
        <v>9</v>
      </c>
      <c r="DF143" s="34">
        <v>9</v>
      </c>
      <c r="DG143" s="34">
        <v>9</v>
      </c>
      <c r="DH143" s="34">
        <v>9</v>
      </c>
      <c r="DI143" s="34">
        <v>9</v>
      </c>
      <c r="DJ143" s="34">
        <v>9</v>
      </c>
      <c r="DK143" s="214">
        <v>9</v>
      </c>
      <c r="DL143" s="214">
        <v>9</v>
      </c>
      <c r="DM143" s="214">
        <v>9</v>
      </c>
      <c r="DN143" s="214">
        <v>9</v>
      </c>
      <c r="DO143" s="214">
        <v>9</v>
      </c>
      <c r="DP143" s="214">
        <v>9</v>
      </c>
      <c r="DQ143" s="214">
        <v>9</v>
      </c>
      <c r="DR143" s="214">
        <v>9</v>
      </c>
      <c r="DS143" s="214">
        <v>9</v>
      </c>
      <c r="DT143" s="236">
        <f t="shared" ref="DT143:DZ143" si="449">DS143</f>
        <v>9</v>
      </c>
      <c r="DU143" s="236">
        <f t="shared" si="449"/>
        <v>9</v>
      </c>
      <c r="DV143" s="236">
        <f t="shared" si="449"/>
        <v>9</v>
      </c>
      <c r="DW143" s="236">
        <f t="shared" si="449"/>
        <v>9</v>
      </c>
      <c r="DX143" s="236">
        <f t="shared" si="449"/>
        <v>9</v>
      </c>
      <c r="DY143" s="236">
        <f t="shared" si="449"/>
        <v>9</v>
      </c>
      <c r="DZ143" s="236">
        <f t="shared" si="449"/>
        <v>9</v>
      </c>
      <c r="EA143" s="236">
        <v>8</v>
      </c>
      <c r="EB143" s="236">
        <v>8</v>
      </c>
      <c r="EC143" s="236">
        <v>8</v>
      </c>
      <c r="ED143" s="236">
        <v>8</v>
      </c>
      <c r="EE143" s="236">
        <f t="shared" ref="EE143:EP143" si="450">ED143</f>
        <v>8</v>
      </c>
      <c r="EF143" s="236">
        <f t="shared" si="450"/>
        <v>8</v>
      </c>
      <c r="EG143" s="236">
        <f t="shared" si="450"/>
        <v>8</v>
      </c>
      <c r="EH143" s="236">
        <f t="shared" si="450"/>
        <v>8</v>
      </c>
      <c r="EI143" s="236">
        <f t="shared" si="450"/>
        <v>8</v>
      </c>
      <c r="EJ143" s="236">
        <f t="shared" si="450"/>
        <v>8</v>
      </c>
      <c r="EK143" s="236">
        <f t="shared" si="450"/>
        <v>8</v>
      </c>
      <c r="EL143" s="236">
        <f t="shared" si="450"/>
        <v>8</v>
      </c>
      <c r="EM143" s="236">
        <f t="shared" si="450"/>
        <v>8</v>
      </c>
      <c r="EN143" s="236">
        <f t="shared" si="450"/>
        <v>8</v>
      </c>
      <c r="EO143" s="236">
        <f t="shared" si="450"/>
        <v>8</v>
      </c>
      <c r="EP143" s="236">
        <f t="shared" si="450"/>
        <v>8</v>
      </c>
      <c r="ES143" s="355">
        <f t="shared" si="436"/>
        <v>138</v>
      </c>
      <c r="ET143"/>
      <c r="EU143"/>
      <c r="EV143"/>
      <c r="EW143"/>
      <c r="EX143"/>
      <c r="EY143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</row>
    <row r="144" spans="1:257" s="4" customFormat="1" hidden="1" outlineLevel="2">
      <c r="A144" s="15"/>
      <c r="B144" s="65" t="s">
        <v>171</v>
      </c>
      <c r="C144" s="34"/>
      <c r="D144" s="34"/>
      <c r="E144" s="34">
        <f>E143</f>
        <v>9</v>
      </c>
      <c r="F144" s="34">
        <f t="shared" ref="F144:M144" si="451">AVERAGE(E143:F143)</f>
        <v>10</v>
      </c>
      <c r="G144" s="34">
        <f t="shared" si="451"/>
        <v>11</v>
      </c>
      <c r="H144" s="34">
        <f t="shared" si="451"/>
        <v>10</v>
      </c>
      <c r="I144" s="34">
        <f t="shared" si="451"/>
        <v>9</v>
      </c>
      <c r="J144" s="34">
        <f t="shared" si="451"/>
        <v>9.5</v>
      </c>
      <c r="K144" s="34">
        <f t="shared" si="451"/>
        <v>10</v>
      </c>
      <c r="L144" s="34">
        <f t="shared" si="451"/>
        <v>10</v>
      </c>
      <c r="M144" s="34">
        <f t="shared" si="451"/>
        <v>10</v>
      </c>
      <c r="N144" s="34">
        <f t="shared" ref="N144:T144" si="452">N145/N147</f>
        <v>10.846674368707706</v>
      </c>
      <c r="O144" s="34">
        <f t="shared" si="452"/>
        <v>11.995702390545258</v>
      </c>
      <c r="P144" s="34">
        <f t="shared" si="452"/>
        <v>11.885245901639346</v>
      </c>
      <c r="Q144" s="34">
        <f t="shared" si="452"/>
        <v>10.969242698371673</v>
      </c>
      <c r="R144" s="34">
        <f t="shared" si="452"/>
        <v>10.891403613261863</v>
      </c>
      <c r="S144" s="34">
        <f t="shared" si="452"/>
        <v>9.0242360379346689</v>
      </c>
      <c r="T144" s="34">
        <f t="shared" si="452"/>
        <v>8.8961748633879782</v>
      </c>
      <c r="U144" s="34">
        <f>AVERAGE(CT144:CW144)</f>
        <v>8.9978922006656212</v>
      </c>
      <c r="V144" s="34">
        <f>AVERAGE(CX144:DA144)</f>
        <v>8.9919277540870226</v>
      </c>
      <c r="W144" s="34">
        <f>AVERAGE(DB144:DE144)</f>
        <v>8.9935643513787102</v>
      </c>
      <c r="X144" s="34">
        <f>AVERAGE(DF144:DI144)</f>
        <v>9.0806226675791901</v>
      </c>
      <c r="Y144" s="34">
        <f>AVERAGE(DJ144:DM144)</f>
        <v>8.9887640449438209</v>
      </c>
      <c r="Z144" s="34">
        <f>AVERAGE(DN144:DQ144)</f>
        <v>8.9887640449438209</v>
      </c>
      <c r="AA144" s="34">
        <f t="shared" ref="AA144:AF144" si="453">AVERAGEIF($AH$5:$ER$5,AA$5,$AH144:$ER144)</f>
        <v>8.9881831661177749</v>
      </c>
      <c r="AB144" s="34">
        <f t="shared" si="453"/>
        <v>8.99431293692931</v>
      </c>
      <c r="AC144" s="34">
        <f t="shared" si="453"/>
        <v>8.3814560772704834</v>
      </c>
      <c r="AD144" s="34">
        <f t="shared" si="453"/>
        <v>7.9841269841269842</v>
      </c>
      <c r="AE144" s="34">
        <f t="shared" si="453"/>
        <v>8</v>
      </c>
      <c r="AF144" s="34">
        <f t="shared" si="453"/>
        <v>8</v>
      </c>
      <c r="AG144" s="210"/>
      <c r="AH144" s="34"/>
      <c r="AI144" s="202" t="str">
        <f t="shared" ref="AI144:BR144" si="454">IF(ISERROR(AVERAGE(AH143:AI143)),"NM",AVERAGE(AH143:AI143))</f>
        <v>NM</v>
      </c>
      <c r="AJ144" s="202" t="str">
        <f t="shared" si="454"/>
        <v>NM</v>
      </c>
      <c r="AK144" s="202">
        <f t="shared" si="454"/>
        <v>9</v>
      </c>
      <c r="AL144" s="202">
        <f t="shared" si="454"/>
        <v>9</v>
      </c>
      <c r="AM144" s="202" t="str">
        <f t="shared" si="454"/>
        <v>NM</v>
      </c>
      <c r="AN144" s="202" t="str">
        <f t="shared" si="454"/>
        <v>NM</v>
      </c>
      <c r="AO144" s="202">
        <f t="shared" si="454"/>
        <v>11</v>
      </c>
      <c r="AP144" s="202">
        <f t="shared" si="454"/>
        <v>11</v>
      </c>
      <c r="AQ144" s="202">
        <f t="shared" si="454"/>
        <v>11</v>
      </c>
      <c r="AR144" s="202">
        <f t="shared" si="454"/>
        <v>11</v>
      </c>
      <c r="AS144" s="202">
        <f t="shared" si="454"/>
        <v>11</v>
      </c>
      <c r="AT144" s="202">
        <f t="shared" si="454"/>
        <v>11</v>
      </c>
      <c r="AU144" s="202" t="str">
        <f t="shared" si="454"/>
        <v>NM</v>
      </c>
      <c r="AV144" s="202" t="str">
        <f t="shared" si="454"/>
        <v>NM</v>
      </c>
      <c r="AW144" s="202">
        <f t="shared" si="454"/>
        <v>9</v>
      </c>
      <c r="AX144" s="202">
        <f t="shared" si="454"/>
        <v>9</v>
      </c>
      <c r="AY144" s="202">
        <f t="shared" si="454"/>
        <v>9</v>
      </c>
      <c r="AZ144" s="202">
        <f t="shared" si="454"/>
        <v>9</v>
      </c>
      <c r="BA144" s="202">
        <f t="shared" si="454"/>
        <v>9</v>
      </c>
      <c r="BB144" s="202">
        <f t="shared" si="454"/>
        <v>9</v>
      </c>
      <c r="BC144" s="202" t="str">
        <f t="shared" si="454"/>
        <v>NM</v>
      </c>
      <c r="BD144" s="202" t="str">
        <f t="shared" si="454"/>
        <v>NM</v>
      </c>
      <c r="BE144" s="202">
        <f t="shared" si="454"/>
        <v>10</v>
      </c>
      <c r="BF144" s="202">
        <f t="shared" si="454"/>
        <v>10</v>
      </c>
      <c r="BG144" s="202">
        <f t="shared" si="454"/>
        <v>10</v>
      </c>
      <c r="BH144" s="202">
        <f t="shared" si="454"/>
        <v>10</v>
      </c>
      <c r="BI144" s="202">
        <f t="shared" si="454"/>
        <v>10</v>
      </c>
      <c r="BJ144" s="202">
        <f t="shared" si="454"/>
        <v>10</v>
      </c>
      <c r="BK144" s="202">
        <f t="shared" si="454"/>
        <v>10</v>
      </c>
      <c r="BL144" s="202">
        <f t="shared" si="454"/>
        <v>10</v>
      </c>
      <c r="BM144" s="202">
        <f t="shared" si="454"/>
        <v>10</v>
      </c>
      <c r="BN144" s="202">
        <f t="shared" si="454"/>
        <v>10</v>
      </c>
      <c r="BO144" s="202">
        <f t="shared" si="454"/>
        <v>10</v>
      </c>
      <c r="BP144" s="202">
        <f t="shared" si="454"/>
        <v>10</v>
      </c>
      <c r="BQ144" s="202">
        <f t="shared" si="454"/>
        <v>10</v>
      </c>
      <c r="BR144" s="202">
        <f t="shared" si="454"/>
        <v>10</v>
      </c>
      <c r="BS144" s="34">
        <f t="shared" ref="BS144:CX144" si="455">BS145/BS147</f>
        <v>10.037453183520599</v>
      </c>
      <c r="BT144" s="34">
        <f t="shared" si="455"/>
        <v>11.382444715778048</v>
      </c>
      <c r="BU144" s="34">
        <f t="shared" si="455"/>
        <v>12.09030100334448</v>
      </c>
      <c r="BV144" s="34">
        <f t="shared" si="455"/>
        <v>11.956521739130434</v>
      </c>
      <c r="BW144" s="34">
        <f t="shared" si="455"/>
        <v>12</v>
      </c>
      <c r="BX144" s="34">
        <f t="shared" si="455"/>
        <v>12.047212047212046</v>
      </c>
      <c r="BY144" s="34">
        <f t="shared" si="455"/>
        <v>11.979166666666668</v>
      </c>
      <c r="BZ144" s="34">
        <f t="shared" si="455"/>
        <v>11.904761904761905</v>
      </c>
      <c r="CA144" s="34">
        <f t="shared" si="455"/>
        <v>11.904761904761905</v>
      </c>
      <c r="CB144" s="34">
        <f t="shared" si="455"/>
        <v>12.087912087912088</v>
      </c>
      <c r="CC144" s="34">
        <f t="shared" si="455"/>
        <v>12.097423510466987</v>
      </c>
      <c r="CD144" s="34">
        <f t="shared" si="455"/>
        <v>10.927795031055901</v>
      </c>
      <c r="CE144" s="34">
        <f t="shared" si="455"/>
        <v>11.111111111111111</v>
      </c>
      <c r="CF144" s="34">
        <f t="shared" si="455"/>
        <v>11.111111111111111</v>
      </c>
      <c r="CG144" s="34">
        <f t="shared" si="455"/>
        <v>10.936454849498327</v>
      </c>
      <c r="CH144" s="34">
        <f t="shared" si="455"/>
        <v>10.9375</v>
      </c>
      <c r="CI144" s="34">
        <f t="shared" si="455"/>
        <v>10.938967136150236</v>
      </c>
      <c r="CJ144" s="34">
        <f t="shared" si="455"/>
        <v>10.95890410958904</v>
      </c>
      <c r="CK144" s="34">
        <f t="shared" si="455"/>
        <v>10.586011342155009</v>
      </c>
      <c r="CL144" s="34">
        <f t="shared" si="455"/>
        <v>9.0018371096142076</v>
      </c>
      <c r="CM144" s="34">
        <f t="shared" si="455"/>
        <v>9.0625</v>
      </c>
      <c r="CN144" s="34">
        <f t="shared" si="455"/>
        <v>8.9552238805970141</v>
      </c>
      <c r="CO144" s="34">
        <f t="shared" si="455"/>
        <v>8.9351510685335302</v>
      </c>
      <c r="CP144" s="34">
        <f t="shared" si="455"/>
        <v>8.928571428571427</v>
      </c>
      <c r="CQ144" s="34">
        <f t="shared" si="455"/>
        <v>8.6897717666948431</v>
      </c>
      <c r="CR144" s="34">
        <f t="shared" si="455"/>
        <v>9.0381528583775772</v>
      </c>
      <c r="CS144" s="34">
        <f t="shared" si="455"/>
        <v>8.9887640449438209</v>
      </c>
      <c r="CT144" s="34">
        <f t="shared" si="455"/>
        <v>8.9765510503175374</v>
      </c>
      <c r="CU144" s="34">
        <f t="shared" si="455"/>
        <v>9.0249433106575978</v>
      </c>
      <c r="CV144" s="34">
        <f t="shared" si="455"/>
        <v>9.0157154673283699</v>
      </c>
      <c r="CW144" s="34">
        <f t="shared" si="455"/>
        <v>8.9743589743589745</v>
      </c>
      <c r="CX144" s="34">
        <f t="shared" si="455"/>
        <v>8.9514066496163682</v>
      </c>
      <c r="CY144" s="34">
        <f t="shared" ref="CY144:EB144" si="456">CY145/CY147</f>
        <v>9.05349794238683</v>
      </c>
      <c r="CZ144" s="34">
        <f t="shared" si="456"/>
        <v>8.9884474499859106</v>
      </c>
      <c r="DA144" s="34">
        <f t="shared" si="456"/>
        <v>8.9743589743589745</v>
      </c>
      <c r="DB144" s="34">
        <f t="shared" si="456"/>
        <v>8.9865278628291492</v>
      </c>
      <c r="DC144" s="34">
        <f t="shared" si="456"/>
        <v>9.0350877192982448</v>
      </c>
      <c r="DD144" s="34">
        <f t="shared" si="456"/>
        <v>8.9884474499859106</v>
      </c>
      <c r="DE144" s="34">
        <f t="shared" si="456"/>
        <v>8.9641943734015346</v>
      </c>
      <c r="DF144" s="34">
        <f t="shared" si="456"/>
        <v>9.0191511387163565</v>
      </c>
      <c r="DG144" s="34">
        <f t="shared" si="456"/>
        <v>9.3109593109593121</v>
      </c>
      <c r="DH144" s="34">
        <f t="shared" si="456"/>
        <v>8.9991089991089996</v>
      </c>
      <c r="DI144" s="34">
        <f t="shared" si="456"/>
        <v>8.9932712215320905</v>
      </c>
      <c r="DJ144" s="34">
        <f t="shared" si="456"/>
        <v>8.9887640449438209</v>
      </c>
      <c r="DK144" s="34">
        <f t="shared" si="456"/>
        <v>8.9887640449438209</v>
      </c>
      <c r="DL144" s="34">
        <f t="shared" si="456"/>
        <v>8.9887640449438209</v>
      </c>
      <c r="DM144" s="34">
        <f t="shared" si="456"/>
        <v>8.9887640449438209</v>
      </c>
      <c r="DN144" s="34">
        <f t="shared" si="456"/>
        <v>8.9887640449438209</v>
      </c>
      <c r="DO144" s="34">
        <f t="shared" si="456"/>
        <v>8.9887640449438209</v>
      </c>
      <c r="DP144" s="34">
        <f t="shared" si="456"/>
        <v>8.9887640449438209</v>
      </c>
      <c r="DQ144" s="34">
        <f t="shared" si="456"/>
        <v>8.9887640449438209</v>
      </c>
      <c r="DR144" s="34">
        <f t="shared" si="456"/>
        <v>8.9729370008873115</v>
      </c>
      <c r="DS144" s="34">
        <f t="shared" si="456"/>
        <v>9.0022675736961464</v>
      </c>
      <c r="DT144" s="34">
        <f t="shared" si="456"/>
        <v>8.9887640449438209</v>
      </c>
      <c r="DU144" s="34">
        <f t="shared" si="456"/>
        <v>8.9887640449438209</v>
      </c>
      <c r="DV144" s="34">
        <f t="shared" si="456"/>
        <v>8.9887640449438209</v>
      </c>
      <c r="DW144" s="34">
        <f t="shared" si="456"/>
        <v>9.0397697540554685</v>
      </c>
      <c r="DX144" s="34">
        <f t="shared" si="456"/>
        <v>8.9743589743589745</v>
      </c>
      <c r="DY144" s="34">
        <f t="shared" si="456"/>
        <v>8.9743589743589745</v>
      </c>
      <c r="DZ144" s="34">
        <f t="shared" si="456"/>
        <v>8.9743589743589745</v>
      </c>
      <c r="EA144" s="34">
        <f t="shared" si="456"/>
        <v>8.5858585858585847</v>
      </c>
      <c r="EB144" s="34">
        <f t="shared" si="456"/>
        <v>8</v>
      </c>
      <c r="EC144" s="34">
        <f t="shared" ref="EC144:ED144" si="457">EC145/EC147</f>
        <v>7.9656067488643743</v>
      </c>
      <c r="ED144" s="34">
        <f t="shared" si="457"/>
        <v>7.9365079365079367</v>
      </c>
      <c r="EE144" s="34">
        <f t="shared" ref="EE144:EP144" si="458">AVERAGE(ED143:EE143)</f>
        <v>8</v>
      </c>
      <c r="EF144" s="34">
        <f t="shared" si="458"/>
        <v>8</v>
      </c>
      <c r="EG144" s="34">
        <f t="shared" si="458"/>
        <v>8</v>
      </c>
      <c r="EH144" s="34">
        <f t="shared" si="458"/>
        <v>8</v>
      </c>
      <c r="EI144" s="34">
        <f t="shared" si="458"/>
        <v>8</v>
      </c>
      <c r="EJ144" s="34">
        <f t="shared" si="458"/>
        <v>8</v>
      </c>
      <c r="EK144" s="34">
        <f t="shared" si="458"/>
        <v>8</v>
      </c>
      <c r="EL144" s="34">
        <f t="shared" si="458"/>
        <v>8</v>
      </c>
      <c r="EM144" s="34">
        <f t="shared" si="458"/>
        <v>8</v>
      </c>
      <c r="EN144" s="34">
        <f t="shared" si="458"/>
        <v>8</v>
      </c>
      <c r="EO144" s="34">
        <f t="shared" si="458"/>
        <v>8</v>
      </c>
      <c r="EP144" s="34">
        <f t="shared" si="458"/>
        <v>8</v>
      </c>
      <c r="ES144" s="355">
        <f t="shared" si="436"/>
        <v>139</v>
      </c>
      <c r="ET144"/>
      <c r="EU144"/>
      <c r="EV144"/>
      <c r="EW144"/>
      <c r="EX144"/>
      <c r="EY144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</row>
    <row r="145" spans="1:257" s="4" customFormat="1" hidden="1" outlineLevel="2">
      <c r="A145" s="15"/>
      <c r="B145" s="65" t="s">
        <v>170</v>
      </c>
      <c r="C145" s="34"/>
      <c r="D145" s="34"/>
      <c r="E145" s="34">
        <f t="shared" ref="E145:M145" si="459">E144*E147</f>
        <v>6.3</v>
      </c>
      <c r="F145" s="34">
        <f t="shared" si="459"/>
        <v>7.9</v>
      </c>
      <c r="G145" s="34">
        <f t="shared" si="459"/>
        <v>7.2600000000000007</v>
      </c>
      <c r="H145" s="34">
        <f t="shared" si="459"/>
        <v>7</v>
      </c>
      <c r="I145" s="34">
        <f t="shared" si="459"/>
        <v>5.67</v>
      </c>
      <c r="J145" s="34">
        <f t="shared" si="459"/>
        <v>9.4049999999999994</v>
      </c>
      <c r="K145" s="34">
        <f t="shared" si="459"/>
        <v>9.5</v>
      </c>
      <c r="L145" s="34">
        <f t="shared" si="459"/>
        <v>9.3999999999999986</v>
      </c>
      <c r="M145" s="34">
        <f t="shared" si="459"/>
        <v>9.8000000000000007</v>
      </c>
      <c r="N145" s="34">
        <f t="shared" ref="N145:AF145" si="460">N146/N3</f>
        <v>9.0027397260273965</v>
      </c>
      <c r="O145" s="34">
        <f t="shared" si="460"/>
        <v>6.117808219178082</v>
      </c>
      <c r="P145" s="34">
        <f t="shared" si="460"/>
        <v>5.7049180327868854</v>
      </c>
      <c r="Q145" s="34">
        <f t="shared" si="460"/>
        <v>5.8136986301369866</v>
      </c>
      <c r="R145" s="34">
        <f t="shared" si="460"/>
        <v>7.515068493150685</v>
      </c>
      <c r="S145" s="34">
        <f t="shared" si="460"/>
        <v>5.8657534246575347</v>
      </c>
      <c r="T145" s="34">
        <f t="shared" si="460"/>
        <v>6.6721311475409832</v>
      </c>
      <c r="U145" s="34">
        <f t="shared" si="460"/>
        <v>8.0493150684931507</v>
      </c>
      <c r="V145" s="34">
        <f t="shared" si="460"/>
        <v>7.2383561643835614</v>
      </c>
      <c r="W145" s="34">
        <f t="shared" si="460"/>
        <v>6.9698630136986299</v>
      </c>
      <c r="X145" s="34">
        <f t="shared" si="460"/>
        <v>7.1721311475409832</v>
      </c>
      <c r="Y145" s="34">
        <f t="shared" si="460"/>
        <v>8</v>
      </c>
      <c r="Z145" s="34">
        <f t="shared" si="460"/>
        <v>8</v>
      </c>
      <c r="AA145" s="34">
        <f t="shared" si="460"/>
        <v>8.4027397260273968</v>
      </c>
      <c r="AB145" s="34">
        <f t="shared" si="460"/>
        <v>7.3989071038251364</v>
      </c>
      <c r="AC145" s="34">
        <f t="shared" si="460"/>
        <v>6.2356164383561641</v>
      </c>
      <c r="AD145" s="34">
        <f t="shared" si="460"/>
        <v>5</v>
      </c>
      <c r="AE145" s="34">
        <f t="shared" si="460"/>
        <v>5.7506849315068491</v>
      </c>
      <c r="AF145" s="34">
        <f t="shared" si="460"/>
        <v>7.0191780821917806</v>
      </c>
      <c r="AG145" s="210"/>
      <c r="AH145" s="34"/>
      <c r="AI145" s="202" t="str">
        <f t="shared" ref="AI145:BR145" si="461">IF(ISERROR(AI144*AI147),"NM",(AI144*AI147))</f>
        <v>NM</v>
      </c>
      <c r="AJ145" s="202" t="str">
        <f t="shared" si="461"/>
        <v>NM</v>
      </c>
      <c r="AK145" s="202" t="str">
        <f t="shared" si="461"/>
        <v>NM</v>
      </c>
      <c r="AL145" s="202" t="str">
        <f t="shared" si="461"/>
        <v>NM</v>
      </c>
      <c r="AM145" s="202" t="str">
        <f t="shared" si="461"/>
        <v>NM</v>
      </c>
      <c r="AN145" s="202" t="str">
        <f t="shared" si="461"/>
        <v>NM</v>
      </c>
      <c r="AO145" s="202" t="str">
        <f t="shared" si="461"/>
        <v>NM</v>
      </c>
      <c r="AP145" s="202" t="str">
        <f t="shared" si="461"/>
        <v>NM</v>
      </c>
      <c r="AQ145" s="202" t="str">
        <f t="shared" si="461"/>
        <v>NM</v>
      </c>
      <c r="AR145" s="202" t="str">
        <f t="shared" si="461"/>
        <v>NM</v>
      </c>
      <c r="AS145" s="202" t="str">
        <f t="shared" si="461"/>
        <v>NM</v>
      </c>
      <c r="AT145" s="202" t="str">
        <f t="shared" si="461"/>
        <v>NM</v>
      </c>
      <c r="AU145" s="202" t="str">
        <f t="shared" si="461"/>
        <v>NM</v>
      </c>
      <c r="AV145" s="202" t="str">
        <f t="shared" si="461"/>
        <v>NM</v>
      </c>
      <c r="AW145" s="202" t="str">
        <f t="shared" si="461"/>
        <v>NM</v>
      </c>
      <c r="AX145" s="202" t="str">
        <f t="shared" si="461"/>
        <v>NM</v>
      </c>
      <c r="AY145" s="202" t="str">
        <f t="shared" si="461"/>
        <v>NM</v>
      </c>
      <c r="AZ145" s="202">
        <f t="shared" si="461"/>
        <v>5.58</v>
      </c>
      <c r="BA145" s="202" t="str">
        <f t="shared" si="461"/>
        <v>NM</v>
      </c>
      <c r="BB145" s="202">
        <f t="shared" si="461"/>
        <v>9</v>
      </c>
      <c r="BC145" s="202" t="str">
        <f t="shared" si="461"/>
        <v>NM</v>
      </c>
      <c r="BD145" s="202" t="str">
        <f t="shared" si="461"/>
        <v>NM</v>
      </c>
      <c r="BE145" s="202" t="str">
        <f t="shared" si="461"/>
        <v>NM</v>
      </c>
      <c r="BF145" s="202">
        <f t="shared" si="461"/>
        <v>10</v>
      </c>
      <c r="BG145" s="202" t="str">
        <f t="shared" si="461"/>
        <v>NM</v>
      </c>
      <c r="BH145" s="202">
        <f t="shared" si="461"/>
        <v>8.2999999999999989</v>
      </c>
      <c r="BI145" s="202" t="str">
        <f t="shared" si="461"/>
        <v>NM</v>
      </c>
      <c r="BJ145" s="202">
        <f t="shared" si="461"/>
        <v>10</v>
      </c>
      <c r="BK145" s="202">
        <f t="shared" si="461"/>
        <v>9.2000000000000011</v>
      </c>
      <c r="BL145" s="202">
        <f t="shared" si="461"/>
        <v>9</v>
      </c>
      <c r="BM145" s="202">
        <f t="shared" si="461"/>
        <v>9.3999999999999986</v>
      </c>
      <c r="BN145" s="202">
        <f t="shared" si="461"/>
        <v>9.2000000000000011</v>
      </c>
      <c r="BO145" s="202">
        <f t="shared" si="461"/>
        <v>10</v>
      </c>
      <c r="BP145" s="202">
        <f t="shared" si="461"/>
        <v>10</v>
      </c>
      <c r="BQ145" s="202">
        <f t="shared" si="461"/>
        <v>10</v>
      </c>
      <c r="BR145" s="202">
        <f t="shared" si="461"/>
        <v>10</v>
      </c>
      <c r="BS145" s="34">
        <f t="shared" ref="BS145:CX145" si="462">BS146/BS3</f>
        <v>8.9333333333333336</v>
      </c>
      <c r="BT145" s="34">
        <f t="shared" si="462"/>
        <v>9.219780219780219</v>
      </c>
      <c r="BU145" s="34">
        <f t="shared" si="462"/>
        <v>7.8586956521739131</v>
      </c>
      <c r="BV145" s="34">
        <f t="shared" si="462"/>
        <v>6.2173913043478262</v>
      </c>
      <c r="BW145" s="34">
        <f t="shared" si="462"/>
        <v>6</v>
      </c>
      <c r="BX145" s="34">
        <f t="shared" si="462"/>
        <v>6.5054945054945055</v>
      </c>
      <c r="BY145" s="34">
        <f t="shared" si="462"/>
        <v>5.75</v>
      </c>
      <c r="BZ145" s="34">
        <f t="shared" si="462"/>
        <v>5</v>
      </c>
      <c r="CA145" s="34">
        <f t="shared" si="462"/>
        <v>5</v>
      </c>
      <c r="CB145" s="34">
        <f t="shared" si="462"/>
        <v>6.2857142857142856</v>
      </c>
      <c r="CC145" s="34">
        <f t="shared" si="462"/>
        <v>6.5326086956521738</v>
      </c>
      <c r="CD145" s="34">
        <f t="shared" si="462"/>
        <v>6.1195652173913047</v>
      </c>
      <c r="CE145" s="34">
        <f t="shared" si="462"/>
        <v>5</v>
      </c>
      <c r="CF145" s="34">
        <f t="shared" si="462"/>
        <v>5</v>
      </c>
      <c r="CG145" s="34">
        <f t="shared" si="462"/>
        <v>7.1086956521739131</v>
      </c>
      <c r="CH145" s="34">
        <f t="shared" si="462"/>
        <v>7</v>
      </c>
      <c r="CI145" s="34">
        <f t="shared" si="462"/>
        <v>7.7666666666666666</v>
      </c>
      <c r="CJ145" s="34">
        <f t="shared" si="462"/>
        <v>8</v>
      </c>
      <c r="CK145" s="34">
        <f t="shared" si="462"/>
        <v>7.3043478260869561</v>
      </c>
      <c r="CL145" s="34">
        <f t="shared" si="462"/>
        <v>6.3913043478260869</v>
      </c>
      <c r="CM145" s="34">
        <f t="shared" si="462"/>
        <v>5.8</v>
      </c>
      <c r="CN145" s="34">
        <f t="shared" si="462"/>
        <v>6</v>
      </c>
      <c r="CO145" s="34">
        <f t="shared" si="462"/>
        <v>5.2717391304347823</v>
      </c>
      <c r="CP145" s="34">
        <f t="shared" si="462"/>
        <v>5</v>
      </c>
      <c r="CQ145" s="34">
        <f t="shared" si="462"/>
        <v>5.6483516483516487</v>
      </c>
      <c r="CR145" s="34">
        <f t="shared" si="462"/>
        <v>8.0439560439560438</v>
      </c>
      <c r="CS145" s="34">
        <f t="shared" si="462"/>
        <v>8</v>
      </c>
      <c r="CT145" s="34">
        <f t="shared" si="462"/>
        <v>7.9891304347826084</v>
      </c>
      <c r="CU145" s="34">
        <f t="shared" si="462"/>
        <v>8.844444444444445</v>
      </c>
      <c r="CV145" s="34">
        <f t="shared" si="462"/>
        <v>8.384615384615385</v>
      </c>
      <c r="CW145" s="34">
        <f t="shared" si="462"/>
        <v>7</v>
      </c>
      <c r="CX145" s="34">
        <f t="shared" si="462"/>
        <v>7.6086956521739131</v>
      </c>
      <c r="CY145" s="34">
        <f t="shared" ref="CY145:EB145" si="463">CY146/CY3</f>
        <v>7.333333333333333</v>
      </c>
      <c r="CZ145" s="34">
        <f t="shared" si="463"/>
        <v>7.0109890109890109</v>
      </c>
      <c r="DA145" s="34">
        <f t="shared" si="463"/>
        <v>7</v>
      </c>
      <c r="DB145" s="34">
        <f t="shared" si="463"/>
        <v>6.3804347826086953</v>
      </c>
      <c r="DC145" s="34">
        <f t="shared" si="463"/>
        <v>6.8666666666666663</v>
      </c>
      <c r="DD145" s="34">
        <f t="shared" si="463"/>
        <v>7.0109890109890109</v>
      </c>
      <c r="DE145" s="34">
        <f t="shared" si="463"/>
        <v>7.6195652173913047</v>
      </c>
      <c r="DF145" s="34">
        <f t="shared" si="463"/>
        <v>7.5760869565217392</v>
      </c>
      <c r="DG145" s="34">
        <f t="shared" si="463"/>
        <v>6.8901098901098905</v>
      </c>
      <c r="DH145" s="34">
        <f t="shared" si="463"/>
        <v>6.6593406593406597</v>
      </c>
      <c r="DI145" s="34">
        <f t="shared" si="463"/>
        <v>7.5543478260869561</v>
      </c>
      <c r="DJ145" s="34">
        <f t="shared" si="463"/>
        <v>8</v>
      </c>
      <c r="DK145" s="34">
        <f t="shared" si="463"/>
        <v>8</v>
      </c>
      <c r="DL145" s="34">
        <f t="shared" si="463"/>
        <v>8</v>
      </c>
      <c r="DM145" s="34">
        <f t="shared" si="463"/>
        <v>8</v>
      </c>
      <c r="DN145" s="34">
        <f t="shared" si="463"/>
        <v>8</v>
      </c>
      <c r="DO145" s="34">
        <f t="shared" si="463"/>
        <v>8</v>
      </c>
      <c r="DP145" s="34">
        <f t="shared" si="463"/>
        <v>8</v>
      </c>
      <c r="DQ145" s="34">
        <f t="shared" si="463"/>
        <v>8</v>
      </c>
      <c r="DR145" s="34">
        <f t="shared" si="463"/>
        <v>8.7934782608695645</v>
      </c>
      <c r="DS145" s="34">
        <f t="shared" si="463"/>
        <v>8.8222222222222229</v>
      </c>
      <c r="DT145" s="34">
        <f t="shared" si="463"/>
        <v>8</v>
      </c>
      <c r="DU145" s="34">
        <f t="shared" si="463"/>
        <v>8</v>
      </c>
      <c r="DV145" s="34">
        <f t="shared" si="463"/>
        <v>8</v>
      </c>
      <c r="DW145" s="34">
        <f t="shared" si="463"/>
        <v>7.5934065934065931</v>
      </c>
      <c r="DX145" s="34">
        <f t="shared" si="463"/>
        <v>7</v>
      </c>
      <c r="DY145" s="34">
        <f t="shared" si="463"/>
        <v>7</v>
      </c>
      <c r="DZ145" s="34">
        <f t="shared" si="463"/>
        <v>7</v>
      </c>
      <c r="EA145" s="34">
        <f t="shared" si="463"/>
        <v>6.6111111111111107</v>
      </c>
      <c r="EB145" s="34">
        <f t="shared" si="463"/>
        <v>6</v>
      </c>
      <c r="EC145" s="34">
        <f t="shared" ref="EC145:ED145" si="464">EC146/EC3</f>
        <v>5.3369565217391308</v>
      </c>
      <c r="ED145" s="34">
        <f t="shared" si="464"/>
        <v>5</v>
      </c>
      <c r="EE145" s="34">
        <f t="shared" ref="EE145:EP145" si="465">EE68</f>
        <v>5</v>
      </c>
      <c r="EF145" s="34">
        <f t="shared" si="465"/>
        <v>5</v>
      </c>
      <c r="EG145" s="34">
        <f t="shared" si="465"/>
        <v>5</v>
      </c>
      <c r="EH145" s="34">
        <f t="shared" si="465"/>
        <v>5</v>
      </c>
      <c r="EI145" s="34">
        <f t="shared" si="465"/>
        <v>5.5</v>
      </c>
      <c r="EJ145" s="34">
        <f t="shared" si="465"/>
        <v>6</v>
      </c>
      <c r="EK145" s="34">
        <f t="shared" si="465"/>
        <v>6.5</v>
      </c>
      <c r="EL145" s="34">
        <f t="shared" si="465"/>
        <v>7</v>
      </c>
      <c r="EM145" s="34">
        <f t="shared" si="465"/>
        <v>7</v>
      </c>
      <c r="EN145" s="34">
        <f t="shared" si="465"/>
        <v>7</v>
      </c>
      <c r="EO145" s="34">
        <f t="shared" si="465"/>
        <v>7</v>
      </c>
      <c r="EP145" s="34">
        <f t="shared" si="465"/>
        <v>7</v>
      </c>
      <c r="ES145" s="355">
        <f t="shared" si="436"/>
        <v>140</v>
      </c>
      <c r="ET145"/>
      <c r="EU145"/>
      <c r="EV145"/>
      <c r="EW145"/>
      <c r="EX145"/>
      <c r="EY145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</row>
    <row r="146" spans="1:257" s="4" customFormat="1" hidden="1" outlineLevel="2">
      <c r="A146" s="15"/>
      <c r="B146" s="65" t="s">
        <v>169</v>
      </c>
      <c r="C146" s="10"/>
      <c r="D146" s="10"/>
      <c r="E146" s="34">
        <f t="shared" ref="E146:M146" si="466">E145*E3</f>
        <v>2299.5</v>
      </c>
      <c r="F146" s="34">
        <f t="shared" si="466"/>
        <v>2883.5</v>
      </c>
      <c r="G146" s="34">
        <f t="shared" si="466"/>
        <v>2649.9</v>
      </c>
      <c r="H146" s="34">
        <f t="shared" si="466"/>
        <v>2562</v>
      </c>
      <c r="I146" s="34">
        <f t="shared" si="466"/>
        <v>2069.5500000000002</v>
      </c>
      <c r="J146" s="34">
        <f t="shared" si="466"/>
        <v>3432.8249999999998</v>
      </c>
      <c r="K146" s="34">
        <f t="shared" si="466"/>
        <v>3467.5</v>
      </c>
      <c r="L146" s="34">
        <f t="shared" si="466"/>
        <v>3440.3999999999996</v>
      </c>
      <c r="M146" s="34">
        <f t="shared" si="466"/>
        <v>3577.0000000000005</v>
      </c>
      <c r="N146" s="34">
        <f t="shared" ref="N146:AF146" si="467">SUMIF($AH$5:$ER$5,N$5,$AH146:$ER146)</f>
        <v>3286</v>
      </c>
      <c r="O146" s="34">
        <f t="shared" si="467"/>
        <v>2233</v>
      </c>
      <c r="P146" s="34">
        <f t="shared" si="467"/>
        <v>2088</v>
      </c>
      <c r="Q146" s="34">
        <f t="shared" si="467"/>
        <v>2122</v>
      </c>
      <c r="R146" s="34">
        <f t="shared" si="467"/>
        <v>2743</v>
      </c>
      <c r="S146" s="34">
        <f t="shared" si="467"/>
        <v>2141</v>
      </c>
      <c r="T146" s="34">
        <f t="shared" si="467"/>
        <v>2442</v>
      </c>
      <c r="U146" s="34">
        <f t="shared" si="467"/>
        <v>2938</v>
      </c>
      <c r="V146" s="34">
        <f t="shared" si="467"/>
        <v>2642</v>
      </c>
      <c r="W146" s="34">
        <f t="shared" si="467"/>
        <v>2544</v>
      </c>
      <c r="X146" s="34">
        <f t="shared" si="467"/>
        <v>2625</v>
      </c>
      <c r="Y146" s="34">
        <f t="shared" si="467"/>
        <v>2920</v>
      </c>
      <c r="Z146" s="34">
        <f t="shared" si="467"/>
        <v>2920</v>
      </c>
      <c r="AA146" s="34">
        <f t="shared" si="467"/>
        <v>3067</v>
      </c>
      <c r="AB146" s="34">
        <f t="shared" si="467"/>
        <v>2708</v>
      </c>
      <c r="AC146" s="34">
        <f t="shared" si="467"/>
        <v>2276</v>
      </c>
      <c r="AD146" s="34">
        <f t="shared" si="467"/>
        <v>1825</v>
      </c>
      <c r="AE146" s="34">
        <f t="shared" si="467"/>
        <v>2099</v>
      </c>
      <c r="AF146" s="34">
        <f t="shared" si="467"/>
        <v>2562</v>
      </c>
      <c r="AG146" s="5"/>
      <c r="AH146" s="10"/>
      <c r="AI146" s="202" t="str">
        <f t="shared" ref="AI146:BR146" si="468">IF(ISERROR(AI145*AI3),"NM",(AI145*AI3))</f>
        <v>NM</v>
      </c>
      <c r="AJ146" s="202" t="str">
        <f t="shared" si="468"/>
        <v>NM</v>
      </c>
      <c r="AK146" s="202" t="str">
        <f t="shared" si="468"/>
        <v>NM</v>
      </c>
      <c r="AL146" s="202" t="str">
        <f t="shared" si="468"/>
        <v>NM</v>
      </c>
      <c r="AM146" s="202" t="str">
        <f t="shared" si="468"/>
        <v>NM</v>
      </c>
      <c r="AN146" s="202" t="str">
        <f t="shared" si="468"/>
        <v>NM</v>
      </c>
      <c r="AO146" s="202" t="str">
        <f t="shared" si="468"/>
        <v>NM</v>
      </c>
      <c r="AP146" s="202" t="str">
        <f t="shared" si="468"/>
        <v>NM</v>
      </c>
      <c r="AQ146" s="202" t="str">
        <f t="shared" si="468"/>
        <v>NM</v>
      </c>
      <c r="AR146" s="202" t="str">
        <f t="shared" si="468"/>
        <v>NM</v>
      </c>
      <c r="AS146" s="202" t="str">
        <f t="shared" si="468"/>
        <v>NM</v>
      </c>
      <c r="AT146" s="202" t="str">
        <f t="shared" si="468"/>
        <v>NM</v>
      </c>
      <c r="AU146" s="202" t="str">
        <f t="shared" si="468"/>
        <v>NM</v>
      </c>
      <c r="AV146" s="202" t="str">
        <f t="shared" si="468"/>
        <v>NM</v>
      </c>
      <c r="AW146" s="202" t="str">
        <f t="shared" si="468"/>
        <v>NM</v>
      </c>
      <c r="AX146" s="202" t="str">
        <f t="shared" si="468"/>
        <v>NM</v>
      </c>
      <c r="AY146" s="202" t="str">
        <f t="shared" si="468"/>
        <v>NM</v>
      </c>
      <c r="AZ146" s="202">
        <f t="shared" si="468"/>
        <v>507.78000000000003</v>
      </c>
      <c r="BA146" s="202" t="str">
        <f t="shared" si="468"/>
        <v>NM</v>
      </c>
      <c r="BB146" s="202">
        <f t="shared" si="468"/>
        <v>828</v>
      </c>
      <c r="BC146" s="202" t="str">
        <f t="shared" si="468"/>
        <v>NM</v>
      </c>
      <c r="BD146" s="202" t="str">
        <f t="shared" si="468"/>
        <v>NM</v>
      </c>
      <c r="BE146" s="202" t="str">
        <f t="shared" si="468"/>
        <v>NM</v>
      </c>
      <c r="BF146" s="202">
        <f t="shared" si="468"/>
        <v>920</v>
      </c>
      <c r="BG146" s="202" t="str">
        <f t="shared" si="468"/>
        <v>NM</v>
      </c>
      <c r="BH146" s="202">
        <f t="shared" si="468"/>
        <v>755.3</v>
      </c>
      <c r="BI146" s="202" t="str">
        <f t="shared" si="468"/>
        <v>NM</v>
      </c>
      <c r="BJ146" s="202">
        <f t="shared" si="468"/>
        <v>920</v>
      </c>
      <c r="BK146" s="202">
        <f t="shared" si="468"/>
        <v>837.2</v>
      </c>
      <c r="BL146" s="202">
        <f t="shared" si="468"/>
        <v>819</v>
      </c>
      <c r="BM146" s="202">
        <f t="shared" si="468"/>
        <v>864.79999999999984</v>
      </c>
      <c r="BN146" s="202">
        <f t="shared" si="468"/>
        <v>846.40000000000009</v>
      </c>
      <c r="BO146" s="202">
        <f t="shared" si="468"/>
        <v>900</v>
      </c>
      <c r="BP146" s="202">
        <f t="shared" si="468"/>
        <v>910</v>
      </c>
      <c r="BQ146" s="202">
        <f t="shared" si="468"/>
        <v>920</v>
      </c>
      <c r="BR146" s="202">
        <f t="shared" si="468"/>
        <v>920</v>
      </c>
      <c r="BS146" s="235">
        <v>804</v>
      </c>
      <c r="BT146" s="235">
        <v>839</v>
      </c>
      <c r="BU146" s="235">
        <v>723</v>
      </c>
      <c r="BV146" s="235">
        <v>572</v>
      </c>
      <c r="BW146" s="235">
        <v>540</v>
      </c>
      <c r="BX146" s="235">
        <v>592</v>
      </c>
      <c r="BY146" s="235">
        <v>529</v>
      </c>
      <c r="BZ146" s="235">
        <v>460</v>
      </c>
      <c r="CA146" s="235">
        <v>455</v>
      </c>
      <c r="CB146" s="235">
        <v>572</v>
      </c>
      <c r="CC146" s="235">
        <v>601</v>
      </c>
      <c r="CD146" s="235">
        <v>563</v>
      </c>
      <c r="CE146" s="235">
        <v>450</v>
      </c>
      <c r="CF146" s="235">
        <v>455</v>
      </c>
      <c r="CG146" s="235">
        <v>654</v>
      </c>
      <c r="CH146" s="235">
        <v>644</v>
      </c>
      <c r="CI146" s="235">
        <v>699</v>
      </c>
      <c r="CJ146" s="235">
        <v>728</v>
      </c>
      <c r="CK146" s="235">
        <v>672</v>
      </c>
      <c r="CL146" s="235">
        <v>588</v>
      </c>
      <c r="CM146" s="235">
        <v>522</v>
      </c>
      <c r="CN146" s="235">
        <v>546</v>
      </c>
      <c r="CO146" s="235">
        <v>485</v>
      </c>
      <c r="CP146" s="235">
        <v>460</v>
      </c>
      <c r="CQ146" s="235">
        <v>514</v>
      </c>
      <c r="CR146" s="235">
        <v>732</v>
      </c>
      <c r="CS146" s="235">
        <v>736</v>
      </c>
      <c r="CT146" s="235">
        <v>735</v>
      </c>
      <c r="CU146" s="235">
        <v>796</v>
      </c>
      <c r="CV146" s="235">
        <v>763</v>
      </c>
      <c r="CW146" s="235">
        <v>644</v>
      </c>
      <c r="CX146" s="235">
        <v>700</v>
      </c>
      <c r="CY146" s="235">
        <v>660</v>
      </c>
      <c r="CZ146" s="235">
        <v>638</v>
      </c>
      <c r="DA146" s="235">
        <v>644</v>
      </c>
      <c r="DB146" s="235">
        <v>587</v>
      </c>
      <c r="DC146" s="235">
        <v>618</v>
      </c>
      <c r="DD146" s="235">
        <v>638</v>
      </c>
      <c r="DE146" s="234">
        <v>701</v>
      </c>
      <c r="DF146" s="234">
        <v>697</v>
      </c>
      <c r="DG146" s="234">
        <v>627</v>
      </c>
      <c r="DH146" s="234">
        <v>606</v>
      </c>
      <c r="DI146" s="234">
        <v>695</v>
      </c>
      <c r="DJ146" s="234">
        <v>736</v>
      </c>
      <c r="DK146" s="234">
        <v>720</v>
      </c>
      <c r="DL146" s="234">
        <v>728</v>
      </c>
      <c r="DM146" s="234">
        <v>736</v>
      </c>
      <c r="DN146" s="234">
        <v>736</v>
      </c>
      <c r="DO146" s="234">
        <v>720</v>
      </c>
      <c r="DP146" s="234">
        <v>728</v>
      </c>
      <c r="DQ146" s="234">
        <v>736</v>
      </c>
      <c r="DR146" s="234">
        <v>809</v>
      </c>
      <c r="DS146" s="234">
        <v>794</v>
      </c>
      <c r="DT146" s="234">
        <v>728</v>
      </c>
      <c r="DU146" s="234">
        <v>736</v>
      </c>
      <c r="DV146" s="234">
        <v>736</v>
      </c>
      <c r="DW146" s="234">
        <v>691</v>
      </c>
      <c r="DX146" s="234">
        <v>637</v>
      </c>
      <c r="DY146" s="234">
        <v>644</v>
      </c>
      <c r="DZ146" s="234">
        <v>644</v>
      </c>
      <c r="EA146" s="234">
        <v>595</v>
      </c>
      <c r="EB146" s="234">
        <v>546</v>
      </c>
      <c r="EC146" s="234">
        <v>491</v>
      </c>
      <c r="ED146" s="234">
        <v>460</v>
      </c>
      <c r="EE146" s="33">
        <f t="shared" ref="EE146:EP146" si="469">EE145*EE3</f>
        <v>450</v>
      </c>
      <c r="EF146" s="33">
        <f t="shared" si="469"/>
        <v>455</v>
      </c>
      <c r="EG146" s="33">
        <f t="shared" si="469"/>
        <v>460</v>
      </c>
      <c r="EH146" s="33">
        <f t="shared" si="469"/>
        <v>460</v>
      </c>
      <c r="EI146" s="33">
        <f t="shared" si="469"/>
        <v>495</v>
      </c>
      <c r="EJ146" s="33">
        <f t="shared" si="469"/>
        <v>546</v>
      </c>
      <c r="EK146" s="33">
        <f t="shared" si="469"/>
        <v>598</v>
      </c>
      <c r="EL146" s="33">
        <f t="shared" si="469"/>
        <v>644</v>
      </c>
      <c r="EM146" s="33">
        <f t="shared" si="469"/>
        <v>637</v>
      </c>
      <c r="EN146" s="33">
        <f t="shared" si="469"/>
        <v>637</v>
      </c>
      <c r="EO146" s="33">
        <f t="shared" si="469"/>
        <v>644</v>
      </c>
      <c r="EP146" s="33">
        <f t="shared" si="469"/>
        <v>644</v>
      </c>
      <c r="EQ146" s="32"/>
      <c r="ES146" s="355">
        <f t="shared" si="436"/>
        <v>141</v>
      </c>
      <c r="ET146"/>
      <c r="EU146"/>
      <c r="EV146"/>
      <c r="EW146"/>
      <c r="EX146"/>
      <c r="EY146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</row>
    <row r="147" spans="1:257" s="4" customFormat="1" hidden="1" outlineLevel="2">
      <c r="A147" s="15"/>
      <c r="B147" s="65" t="s">
        <v>168</v>
      </c>
      <c r="C147" s="160"/>
      <c r="D147" s="160"/>
      <c r="E147" s="160">
        <v>0.7</v>
      </c>
      <c r="F147" s="50">
        <v>0.79</v>
      </c>
      <c r="G147" s="50">
        <v>0.66</v>
      </c>
      <c r="H147" s="50">
        <v>0.7</v>
      </c>
      <c r="I147" s="50">
        <v>0.63</v>
      </c>
      <c r="J147" s="50">
        <v>0.99</v>
      </c>
      <c r="K147" s="50">
        <v>0.95</v>
      </c>
      <c r="L147" s="50">
        <v>0.94</v>
      </c>
      <c r="M147" s="50">
        <v>0.98</v>
      </c>
      <c r="N147" s="50">
        <v>0.83</v>
      </c>
      <c r="O147" s="50">
        <v>0.51</v>
      </c>
      <c r="P147" s="50">
        <v>0.48</v>
      </c>
      <c r="Q147" s="50">
        <v>0.53</v>
      </c>
      <c r="R147" s="50">
        <v>0.69</v>
      </c>
      <c r="S147" s="50">
        <v>0.65</v>
      </c>
      <c r="T147" s="50">
        <v>0.75</v>
      </c>
      <c r="U147" s="50">
        <f t="shared" ref="U147:AF147" si="470">U145/U144</f>
        <v>0.89457785101022891</v>
      </c>
      <c r="V147" s="50">
        <f t="shared" si="470"/>
        <v>0.8049837990628399</v>
      </c>
      <c r="W147" s="50">
        <f t="shared" si="470"/>
        <v>0.77498339272239181</v>
      </c>
      <c r="X147" s="50">
        <f t="shared" si="470"/>
        <v>0.78982812193571816</v>
      </c>
      <c r="Y147" s="50">
        <f t="shared" si="470"/>
        <v>0.8899999999999999</v>
      </c>
      <c r="Z147" s="50">
        <f t="shared" si="470"/>
        <v>0.8899999999999999</v>
      </c>
      <c r="AA147" s="50">
        <f t="shared" si="470"/>
        <v>0.93486520809930873</v>
      </c>
      <c r="AB147" s="50">
        <f t="shared" si="470"/>
        <v>0.82262059989555458</v>
      </c>
      <c r="AC147" s="50">
        <f t="shared" si="470"/>
        <v>0.74397770278441444</v>
      </c>
      <c r="AD147" s="50">
        <f t="shared" si="470"/>
        <v>0.62624254473161034</v>
      </c>
      <c r="AE147" s="50">
        <f t="shared" si="470"/>
        <v>0.71883561643835614</v>
      </c>
      <c r="AF147" s="50">
        <f t="shared" si="470"/>
        <v>0.87739726027397258</v>
      </c>
      <c r="AG147" s="25"/>
      <c r="AH147" s="204" t="s">
        <v>167</v>
      </c>
      <c r="AI147" s="204" t="s">
        <v>167</v>
      </c>
      <c r="AJ147" s="204" t="s">
        <v>167</v>
      </c>
      <c r="AK147" s="204" t="s">
        <v>167</v>
      </c>
      <c r="AL147" s="204" t="s">
        <v>167</v>
      </c>
      <c r="AM147" s="204" t="s">
        <v>167</v>
      </c>
      <c r="AN147" s="204" t="s">
        <v>167</v>
      </c>
      <c r="AO147" s="204" t="s">
        <v>167</v>
      </c>
      <c r="AP147" s="204" t="s">
        <v>167</v>
      </c>
      <c r="AQ147" s="204" t="s">
        <v>167</v>
      </c>
      <c r="AR147" s="204" t="s">
        <v>167</v>
      </c>
      <c r="AS147" s="204" t="s">
        <v>167</v>
      </c>
      <c r="AT147" s="204" t="s">
        <v>167</v>
      </c>
      <c r="AU147" s="204" t="s">
        <v>167</v>
      </c>
      <c r="AV147" s="204" t="s">
        <v>167</v>
      </c>
      <c r="AW147" s="204" t="s">
        <v>167</v>
      </c>
      <c r="AX147" s="204" t="s">
        <v>167</v>
      </c>
      <c r="AY147" s="204" t="s">
        <v>167</v>
      </c>
      <c r="AZ147" s="205">
        <v>0.62</v>
      </c>
      <c r="BA147" s="204" t="s">
        <v>167</v>
      </c>
      <c r="BB147" s="203">
        <v>1</v>
      </c>
      <c r="BC147" s="204" t="s">
        <v>167</v>
      </c>
      <c r="BD147" s="203">
        <v>0.98</v>
      </c>
      <c r="BE147" s="204" t="s">
        <v>167</v>
      </c>
      <c r="BF147" s="55">
        <v>1</v>
      </c>
      <c r="BG147" s="203" t="s">
        <v>167</v>
      </c>
      <c r="BH147" s="55">
        <v>0.83</v>
      </c>
      <c r="BI147" s="203" t="s">
        <v>167</v>
      </c>
      <c r="BJ147" s="55">
        <v>1</v>
      </c>
      <c r="BK147" s="55">
        <v>0.92</v>
      </c>
      <c r="BL147" s="55">
        <v>0.9</v>
      </c>
      <c r="BM147" s="55">
        <v>0.94</v>
      </c>
      <c r="BN147" s="55">
        <v>0.92</v>
      </c>
      <c r="BO147" s="55">
        <v>1</v>
      </c>
      <c r="BP147" s="55">
        <v>1</v>
      </c>
      <c r="BQ147" s="55">
        <v>1</v>
      </c>
      <c r="BR147" s="55">
        <v>1</v>
      </c>
      <c r="BS147" s="55">
        <v>0.89</v>
      </c>
      <c r="BT147" s="55">
        <v>0.81</v>
      </c>
      <c r="BU147" s="55">
        <v>0.65</v>
      </c>
      <c r="BV147" s="55">
        <v>0.52</v>
      </c>
      <c r="BW147" s="55">
        <v>0.5</v>
      </c>
      <c r="BX147" s="55">
        <v>0.54</v>
      </c>
      <c r="BY147" s="55">
        <v>0.48</v>
      </c>
      <c r="BZ147" s="55">
        <v>0.42</v>
      </c>
      <c r="CA147" s="55">
        <v>0.42</v>
      </c>
      <c r="CB147" s="55">
        <v>0.52</v>
      </c>
      <c r="CC147" s="55">
        <v>0.54</v>
      </c>
      <c r="CD147" s="55">
        <v>0.56000000000000005</v>
      </c>
      <c r="CE147" s="55">
        <v>0.45</v>
      </c>
      <c r="CF147" s="55">
        <v>0.45</v>
      </c>
      <c r="CG147" s="55">
        <v>0.65</v>
      </c>
      <c r="CH147" s="55">
        <v>0.64</v>
      </c>
      <c r="CI147" s="55">
        <v>0.71</v>
      </c>
      <c r="CJ147" s="55">
        <v>0.73</v>
      </c>
      <c r="CK147" s="55">
        <v>0.69</v>
      </c>
      <c r="CL147" s="55">
        <v>0.71</v>
      </c>
      <c r="CM147" s="55">
        <v>0.64</v>
      </c>
      <c r="CN147" s="55">
        <v>0.67</v>
      </c>
      <c r="CO147" s="55">
        <v>0.59</v>
      </c>
      <c r="CP147" s="55">
        <v>0.56000000000000005</v>
      </c>
      <c r="CQ147" s="55">
        <v>0.65</v>
      </c>
      <c r="CR147" s="55">
        <v>0.89</v>
      </c>
      <c r="CS147" s="55">
        <v>0.89</v>
      </c>
      <c r="CT147" s="55">
        <v>0.89</v>
      </c>
      <c r="CU147" s="55">
        <v>0.98</v>
      </c>
      <c r="CV147" s="55">
        <v>0.93</v>
      </c>
      <c r="CW147" s="55">
        <v>0.78</v>
      </c>
      <c r="CX147" s="55">
        <v>0.85</v>
      </c>
      <c r="CY147" s="55">
        <v>0.81</v>
      </c>
      <c r="CZ147" s="55">
        <v>0.78</v>
      </c>
      <c r="DA147" s="55">
        <v>0.78</v>
      </c>
      <c r="DB147" s="55">
        <v>0.71</v>
      </c>
      <c r="DC147" s="55">
        <v>0.76</v>
      </c>
      <c r="DD147" s="55">
        <v>0.78</v>
      </c>
      <c r="DE147" s="55">
        <v>0.85</v>
      </c>
      <c r="DF147" s="55">
        <v>0.84</v>
      </c>
      <c r="DG147" s="55">
        <v>0.74</v>
      </c>
      <c r="DH147" s="55">
        <v>0.74</v>
      </c>
      <c r="DI147" s="55">
        <v>0.84</v>
      </c>
      <c r="DJ147" s="55">
        <v>0.89</v>
      </c>
      <c r="DK147" s="55">
        <v>0.89</v>
      </c>
      <c r="DL147" s="55">
        <v>0.89</v>
      </c>
      <c r="DM147" s="55">
        <v>0.89</v>
      </c>
      <c r="DN147" s="55">
        <v>0.89</v>
      </c>
      <c r="DO147" s="55">
        <v>0.89</v>
      </c>
      <c r="DP147" s="55">
        <v>0.89</v>
      </c>
      <c r="DQ147" s="55">
        <v>0.89</v>
      </c>
      <c r="DR147" s="55">
        <v>0.98</v>
      </c>
      <c r="DS147" s="55">
        <v>0.98</v>
      </c>
      <c r="DT147" s="55">
        <v>0.89</v>
      </c>
      <c r="DU147" s="55">
        <v>0.89</v>
      </c>
      <c r="DV147" s="55">
        <v>0.89</v>
      </c>
      <c r="DW147" s="55">
        <v>0.84</v>
      </c>
      <c r="DX147" s="55">
        <v>0.78</v>
      </c>
      <c r="DY147" s="55">
        <v>0.78</v>
      </c>
      <c r="DZ147" s="55">
        <v>0.78</v>
      </c>
      <c r="EA147" s="55">
        <v>0.77</v>
      </c>
      <c r="EB147" s="55">
        <v>0.75</v>
      </c>
      <c r="EC147" s="55">
        <v>0.67</v>
      </c>
      <c r="ED147" s="55">
        <v>0.63</v>
      </c>
      <c r="EE147" s="50">
        <f t="shared" ref="EE147:EP147" si="471">EE146/(EE3*EE144)</f>
        <v>0.625</v>
      </c>
      <c r="EF147" s="50">
        <f t="shared" si="471"/>
        <v>0.625</v>
      </c>
      <c r="EG147" s="50">
        <f t="shared" si="471"/>
        <v>0.625</v>
      </c>
      <c r="EH147" s="50">
        <f t="shared" si="471"/>
        <v>0.625</v>
      </c>
      <c r="EI147" s="50">
        <f t="shared" si="471"/>
        <v>0.6875</v>
      </c>
      <c r="EJ147" s="50">
        <f t="shared" si="471"/>
        <v>0.75</v>
      </c>
      <c r="EK147" s="50">
        <f t="shared" si="471"/>
        <v>0.8125</v>
      </c>
      <c r="EL147" s="50">
        <f t="shared" si="471"/>
        <v>0.875</v>
      </c>
      <c r="EM147" s="50">
        <f t="shared" si="471"/>
        <v>0.875</v>
      </c>
      <c r="EN147" s="50">
        <f t="shared" si="471"/>
        <v>0.875</v>
      </c>
      <c r="EO147" s="50">
        <f t="shared" si="471"/>
        <v>0.875</v>
      </c>
      <c r="EP147" s="50">
        <f t="shared" si="471"/>
        <v>0.875</v>
      </c>
      <c r="ES147" s="355">
        <f t="shared" si="436"/>
        <v>142</v>
      </c>
      <c r="ET147"/>
      <c r="EU147"/>
      <c r="EV147"/>
      <c r="EW147"/>
      <c r="EX147"/>
      <c r="EY147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</row>
    <row r="148" spans="1:257" s="10" customFormat="1" hidden="1" outlineLevel="2">
      <c r="A148" s="9"/>
      <c r="B148" s="65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5"/>
      <c r="AI148" s="202"/>
      <c r="AJ148" s="202"/>
      <c r="AK148" s="202"/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  <c r="AW148" s="202"/>
      <c r="AX148" s="202"/>
      <c r="AY148" s="202"/>
      <c r="AZ148" s="202"/>
      <c r="BA148" s="202"/>
      <c r="BB148" s="202"/>
      <c r="BC148" s="202"/>
      <c r="BD148" s="202"/>
      <c r="BE148" s="202"/>
      <c r="BF148" s="202"/>
      <c r="BG148" s="202"/>
      <c r="BH148" s="202"/>
      <c r="BI148" s="202"/>
      <c r="BJ148" s="202"/>
      <c r="BK148" s="202"/>
      <c r="BL148" s="202"/>
      <c r="BM148" s="202"/>
      <c r="BN148" s="202"/>
      <c r="BO148" s="202"/>
      <c r="BP148" s="202"/>
      <c r="BQ148" s="202"/>
      <c r="BR148" s="202"/>
      <c r="BS148" s="235"/>
      <c r="BT148" s="235"/>
      <c r="BU148" s="235"/>
      <c r="BV148" s="235"/>
      <c r="BW148" s="235"/>
      <c r="BX148" s="235"/>
      <c r="BY148" s="235"/>
      <c r="BZ148" s="235"/>
      <c r="CA148" s="235"/>
      <c r="CB148" s="235"/>
      <c r="CC148" s="235"/>
      <c r="CD148" s="235"/>
      <c r="CE148" s="235"/>
      <c r="CF148" s="235"/>
      <c r="CG148" s="235"/>
      <c r="CH148" s="235"/>
      <c r="CI148" s="235"/>
      <c r="CJ148" s="235"/>
      <c r="CK148" s="235"/>
      <c r="CL148" s="235"/>
      <c r="CM148" s="235"/>
      <c r="CN148" s="235"/>
      <c r="CO148" s="235"/>
      <c r="CP148" s="235"/>
      <c r="CQ148" s="235"/>
      <c r="CR148" s="235"/>
      <c r="CS148" s="235"/>
      <c r="CT148" s="235"/>
      <c r="CU148" s="235"/>
      <c r="CV148" s="235"/>
      <c r="CW148" s="235"/>
      <c r="CX148" s="235"/>
      <c r="CY148" s="235"/>
      <c r="CZ148" s="235"/>
      <c r="DA148" s="235"/>
      <c r="DB148" s="235"/>
      <c r="DC148" s="235"/>
      <c r="DD148" s="235"/>
      <c r="DE148" s="234"/>
      <c r="DF148" s="234"/>
      <c r="DG148" s="234"/>
      <c r="DH148" s="234"/>
      <c r="DI148" s="234"/>
      <c r="DJ148" s="234"/>
      <c r="DK148" s="234"/>
      <c r="DL148" s="234"/>
      <c r="DM148" s="234"/>
      <c r="DN148" s="234"/>
      <c r="DO148" s="234"/>
      <c r="DP148" s="234"/>
      <c r="DQ148" s="234"/>
      <c r="DR148" s="234"/>
      <c r="DS148" s="234"/>
      <c r="DT148" s="234"/>
      <c r="DU148" s="234"/>
      <c r="DV148" s="234"/>
      <c r="DW148" s="234"/>
      <c r="DX148" s="234"/>
      <c r="DY148" s="234"/>
      <c r="DZ148" s="234"/>
      <c r="EA148" s="234"/>
      <c r="EB148" s="234"/>
      <c r="EC148" s="234"/>
      <c r="ED148" s="234"/>
      <c r="EE148" s="33"/>
      <c r="EF148" s="33"/>
      <c r="EG148" s="33"/>
      <c r="EH148" s="33"/>
      <c r="EI148" s="33"/>
      <c r="EJ148" s="33"/>
      <c r="EK148" s="33"/>
      <c r="EL148" s="33"/>
      <c r="EM148" s="33"/>
      <c r="EN148" s="33"/>
      <c r="EO148" s="33"/>
      <c r="EP148" s="33"/>
      <c r="EQ148" s="32"/>
      <c r="ES148" s="355">
        <f t="shared" si="436"/>
        <v>143</v>
      </c>
      <c r="ET148"/>
      <c r="EU148"/>
      <c r="EV148"/>
      <c r="EW148"/>
      <c r="EX148"/>
      <c r="EY148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</row>
    <row r="149" spans="1:257" s="4" customFormat="1" hidden="1" outlineLevel="2">
      <c r="A149" s="15"/>
      <c r="B149" s="65" t="s">
        <v>166</v>
      </c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191"/>
      <c r="N149" s="33">
        <v>30424</v>
      </c>
      <c r="O149" s="33">
        <v>38239</v>
      </c>
      <c r="P149" s="33">
        <v>29070</v>
      </c>
      <c r="Q149" s="33">
        <v>29228</v>
      </c>
      <c r="R149" s="33">
        <v>38728</v>
      </c>
      <c r="S149" s="33">
        <v>34469</v>
      </c>
      <c r="T149" s="33">
        <v>47743</v>
      </c>
      <c r="U149" s="33">
        <f t="shared" ref="U149:AF149" si="472">U153*1000000/U146</f>
        <v>48676.878148400283</v>
      </c>
      <c r="V149" s="33">
        <f t="shared" si="472"/>
        <v>47534.243754731258</v>
      </c>
      <c r="W149" s="33">
        <f t="shared" si="472"/>
        <v>51794.496069182387</v>
      </c>
      <c r="X149" s="33">
        <f t="shared" si="472"/>
        <v>52098.117333333343</v>
      </c>
      <c r="Y149" s="33">
        <f t="shared" si="472"/>
        <v>61068.800000000003</v>
      </c>
      <c r="Z149" s="33">
        <f t="shared" si="472"/>
        <v>63094.24931506849</v>
      </c>
      <c r="AA149" s="33">
        <f t="shared" si="472"/>
        <v>44125.069122921414</v>
      </c>
      <c r="AB149" s="33">
        <f t="shared" si="472"/>
        <v>26972.612998522894</v>
      </c>
      <c r="AC149" s="33">
        <f t="shared" si="472"/>
        <v>34331.576889279437</v>
      </c>
      <c r="AD149" s="33">
        <f t="shared" si="472"/>
        <v>34646.553424657533</v>
      </c>
      <c r="AE149" s="33">
        <f t="shared" si="472"/>
        <v>40000.000000000007</v>
      </c>
      <c r="AF149" s="33">
        <f t="shared" si="472"/>
        <v>40000</v>
      </c>
      <c r="AG149" s="32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234">
        <v>30624</v>
      </c>
      <c r="BT149" s="234">
        <v>29136</v>
      </c>
      <c r="BU149" s="234">
        <v>31651</v>
      </c>
      <c r="BV149" s="234">
        <v>36080</v>
      </c>
      <c r="BW149" s="234">
        <v>38146</v>
      </c>
      <c r="BX149" s="234">
        <v>41058</v>
      </c>
      <c r="BY149" s="234">
        <v>37514</v>
      </c>
      <c r="BZ149" s="234">
        <v>32570</v>
      </c>
      <c r="CA149" s="234">
        <v>28644</v>
      </c>
      <c r="CB149" s="234">
        <v>27955</v>
      </c>
      <c r="CC149" s="234">
        <v>27777</v>
      </c>
      <c r="CD149" s="234">
        <v>25793</v>
      </c>
      <c r="CE149" s="234">
        <v>29297</v>
      </c>
      <c r="CF149" s="234">
        <v>32614</v>
      </c>
      <c r="CG149" s="234">
        <v>29782</v>
      </c>
      <c r="CH149" s="234">
        <v>36339</v>
      </c>
      <c r="CI149" s="234">
        <v>39707</v>
      </c>
      <c r="CJ149" s="234">
        <v>39931</v>
      </c>
      <c r="CK149" s="234">
        <v>38695</v>
      </c>
      <c r="CL149" s="234">
        <v>38824</v>
      </c>
      <c r="CM149" s="234">
        <v>29603</v>
      </c>
      <c r="CN149" s="234">
        <v>30263</v>
      </c>
      <c r="CO149" s="234">
        <v>39160</v>
      </c>
      <c r="CP149" s="234">
        <v>41833</v>
      </c>
      <c r="CQ149" s="234">
        <v>41209</v>
      </c>
      <c r="CR149" s="234">
        <v>51309</v>
      </c>
      <c r="CS149" s="234">
        <v>52452</v>
      </c>
      <c r="CT149" s="234">
        <v>53057</v>
      </c>
      <c r="CU149" s="234">
        <v>48562</v>
      </c>
      <c r="CV149" s="234">
        <v>45531</v>
      </c>
      <c r="CW149" s="234">
        <v>47547</v>
      </c>
      <c r="CX149" s="234">
        <v>52960</v>
      </c>
      <c r="CY149" s="234">
        <v>48225</v>
      </c>
      <c r="CZ149" s="234">
        <v>46138</v>
      </c>
      <c r="DA149" s="234">
        <v>42312</v>
      </c>
      <c r="DB149" s="234">
        <v>45350</v>
      </c>
      <c r="DC149" s="234">
        <v>52507</v>
      </c>
      <c r="DD149" s="234">
        <v>54417</v>
      </c>
      <c r="DE149" s="234">
        <v>54176</v>
      </c>
      <c r="DF149" s="234">
        <v>53644</v>
      </c>
      <c r="DG149" s="234">
        <v>49514</v>
      </c>
      <c r="DH149" s="234">
        <v>41617</v>
      </c>
      <c r="DI149" s="234">
        <v>62018</v>
      </c>
      <c r="DJ149" s="234">
        <v>61936</v>
      </c>
      <c r="DK149" s="234">
        <v>60536</v>
      </c>
      <c r="DL149" s="234">
        <v>61380</v>
      </c>
      <c r="DM149" s="234">
        <v>60415</v>
      </c>
      <c r="DN149" s="234">
        <v>62306</v>
      </c>
      <c r="DO149" s="234">
        <v>64242</v>
      </c>
      <c r="DP149" s="234">
        <v>64019</v>
      </c>
      <c r="DQ149" s="234">
        <v>61845</v>
      </c>
      <c r="DR149" s="234">
        <v>55341</v>
      </c>
      <c r="DS149" s="234">
        <v>49783</v>
      </c>
      <c r="DT149" s="234">
        <v>38333</v>
      </c>
      <c r="DU149" s="234">
        <v>31422</v>
      </c>
      <c r="DV149" s="234">
        <v>27539</v>
      </c>
      <c r="DW149" s="234">
        <v>28004</v>
      </c>
      <c r="DX149" s="234">
        <v>25568</v>
      </c>
      <c r="DY149" s="234">
        <v>26608</v>
      </c>
      <c r="DZ149" s="234">
        <v>31317</v>
      </c>
      <c r="EA149" s="234">
        <v>36006</v>
      </c>
      <c r="EB149" s="234">
        <v>35644</v>
      </c>
      <c r="EC149" s="234">
        <v>34797</v>
      </c>
      <c r="ED149" s="234">
        <v>35776</v>
      </c>
      <c r="EE149" s="201">
        <f t="shared" ref="EE149:EP149" si="473">EE69</f>
        <v>33500</v>
      </c>
      <c r="EF149" s="201">
        <f t="shared" si="473"/>
        <v>31400</v>
      </c>
      <c r="EG149" s="201">
        <f t="shared" si="473"/>
        <v>37850</v>
      </c>
      <c r="EH149" s="201">
        <f t="shared" si="473"/>
        <v>40000</v>
      </c>
      <c r="EI149" s="201">
        <f t="shared" si="473"/>
        <v>40000</v>
      </c>
      <c r="EJ149" s="201">
        <f t="shared" si="473"/>
        <v>40000</v>
      </c>
      <c r="EK149" s="201">
        <f t="shared" si="473"/>
        <v>40000</v>
      </c>
      <c r="EL149" s="201">
        <f t="shared" si="473"/>
        <v>40000</v>
      </c>
      <c r="EM149" s="201">
        <f t="shared" si="473"/>
        <v>40000</v>
      </c>
      <c r="EN149" s="201">
        <f t="shared" si="473"/>
        <v>40000</v>
      </c>
      <c r="EO149" s="201">
        <f t="shared" si="473"/>
        <v>40000</v>
      </c>
      <c r="EP149" s="201">
        <f t="shared" si="473"/>
        <v>40000</v>
      </c>
      <c r="ES149" s="355">
        <f t="shared" si="436"/>
        <v>144</v>
      </c>
      <c r="ET149"/>
      <c r="EU149"/>
      <c r="EV149"/>
      <c r="EW149"/>
      <c r="EX149"/>
      <c r="EY149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</row>
    <row r="150" spans="1:257" s="4" customFormat="1" hidden="1" outlineLevel="2">
      <c r="A150" s="15"/>
      <c r="B150" s="63" t="s">
        <v>165</v>
      </c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>
        <v>16263</v>
      </c>
      <c r="O150" s="32">
        <v>17822</v>
      </c>
      <c r="P150" s="32">
        <v>16509</v>
      </c>
      <c r="Q150" s="32">
        <v>15967</v>
      </c>
      <c r="R150" s="32">
        <v>24041</v>
      </c>
      <c r="S150" s="32">
        <v>21564</v>
      </c>
      <c r="T150" s="32">
        <v>29655</v>
      </c>
      <c r="U150" s="32">
        <f t="shared" ref="U150:AF150" si="474">(U158-U157-U155)*1000000/U146</f>
        <v>27374.176991150449</v>
      </c>
      <c r="V150" s="32">
        <f t="shared" si="474"/>
        <v>24653.29750189251</v>
      </c>
      <c r="W150" s="32">
        <f t="shared" si="474"/>
        <v>29379.856132075467</v>
      </c>
      <c r="X150" s="32">
        <f t="shared" si="474"/>
        <v>32203.963428571427</v>
      </c>
      <c r="Y150" s="32">
        <f t="shared" si="474"/>
        <v>37653.884931506851</v>
      </c>
      <c r="Z150" s="32">
        <f t="shared" si="474"/>
        <v>37652.739726027394</v>
      </c>
      <c r="AA150" s="32">
        <f t="shared" si="474"/>
        <v>27246.119660906425</v>
      </c>
      <c r="AB150" s="32">
        <f t="shared" si="474"/>
        <v>18774.21935007385</v>
      </c>
      <c r="AC150" s="32">
        <f t="shared" si="474"/>
        <v>23171.738137082604</v>
      </c>
      <c r="AD150" s="32">
        <f t="shared" si="474"/>
        <v>22607.923287671238</v>
      </c>
      <c r="AE150" s="32">
        <f t="shared" si="474"/>
        <v>24999.999999999996</v>
      </c>
      <c r="AF150" s="32">
        <f t="shared" si="474"/>
        <v>25000.000000000007</v>
      </c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BS150" s="233">
        <f>BS149-BS151</f>
        <v>17555</v>
      </c>
      <c r="BT150" s="233">
        <f>BT149-BT151</f>
        <v>16101</v>
      </c>
      <c r="BU150" s="233">
        <v>15714</v>
      </c>
      <c r="BV150" s="233">
        <v>17852</v>
      </c>
      <c r="BW150" s="233">
        <v>17794</v>
      </c>
      <c r="BX150" s="233">
        <v>18496</v>
      </c>
      <c r="BY150" s="233">
        <v>17067</v>
      </c>
      <c r="BZ150" s="233">
        <v>17584</v>
      </c>
      <c r="CA150" s="233">
        <v>14481</v>
      </c>
      <c r="CB150" s="233">
        <v>16347</v>
      </c>
      <c r="CC150" s="233">
        <v>17377</v>
      </c>
      <c r="CD150" s="233">
        <v>14251</v>
      </c>
      <c r="CE150" s="233">
        <v>14928</v>
      </c>
      <c r="CF150" s="233">
        <v>16426</v>
      </c>
      <c r="CG150" s="233">
        <v>17838</v>
      </c>
      <c r="CH150" s="233">
        <v>22986</v>
      </c>
      <c r="CI150" s="233">
        <v>23642</v>
      </c>
      <c r="CJ150" s="233">
        <v>25210</v>
      </c>
      <c r="CK150" s="233">
        <v>24198</v>
      </c>
      <c r="CL150" s="233">
        <v>23901</v>
      </c>
      <c r="CM150" s="233">
        <v>19885</v>
      </c>
      <c r="CN150" s="233">
        <v>21734</v>
      </c>
      <c r="CO150" s="233">
        <v>20347</v>
      </c>
      <c r="CP150" s="233">
        <v>27160</v>
      </c>
      <c r="CQ150" s="233">
        <v>29144</v>
      </c>
      <c r="CR150" s="233">
        <v>31181</v>
      </c>
      <c r="CS150" s="233">
        <v>30054</v>
      </c>
      <c r="CT150" s="233">
        <v>29468</v>
      </c>
      <c r="CU150" s="233">
        <v>26232</v>
      </c>
      <c r="CV150" s="233">
        <v>26976</v>
      </c>
      <c r="CW150" s="233">
        <v>26868</v>
      </c>
      <c r="CX150" s="233">
        <v>28024</v>
      </c>
      <c r="CY150" s="233">
        <v>25202</v>
      </c>
      <c r="CZ150" s="233">
        <v>25356</v>
      </c>
      <c r="DA150" s="233">
        <v>19731</v>
      </c>
      <c r="DB150" s="233">
        <v>27285</v>
      </c>
      <c r="DC150" s="233">
        <v>28760</v>
      </c>
      <c r="DD150" s="233">
        <v>28597</v>
      </c>
      <c r="DE150" s="233">
        <v>32393</v>
      </c>
      <c r="DF150" s="233">
        <v>31473</v>
      </c>
      <c r="DG150" s="233">
        <v>28953</v>
      </c>
      <c r="DH150" s="233">
        <v>28972</v>
      </c>
      <c r="DI150" s="233">
        <v>38688</v>
      </c>
      <c r="DJ150" s="233">
        <v>36154</v>
      </c>
      <c r="DK150" s="233">
        <v>35698</v>
      </c>
      <c r="DL150" s="233">
        <v>36272</v>
      </c>
      <c r="DM150" s="233">
        <v>42434</v>
      </c>
      <c r="DN150" s="233">
        <v>34857</v>
      </c>
      <c r="DO150" s="233">
        <v>36577</v>
      </c>
      <c r="DP150" s="233">
        <v>39716</v>
      </c>
      <c r="DQ150" s="233">
        <v>39460</v>
      </c>
      <c r="DR150" s="233">
        <v>34609</v>
      </c>
      <c r="DS150" s="233">
        <v>31112</v>
      </c>
      <c r="DT150" s="233">
        <v>24068</v>
      </c>
      <c r="DU150" s="233">
        <v>18126</v>
      </c>
      <c r="DV150" s="233">
        <v>19619</v>
      </c>
      <c r="DW150" s="233">
        <f>20658-537</f>
        <v>20121</v>
      </c>
      <c r="DX150" s="233">
        <f>18823-1236</f>
        <v>17587</v>
      </c>
      <c r="DY150" s="233">
        <f>18290-752</f>
        <v>17538</v>
      </c>
      <c r="DZ150" s="233">
        <v>20839</v>
      </c>
      <c r="EA150" s="233">
        <v>25189</v>
      </c>
      <c r="EB150" s="233">
        <v>24141</v>
      </c>
      <c r="EC150" s="233">
        <v>22709</v>
      </c>
      <c r="ED150" s="233">
        <v>23401</v>
      </c>
      <c r="EE150" s="32">
        <f t="shared" ref="EE150:EP150" si="475">EE70</f>
        <v>22000</v>
      </c>
      <c r="EF150" s="32">
        <f t="shared" si="475"/>
        <v>21000</v>
      </c>
      <c r="EG150" s="32">
        <f t="shared" si="475"/>
        <v>24000</v>
      </c>
      <c r="EH150" s="32">
        <f t="shared" si="475"/>
        <v>25000</v>
      </c>
      <c r="EI150" s="32">
        <f t="shared" si="475"/>
        <v>25000</v>
      </c>
      <c r="EJ150" s="32">
        <f t="shared" si="475"/>
        <v>25000</v>
      </c>
      <c r="EK150" s="32">
        <f t="shared" si="475"/>
        <v>25000</v>
      </c>
      <c r="EL150" s="32">
        <f t="shared" si="475"/>
        <v>25000</v>
      </c>
      <c r="EM150" s="32">
        <f t="shared" si="475"/>
        <v>25000</v>
      </c>
      <c r="EN150" s="32">
        <f t="shared" si="475"/>
        <v>25000</v>
      </c>
      <c r="EO150" s="32">
        <f t="shared" si="475"/>
        <v>25000</v>
      </c>
      <c r="EP150" s="32">
        <f t="shared" si="475"/>
        <v>25000</v>
      </c>
      <c r="ES150" s="355">
        <f t="shared" si="436"/>
        <v>145</v>
      </c>
      <c r="ET150"/>
      <c r="EU150"/>
      <c r="EV150"/>
      <c r="EW150"/>
      <c r="EX150"/>
      <c r="EY150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</row>
    <row r="151" spans="1:257" s="4" customFormat="1" hidden="1" outlineLevel="2">
      <c r="A151" s="15"/>
      <c r="B151" s="196" t="s">
        <v>164</v>
      </c>
      <c r="C151" s="195"/>
      <c r="D151" s="195"/>
      <c r="E151" s="195"/>
      <c r="F151" s="195"/>
      <c r="G151" s="195"/>
      <c r="H151" s="195"/>
      <c r="I151" s="195"/>
      <c r="J151" s="195"/>
      <c r="K151" s="195"/>
      <c r="L151" s="195"/>
      <c r="M151" s="195"/>
      <c r="N151" s="195">
        <f t="shared" ref="N151:AF151" si="476">N149-N150</f>
        <v>14161</v>
      </c>
      <c r="O151" s="195">
        <f t="shared" si="476"/>
        <v>20417</v>
      </c>
      <c r="P151" s="195">
        <f t="shared" si="476"/>
        <v>12561</v>
      </c>
      <c r="Q151" s="195">
        <f t="shared" si="476"/>
        <v>13261</v>
      </c>
      <c r="R151" s="195">
        <f t="shared" si="476"/>
        <v>14687</v>
      </c>
      <c r="S151" s="195">
        <f t="shared" si="476"/>
        <v>12905</v>
      </c>
      <c r="T151" s="195">
        <f t="shared" si="476"/>
        <v>18088</v>
      </c>
      <c r="U151" s="195">
        <f t="shared" si="476"/>
        <v>21302.701157249834</v>
      </c>
      <c r="V151" s="195">
        <f t="shared" si="476"/>
        <v>22880.946252838748</v>
      </c>
      <c r="W151" s="195">
        <f t="shared" si="476"/>
        <v>22414.63993710692</v>
      </c>
      <c r="X151" s="195">
        <f t="shared" si="476"/>
        <v>19894.153904761915</v>
      </c>
      <c r="Y151" s="195">
        <f t="shared" si="476"/>
        <v>23414.915068493152</v>
      </c>
      <c r="Z151" s="195">
        <f t="shared" si="476"/>
        <v>25441.509589041096</v>
      </c>
      <c r="AA151" s="195">
        <f t="shared" si="476"/>
        <v>16878.949462014989</v>
      </c>
      <c r="AB151" s="195">
        <f t="shared" si="476"/>
        <v>8198.3936484490441</v>
      </c>
      <c r="AC151" s="195">
        <f t="shared" si="476"/>
        <v>11159.838752196833</v>
      </c>
      <c r="AD151" s="195">
        <f t="shared" si="476"/>
        <v>12038.630136986296</v>
      </c>
      <c r="AE151" s="195">
        <f t="shared" si="476"/>
        <v>15000.000000000011</v>
      </c>
      <c r="AF151" s="195">
        <f t="shared" si="476"/>
        <v>14999.999999999993</v>
      </c>
      <c r="AG151" s="32"/>
      <c r="AH151" s="195"/>
      <c r="AI151" s="195"/>
      <c r="AJ151" s="195"/>
      <c r="AK151" s="195"/>
      <c r="AL151" s="195"/>
      <c r="AM151" s="195"/>
      <c r="AN151" s="195"/>
      <c r="AO151" s="195"/>
      <c r="AP151" s="195"/>
      <c r="AQ151" s="195"/>
      <c r="AR151" s="195"/>
      <c r="AS151" s="195"/>
      <c r="AT151" s="195"/>
      <c r="AU151" s="195"/>
      <c r="AV151" s="195"/>
      <c r="AW151" s="195"/>
      <c r="AX151" s="195"/>
      <c r="AY151" s="195"/>
      <c r="AZ151" s="195"/>
      <c r="BA151" s="195"/>
      <c r="BB151" s="195"/>
      <c r="BC151" s="195"/>
      <c r="BD151" s="195"/>
      <c r="BE151" s="195"/>
      <c r="BF151" s="195"/>
      <c r="BG151" s="195"/>
      <c r="BH151" s="195"/>
      <c r="BI151" s="195"/>
      <c r="BJ151" s="195"/>
      <c r="BK151" s="195"/>
      <c r="BL151" s="195"/>
      <c r="BM151" s="195"/>
      <c r="BN151" s="195"/>
      <c r="BO151" s="195"/>
      <c r="BP151" s="195"/>
      <c r="BQ151" s="195"/>
      <c r="BR151" s="195"/>
      <c r="BS151" s="195">
        <v>13069</v>
      </c>
      <c r="BT151" s="195">
        <v>13035</v>
      </c>
      <c r="BU151" s="195">
        <f t="shared" ref="BU151:CZ151" si="477">BU149-BU150</f>
        <v>15937</v>
      </c>
      <c r="BV151" s="195">
        <f t="shared" si="477"/>
        <v>18228</v>
      </c>
      <c r="BW151" s="195">
        <f t="shared" si="477"/>
        <v>20352</v>
      </c>
      <c r="BX151" s="195">
        <f t="shared" si="477"/>
        <v>22562</v>
      </c>
      <c r="BY151" s="195">
        <f t="shared" si="477"/>
        <v>20447</v>
      </c>
      <c r="BZ151" s="195">
        <f t="shared" si="477"/>
        <v>14986</v>
      </c>
      <c r="CA151" s="195">
        <f t="shared" si="477"/>
        <v>14163</v>
      </c>
      <c r="CB151" s="195">
        <f t="shared" si="477"/>
        <v>11608</v>
      </c>
      <c r="CC151" s="195">
        <f t="shared" si="477"/>
        <v>10400</v>
      </c>
      <c r="CD151" s="195">
        <f t="shared" si="477"/>
        <v>11542</v>
      </c>
      <c r="CE151" s="195">
        <f t="shared" si="477"/>
        <v>14369</v>
      </c>
      <c r="CF151" s="195">
        <f t="shared" si="477"/>
        <v>16188</v>
      </c>
      <c r="CG151" s="195">
        <f t="shared" si="477"/>
        <v>11944</v>
      </c>
      <c r="CH151" s="195">
        <f t="shared" si="477"/>
        <v>13353</v>
      </c>
      <c r="CI151" s="195">
        <f t="shared" si="477"/>
        <v>16065</v>
      </c>
      <c r="CJ151" s="195">
        <f t="shared" si="477"/>
        <v>14721</v>
      </c>
      <c r="CK151" s="195">
        <f t="shared" si="477"/>
        <v>14497</v>
      </c>
      <c r="CL151" s="195">
        <f t="shared" si="477"/>
        <v>14923</v>
      </c>
      <c r="CM151" s="195">
        <f t="shared" si="477"/>
        <v>9718</v>
      </c>
      <c r="CN151" s="195">
        <f t="shared" si="477"/>
        <v>8529</v>
      </c>
      <c r="CO151" s="195">
        <f t="shared" si="477"/>
        <v>18813</v>
      </c>
      <c r="CP151" s="195">
        <f t="shared" si="477"/>
        <v>14673</v>
      </c>
      <c r="CQ151" s="195">
        <f t="shared" si="477"/>
        <v>12065</v>
      </c>
      <c r="CR151" s="195">
        <f t="shared" si="477"/>
        <v>20128</v>
      </c>
      <c r="CS151" s="195">
        <f t="shared" si="477"/>
        <v>22398</v>
      </c>
      <c r="CT151" s="195">
        <f t="shared" si="477"/>
        <v>23589</v>
      </c>
      <c r="CU151" s="195">
        <f t="shared" si="477"/>
        <v>22330</v>
      </c>
      <c r="CV151" s="195">
        <f t="shared" si="477"/>
        <v>18555</v>
      </c>
      <c r="CW151" s="195">
        <f t="shared" si="477"/>
        <v>20679</v>
      </c>
      <c r="CX151" s="195">
        <f t="shared" si="477"/>
        <v>24936</v>
      </c>
      <c r="CY151" s="195">
        <f t="shared" si="477"/>
        <v>23023</v>
      </c>
      <c r="CZ151" s="195">
        <f t="shared" si="477"/>
        <v>20782</v>
      </c>
      <c r="DA151" s="195">
        <f t="shared" ref="DA151:EF151" si="478">DA149-DA150</f>
        <v>22581</v>
      </c>
      <c r="DB151" s="195">
        <f t="shared" si="478"/>
        <v>18065</v>
      </c>
      <c r="DC151" s="195">
        <f t="shared" si="478"/>
        <v>23747</v>
      </c>
      <c r="DD151" s="195">
        <f t="shared" si="478"/>
        <v>25820</v>
      </c>
      <c r="DE151" s="195">
        <f t="shared" si="478"/>
        <v>21783</v>
      </c>
      <c r="DF151" s="195">
        <f t="shared" si="478"/>
        <v>22171</v>
      </c>
      <c r="DG151" s="195">
        <f t="shared" si="478"/>
        <v>20561</v>
      </c>
      <c r="DH151" s="195">
        <f t="shared" si="478"/>
        <v>12645</v>
      </c>
      <c r="DI151" s="195">
        <f t="shared" si="478"/>
        <v>23330</v>
      </c>
      <c r="DJ151" s="195">
        <f t="shared" si="478"/>
        <v>25782</v>
      </c>
      <c r="DK151" s="195">
        <f t="shared" si="478"/>
        <v>24838</v>
      </c>
      <c r="DL151" s="195">
        <f t="shared" si="478"/>
        <v>25108</v>
      </c>
      <c r="DM151" s="195">
        <f t="shared" si="478"/>
        <v>17981</v>
      </c>
      <c r="DN151" s="195">
        <f t="shared" si="478"/>
        <v>27449</v>
      </c>
      <c r="DO151" s="195">
        <f t="shared" si="478"/>
        <v>27665</v>
      </c>
      <c r="DP151" s="195">
        <f t="shared" si="478"/>
        <v>24303</v>
      </c>
      <c r="DQ151" s="195">
        <f t="shared" si="478"/>
        <v>22385</v>
      </c>
      <c r="DR151" s="195">
        <f t="shared" si="478"/>
        <v>20732</v>
      </c>
      <c r="DS151" s="195">
        <f t="shared" si="478"/>
        <v>18671</v>
      </c>
      <c r="DT151" s="195">
        <f t="shared" si="478"/>
        <v>14265</v>
      </c>
      <c r="DU151" s="195">
        <f t="shared" si="478"/>
        <v>13296</v>
      </c>
      <c r="DV151" s="195">
        <f t="shared" si="478"/>
        <v>7920</v>
      </c>
      <c r="DW151" s="195">
        <f t="shared" si="478"/>
        <v>7883</v>
      </c>
      <c r="DX151" s="195">
        <f t="shared" si="478"/>
        <v>7981</v>
      </c>
      <c r="DY151" s="195">
        <f t="shared" si="478"/>
        <v>9070</v>
      </c>
      <c r="DZ151" s="195">
        <f t="shared" si="478"/>
        <v>10478</v>
      </c>
      <c r="EA151" s="195">
        <f t="shared" si="478"/>
        <v>10817</v>
      </c>
      <c r="EB151" s="195">
        <f t="shared" si="478"/>
        <v>11503</v>
      </c>
      <c r="EC151" s="195">
        <f t="shared" si="478"/>
        <v>12088</v>
      </c>
      <c r="ED151" s="195">
        <f t="shared" si="478"/>
        <v>12375</v>
      </c>
      <c r="EE151" s="195">
        <f t="shared" si="478"/>
        <v>11500</v>
      </c>
      <c r="EF151" s="195">
        <f t="shared" si="478"/>
        <v>10400</v>
      </c>
      <c r="EG151" s="195">
        <f t="shared" ref="EG151:EP151" si="479">EG149-EG150</f>
        <v>13850</v>
      </c>
      <c r="EH151" s="195">
        <f t="shared" si="479"/>
        <v>15000</v>
      </c>
      <c r="EI151" s="195">
        <f t="shared" si="479"/>
        <v>15000</v>
      </c>
      <c r="EJ151" s="195">
        <f t="shared" si="479"/>
        <v>15000</v>
      </c>
      <c r="EK151" s="195">
        <f t="shared" si="479"/>
        <v>15000</v>
      </c>
      <c r="EL151" s="195">
        <f t="shared" si="479"/>
        <v>15000</v>
      </c>
      <c r="EM151" s="195">
        <f t="shared" si="479"/>
        <v>15000</v>
      </c>
      <c r="EN151" s="195">
        <f t="shared" si="479"/>
        <v>15000</v>
      </c>
      <c r="EO151" s="195">
        <f t="shared" si="479"/>
        <v>15000</v>
      </c>
      <c r="EP151" s="195">
        <f t="shared" si="479"/>
        <v>15000</v>
      </c>
      <c r="ES151" s="355">
        <f t="shared" si="436"/>
        <v>146</v>
      </c>
      <c r="ET151"/>
      <c r="EU151"/>
      <c r="EV151"/>
      <c r="EW151"/>
      <c r="EX151"/>
      <c r="EY15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</row>
    <row r="152" spans="1:257" s="4" customFormat="1" hidden="1" outlineLevel="2">
      <c r="A152" s="15"/>
      <c r="B152" s="65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2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  <c r="BK152" s="191"/>
      <c r="BL152" s="191"/>
      <c r="BM152" s="191"/>
      <c r="BN152" s="191"/>
      <c r="BO152" s="191"/>
      <c r="BP152" s="191"/>
      <c r="BQ152" s="191"/>
      <c r="BR152" s="191"/>
      <c r="BS152" s="191"/>
      <c r="BT152" s="191"/>
      <c r="BU152" s="191"/>
      <c r="BV152" s="191"/>
      <c r="BW152" s="191"/>
      <c r="BX152" s="191"/>
      <c r="BY152" s="191"/>
      <c r="BZ152" s="191"/>
      <c r="CA152" s="191"/>
      <c r="CB152" s="191"/>
      <c r="CC152" s="191"/>
      <c r="CD152" s="191"/>
      <c r="CE152" s="191"/>
      <c r="CF152" s="191"/>
      <c r="CG152" s="191"/>
      <c r="CH152" s="191"/>
      <c r="CI152" s="191"/>
      <c r="CJ152" s="191"/>
      <c r="CK152" s="191"/>
      <c r="CL152" s="191"/>
      <c r="CM152" s="191"/>
      <c r="CN152" s="191"/>
      <c r="CO152" s="191"/>
      <c r="CP152" s="191"/>
      <c r="CQ152" s="191"/>
      <c r="CR152" s="191"/>
      <c r="CS152" s="191"/>
      <c r="CT152" s="191"/>
      <c r="CU152" s="191"/>
      <c r="CV152" s="191"/>
      <c r="CW152" s="191"/>
      <c r="CX152" s="191"/>
      <c r="CY152" s="191"/>
      <c r="CZ152" s="191"/>
      <c r="DA152" s="191"/>
      <c r="DB152" s="191"/>
      <c r="DC152" s="191"/>
      <c r="DD152" s="191"/>
      <c r="DE152" s="191"/>
      <c r="DF152" s="191"/>
      <c r="DG152" s="191"/>
      <c r="DH152" s="191"/>
      <c r="DI152" s="191"/>
      <c r="DJ152" s="191"/>
      <c r="DK152" s="191"/>
      <c r="DL152" s="191"/>
      <c r="DM152" s="191"/>
      <c r="DN152" s="191"/>
      <c r="DO152" s="191"/>
      <c r="DP152" s="191"/>
      <c r="DQ152" s="191"/>
      <c r="DR152" s="191"/>
      <c r="DS152" s="191"/>
      <c r="DT152" s="191"/>
      <c r="DU152" s="191"/>
      <c r="DV152" s="191"/>
      <c r="DW152" s="191"/>
      <c r="DX152" s="191"/>
      <c r="DY152" s="191"/>
      <c r="DZ152" s="191"/>
      <c r="EA152" s="191"/>
      <c r="EB152" s="191"/>
      <c r="EC152" s="191"/>
      <c r="ED152" s="191"/>
      <c r="EE152" s="191"/>
      <c r="EF152" s="191"/>
      <c r="EG152" s="191"/>
      <c r="EH152" s="191"/>
      <c r="EI152" s="191"/>
      <c r="EJ152" s="191"/>
      <c r="EK152" s="191"/>
      <c r="EL152" s="191"/>
      <c r="EM152" s="191"/>
      <c r="EN152" s="191"/>
      <c r="EO152" s="191"/>
      <c r="EP152" s="191"/>
      <c r="ES152" s="355">
        <f t="shared" si="436"/>
        <v>147</v>
      </c>
      <c r="ET152"/>
      <c r="EU152"/>
      <c r="EV152"/>
      <c r="EW152"/>
      <c r="EX152"/>
      <c r="EY152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</row>
    <row r="153" spans="1:257" s="10" customFormat="1" hidden="1" outlineLevel="2">
      <c r="A153" s="9"/>
      <c r="B153" s="65" t="s">
        <v>163</v>
      </c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176">
        <f t="shared" ref="N153:W155" si="480">SUMIF($AH$5:$ER$5,N$5,$AH153:$ER153)</f>
        <v>22.883673000000002</v>
      </c>
      <c r="O153" s="176">
        <f t="shared" si="480"/>
        <v>85.387842000000006</v>
      </c>
      <c r="P153" s="176">
        <f t="shared" si="480"/>
        <v>60.699456999999995</v>
      </c>
      <c r="Q153" s="176">
        <f t="shared" si="480"/>
        <v>62.021906999999999</v>
      </c>
      <c r="R153" s="176">
        <f t="shared" si="480"/>
        <v>106.230317</v>
      </c>
      <c r="S153" s="176">
        <f t="shared" si="480"/>
        <v>73.797476000000003</v>
      </c>
      <c r="T153" s="176">
        <f t="shared" si="480"/>
        <v>116.58746600000001</v>
      </c>
      <c r="U153" s="176">
        <f t="shared" si="480"/>
        <v>143.01266800000002</v>
      </c>
      <c r="V153" s="176">
        <f t="shared" si="480"/>
        <v>125.58547199999998</v>
      </c>
      <c r="W153" s="176">
        <f t="shared" si="480"/>
        <v>131.765198</v>
      </c>
      <c r="X153" s="176">
        <f t="shared" ref="X153:AF155" si="481">SUMIF($AH$5:$ER$5,X$5,$AH153:$ER153)</f>
        <v>136.75755800000002</v>
      </c>
      <c r="Y153" s="176">
        <f t="shared" si="481"/>
        <v>178.320896</v>
      </c>
      <c r="Z153" s="176">
        <f t="shared" si="481"/>
        <v>184.235208</v>
      </c>
      <c r="AA153" s="176">
        <f t="shared" si="481"/>
        <v>135.33158699999998</v>
      </c>
      <c r="AB153" s="176">
        <f t="shared" si="481"/>
        <v>73.041836000000004</v>
      </c>
      <c r="AC153" s="176">
        <f t="shared" si="481"/>
        <v>78.138668999999993</v>
      </c>
      <c r="AD153" s="176">
        <f t="shared" si="481"/>
        <v>63.229959999999998</v>
      </c>
      <c r="AE153" s="176">
        <f t="shared" si="481"/>
        <v>83.960000000000008</v>
      </c>
      <c r="AF153" s="176">
        <f t="shared" si="481"/>
        <v>102.48</v>
      </c>
      <c r="AG153" s="5"/>
      <c r="AH153" s="208"/>
      <c r="AI153" s="208"/>
      <c r="AJ153" s="208"/>
      <c r="AK153" s="208"/>
      <c r="AL153" s="208"/>
      <c r="AM153" s="208"/>
      <c r="AN153" s="208"/>
      <c r="AO153" s="208"/>
      <c r="AP153" s="208"/>
      <c r="AQ153" s="208"/>
      <c r="AR153" s="208"/>
      <c r="AS153" s="208"/>
      <c r="AT153" s="208"/>
      <c r="AU153" s="208"/>
      <c r="AV153" s="208"/>
      <c r="AW153" s="208"/>
      <c r="AX153" s="208"/>
      <c r="AY153" s="208"/>
      <c r="AZ153" s="208"/>
      <c r="BA153" s="208"/>
      <c r="BB153" s="209"/>
      <c r="BC153" s="208"/>
      <c r="BD153" s="208"/>
      <c r="BE153" s="208"/>
      <c r="BF153" s="202"/>
      <c r="BG153" s="202"/>
      <c r="BH153" s="202"/>
      <c r="BI153" s="202"/>
      <c r="BJ153" s="202"/>
      <c r="BK153" s="202"/>
      <c r="BL153" s="202"/>
      <c r="BM153" s="202"/>
      <c r="BN153" s="202"/>
      <c r="BO153" s="202"/>
      <c r="BP153" s="202"/>
      <c r="BQ153" s="202"/>
      <c r="BR153" s="202"/>
      <c r="BS153" s="34"/>
      <c r="BT153" s="34"/>
      <c r="BU153" s="184">
        <f t="shared" ref="BU153:CZ153" si="482">BU146*BU149/1000000</f>
        <v>22.883673000000002</v>
      </c>
      <c r="BV153" s="184">
        <f t="shared" si="482"/>
        <v>20.63776</v>
      </c>
      <c r="BW153" s="184">
        <f t="shared" si="482"/>
        <v>20.598839999999999</v>
      </c>
      <c r="BX153" s="184">
        <f t="shared" si="482"/>
        <v>24.306336000000002</v>
      </c>
      <c r="BY153" s="184">
        <f t="shared" si="482"/>
        <v>19.844906000000002</v>
      </c>
      <c r="BZ153" s="184">
        <f t="shared" si="482"/>
        <v>14.982200000000001</v>
      </c>
      <c r="CA153" s="184">
        <f t="shared" si="482"/>
        <v>13.03302</v>
      </c>
      <c r="CB153" s="184">
        <f t="shared" si="482"/>
        <v>15.990259999999999</v>
      </c>
      <c r="CC153" s="184">
        <f t="shared" si="482"/>
        <v>16.693977</v>
      </c>
      <c r="CD153" s="184">
        <f t="shared" si="482"/>
        <v>14.521459</v>
      </c>
      <c r="CE153" s="184">
        <f t="shared" si="482"/>
        <v>13.18365</v>
      </c>
      <c r="CF153" s="184">
        <f t="shared" si="482"/>
        <v>14.839370000000001</v>
      </c>
      <c r="CG153" s="184">
        <f t="shared" si="482"/>
        <v>19.477428</v>
      </c>
      <c r="CH153" s="184">
        <f t="shared" si="482"/>
        <v>23.402315999999999</v>
      </c>
      <c r="CI153" s="184">
        <f t="shared" si="482"/>
        <v>27.755192999999998</v>
      </c>
      <c r="CJ153" s="184">
        <f t="shared" si="482"/>
        <v>29.069768</v>
      </c>
      <c r="CK153" s="184">
        <f t="shared" si="482"/>
        <v>26.003039999999999</v>
      </c>
      <c r="CL153" s="184">
        <f t="shared" si="482"/>
        <v>22.828512</v>
      </c>
      <c r="CM153" s="184">
        <f t="shared" si="482"/>
        <v>15.452766</v>
      </c>
      <c r="CN153" s="184">
        <f t="shared" si="482"/>
        <v>16.523598</v>
      </c>
      <c r="CO153" s="184">
        <f t="shared" si="482"/>
        <v>18.992599999999999</v>
      </c>
      <c r="CP153" s="184">
        <f t="shared" si="482"/>
        <v>19.243179999999999</v>
      </c>
      <c r="CQ153" s="184">
        <f t="shared" si="482"/>
        <v>21.181425999999998</v>
      </c>
      <c r="CR153" s="184">
        <f t="shared" si="482"/>
        <v>37.558188000000001</v>
      </c>
      <c r="CS153" s="184">
        <f t="shared" si="482"/>
        <v>38.604672000000001</v>
      </c>
      <c r="CT153" s="184">
        <f t="shared" si="482"/>
        <v>38.996895000000002</v>
      </c>
      <c r="CU153" s="184">
        <f t="shared" si="482"/>
        <v>38.655352000000001</v>
      </c>
      <c r="CV153" s="184">
        <f t="shared" si="482"/>
        <v>34.740152999999999</v>
      </c>
      <c r="CW153" s="184">
        <f t="shared" si="482"/>
        <v>30.620267999999999</v>
      </c>
      <c r="CX153" s="184">
        <f t="shared" si="482"/>
        <v>37.072000000000003</v>
      </c>
      <c r="CY153" s="184">
        <f t="shared" si="482"/>
        <v>31.828499999999998</v>
      </c>
      <c r="CZ153" s="184">
        <f t="shared" si="482"/>
        <v>29.436043999999999</v>
      </c>
      <c r="DA153" s="184">
        <f t="shared" ref="DA153:EF153" si="483">DA146*DA149/1000000</f>
        <v>27.248927999999999</v>
      </c>
      <c r="DB153" s="184">
        <f t="shared" si="483"/>
        <v>26.620450000000002</v>
      </c>
      <c r="DC153" s="184">
        <f t="shared" si="483"/>
        <v>32.449325999999999</v>
      </c>
      <c r="DD153" s="184">
        <f t="shared" si="483"/>
        <v>34.718046000000001</v>
      </c>
      <c r="DE153" s="184">
        <f t="shared" si="483"/>
        <v>37.977376</v>
      </c>
      <c r="DF153" s="184">
        <f t="shared" si="483"/>
        <v>37.389868</v>
      </c>
      <c r="DG153" s="184">
        <f t="shared" si="483"/>
        <v>31.045278</v>
      </c>
      <c r="DH153" s="184">
        <f t="shared" si="483"/>
        <v>25.219902000000001</v>
      </c>
      <c r="DI153" s="184">
        <f t="shared" si="483"/>
        <v>43.102510000000002</v>
      </c>
      <c r="DJ153" s="184">
        <f t="shared" si="483"/>
        <v>45.584896000000001</v>
      </c>
      <c r="DK153" s="184">
        <f t="shared" si="483"/>
        <v>43.585920000000002</v>
      </c>
      <c r="DL153" s="184">
        <f t="shared" si="483"/>
        <v>44.684640000000002</v>
      </c>
      <c r="DM153" s="184">
        <f t="shared" si="483"/>
        <v>44.465440000000001</v>
      </c>
      <c r="DN153" s="184">
        <f t="shared" si="483"/>
        <v>45.857216000000001</v>
      </c>
      <c r="DO153" s="184">
        <f t="shared" si="483"/>
        <v>46.254240000000003</v>
      </c>
      <c r="DP153" s="184">
        <f t="shared" si="483"/>
        <v>46.605831999999999</v>
      </c>
      <c r="DQ153" s="184">
        <f t="shared" si="483"/>
        <v>45.517919999999997</v>
      </c>
      <c r="DR153" s="184">
        <f t="shared" si="483"/>
        <v>44.770868999999998</v>
      </c>
      <c r="DS153" s="184">
        <f t="shared" si="483"/>
        <v>39.527701999999998</v>
      </c>
      <c r="DT153" s="184">
        <f t="shared" si="483"/>
        <v>27.906424000000001</v>
      </c>
      <c r="DU153" s="184">
        <f t="shared" si="483"/>
        <v>23.126591999999999</v>
      </c>
      <c r="DV153" s="184">
        <f t="shared" si="483"/>
        <v>20.268704</v>
      </c>
      <c r="DW153" s="184">
        <f t="shared" si="483"/>
        <v>19.350764000000002</v>
      </c>
      <c r="DX153" s="184">
        <f t="shared" si="483"/>
        <v>16.286816000000002</v>
      </c>
      <c r="DY153" s="184">
        <f t="shared" si="483"/>
        <v>17.135552000000001</v>
      </c>
      <c r="DZ153" s="184">
        <f t="shared" si="483"/>
        <v>20.168147999999999</v>
      </c>
      <c r="EA153" s="184">
        <f t="shared" si="483"/>
        <v>21.423570000000002</v>
      </c>
      <c r="EB153" s="184">
        <f t="shared" si="483"/>
        <v>19.461624</v>
      </c>
      <c r="EC153" s="184">
        <f t="shared" si="483"/>
        <v>17.085326999999999</v>
      </c>
      <c r="ED153" s="184">
        <f t="shared" si="483"/>
        <v>16.456959999999999</v>
      </c>
      <c r="EE153" s="184">
        <f t="shared" si="483"/>
        <v>15.074999999999999</v>
      </c>
      <c r="EF153" s="184">
        <f t="shared" si="483"/>
        <v>14.287000000000001</v>
      </c>
      <c r="EG153" s="184">
        <f t="shared" ref="EG153:EP153" si="484">EG146*EG149/1000000</f>
        <v>17.411000000000001</v>
      </c>
      <c r="EH153" s="184">
        <f t="shared" si="484"/>
        <v>18.399999999999999</v>
      </c>
      <c r="EI153" s="184">
        <f t="shared" si="484"/>
        <v>19.8</v>
      </c>
      <c r="EJ153" s="184">
        <f t="shared" si="484"/>
        <v>21.84</v>
      </c>
      <c r="EK153" s="184">
        <f t="shared" si="484"/>
        <v>23.92</v>
      </c>
      <c r="EL153" s="184">
        <f t="shared" si="484"/>
        <v>25.76</v>
      </c>
      <c r="EM153" s="184">
        <f t="shared" si="484"/>
        <v>25.48</v>
      </c>
      <c r="EN153" s="184">
        <f t="shared" si="484"/>
        <v>25.48</v>
      </c>
      <c r="EO153" s="184">
        <f t="shared" si="484"/>
        <v>25.76</v>
      </c>
      <c r="EP153" s="184">
        <f t="shared" si="484"/>
        <v>25.76</v>
      </c>
      <c r="ES153" s="355">
        <f t="shared" si="436"/>
        <v>148</v>
      </c>
      <c r="ET153"/>
      <c r="EU153"/>
      <c r="EV153"/>
      <c r="EW153"/>
      <c r="EX153"/>
      <c r="EY153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</row>
    <row r="154" spans="1:257" s="10" customFormat="1" hidden="1" outlineLevel="2">
      <c r="A154" s="9"/>
      <c r="B154" s="54" t="s">
        <v>176</v>
      </c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74">
        <f t="shared" si="480"/>
        <v>5.0193269999999979</v>
      </c>
      <c r="O154" s="223">
        <f t="shared" si="480"/>
        <v>19.941157999999998</v>
      </c>
      <c r="P154" s="223">
        <f t="shared" si="480"/>
        <v>17.526543000000004</v>
      </c>
      <c r="Q154" s="223">
        <f t="shared" si="480"/>
        <v>13.393093</v>
      </c>
      <c r="R154" s="223">
        <f t="shared" si="480"/>
        <v>13.124683000000005</v>
      </c>
      <c r="S154" s="223">
        <f t="shared" si="480"/>
        <v>35.022524000000004</v>
      </c>
      <c r="T154" s="223">
        <f t="shared" si="480"/>
        <v>21.534534000000004</v>
      </c>
      <c r="U154" s="176">
        <f t="shared" si="480"/>
        <v>27.564331999999993</v>
      </c>
      <c r="V154" s="176">
        <f t="shared" si="480"/>
        <v>39.554528000000005</v>
      </c>
      <c r="W154" s="176">
        <f t="shared" si="480"/>
        <v>35.933802</v>
      </c>
      <c r="X154" s="176">
        <f t="shared" si="481"/>
        <v>33.982441999999992</v>
      </c>
      <c r="Y154" s="176">
        <f t="shared" si="481"/>
        <v>23.841103999999998</v>
      </c>
      <c r="Z154" s="176">
        <f t="shared" si="481"/>
        <v>49.722792000000005</v>
      </c>
      <c r="AA154" s="176">
        <f t="shared" si="481"/>
        <v>72.843412999999998</v>
      </c>
      <c r="AB154" s="174">
        <f t="shared" si="481"/>
        <v>42.421164000000005</v>
      </c>
      <c r="AC154" s="174">
        <f t="shared" si="481"/>
        <v>36.546330999999995</v>
      </c>
      <c r="AD154" s="174">
        <f t="shared" si="481"/>
        <v>43.899083376000007</v>
      </c>
      <c r="AE154" s="174">
        <f t="shared" si="481"/>
        <v>42.180963230358103</v>
      </c>
      <c r="AF154" s="174">
        <f t="shared" si="481"/>
        <v>43.030930756294524</v>
      </c>
      <c r="AG154" s="222"/>
      <c r="AH154" s="160"/>
      <c r="AI154" s="160"/>
      <c r="AJ154" s="160"/>
      <c r="AK154" s="160"/>
      <c r="AL154" s="160"/>
      <c r="AM154" s="160"/>
      <c r="AN154" s="160"/>
      <c r="AO154" s="160"/>
      <c r="AP154" s="160"/>
      <c r="AQ154" s="160"/>
      <c r="AR154" s="160"/>
      <c r="AS154" s="160"/>
      <c r="AT154" s="160"/>
      <c r="AU154" s="160"/>
      <c r="AV154" s="160"/>
      <c r="AW154" s="160"/>
      <c r="AX154" s="160"/>
      <c r="AY154" s="160"/>
      <c r="AZ154" s="160"/>
      <c r="BA154" s="160"/>
      <c r="BB154" s="160"/>
      <c r="BC154" s="160"/>
      <c r="BD154" s="160"/>
      <c r="BE154" s="160"/>
      <c r="BF154" s="160"/>
      <c r="BG154" s="160"/>
      <c r="BH154" s="160"/>
      <c r="BI154" s="160"/>
      <c r="BJ154" s="160"/>
      <c r="BK154" s="160"/>
      <c r="BL154" s="160"/>
      <c r="BM154" s="160"/>
      <c r="BN154" s="160"/>
      <c r="BO154" s="160"/>
      <c r="BP154" s="160"/>
      <c r="BQ154" s="160"/>
      <c r="BR154" s="160"/>
      <c r="BS154" s="160"/>
      <c r="BT154" s="160"/>
      <c r="BU154" s="62">
        <f t="shared" ref="BU154:CZ154" si="485">BU156-BU149*BU146/1000000-BU155</f>
        <v>5.0193269999999979</v>
      </c>
      <c r="BV154" s="62">
        <f t="shared" si="485"/>
        <v>5.0672399999999982</v>
      </c>
      <c r="BW154" s="62">
        <f t="shared" si="485"/>
        <v>4.8961600000000018</v>
      </c>
      <c r="BX154" s="62">
        <f t="shared" si="485"/>
        <v>5.1126639999999988</v>
      </c>
      <c r="BY154" s="62">
        <f t="shared" si="485"/>
        <v>4.8650939999999983</v>
      </c>
      <c r="BZ154" s="62">
        <f t="shared" si="485"/>
        <v>4.1188000000000011</v>
      </c>
      <c r="CA154" s="62">
        <f t="shared" si="485"/>
        <v>4.0909800000000001</v>
      </c>
      <c r="CB154" s="62">
        <f t="shared" si="485"/>
        <v>4.0897400000000026</v>
      </c>
      <c r="CC154" s="62">
        <f t="shared" si="485"/>
        <v>5.2270229999999991</v>
      </c>
      <c r="CD154" s="62">
        <f t="shared" si="485"/>
        <v>4.3635410000000014</v>
      </c>
      <c r="CE154" s="62">
        <f t="shared" si="485"/>
        <v>4.0553500000000007</v>
      </c>
      <c r="CF154" s="62">
        <f t="shared" si="485"/>
        <v>2.6536300000000006</v>
      </c>
      <c r="CG154" s="62">
        <f t="shared" si="485"/>
        <v>2.3205719999999994</v>
      </c>
      <c r="CH154" s="62">
        <f t="shared" si="485"/>
        <v>2.3646840000000005</v>
      </c>
      <c r="CI154" s="62">
        <f t="shared" si="485"/>
        <v>2.4588070000000046</v>
      </c>
      <c r="CJ154" s="62">
        <f t="shared" si="485"/>
        <v>2.841231999999998</v>
      </c>
      <c r="CK154" s="62">
        <f t="shared" si="485"/>
        <v>5.4599600000000024</v>
      </c>
      <c r="CL154" s="62">
        <f t="shared" si="485"/>
        <v>9.2214879999999972</v>
      </c>
      <c r="CM154" s="62">
        <f t="shared" si="485"/>
        <v>9.4102339999999991</v>
      </c>
      <c r="CN154" s="62">
        <f t="shared" si="485"/>
        <v>9.4634020000000021</v>
      </c>
      <c r="CO154" s="62">
        <f t="shared" si="485"/>
        <v>6.9274000000000022</v>
      </c>
      <c r="CP154" s="62">
        <f t="shared" si="485"/>
        <v>5.1758199999999999</v>
      </c>
      <c r="CQ154" s="62">
        <f t="shared" si="485"/>
        <v>5.2645740000000032</v>
      </c>
      <c r="CR154" s="62">
        <f t="shared" si="485"/>
        <v>5.4438120000000003</v>
      </c>
      <c r="CS154" s="62">
        <f t="shared" si="485"/>
        <v>5.6503280000000027</v>
      </c>
      <c r="CT154" s="62">
        <f t="shared" si="485"/>
        <v>6.0251049999999973</v>
      </c>
      <c r="CU154" s="62">
        <f t="shared" si="485"/>
        <v>5.9236480000000027</v>
      </c>
      <c r="CV154" s="62">
        <f t="shared" si="485"/>
        <v>7.4558469999999968</v>
      </c>
      <c r="CW154" s="62">
        <f t="shared" si="485"/>
        <v>8.159732</v>
      </c>
      <c r="CX154" s="62">
        <f t="shared" si="485"/>
        <v>8.4859999999999971</v>
      </c>
      <c r="CY154" s="62">
        <f t="shared" si="485"/>
        <v>10.056500000000003</v>
      </c>
      <c r="CZ154" s="62">
        <f t="shared" si="485"/>
        <v>9.9239560000000004</v>
      </c>
      <c r="DA154" s="62">
        <f t="shared" ref="DA154:ED154" si="486">DA156-DA149*DA146/1000000-DA155</f>
        <v>11.088072000000002</v>
      </c>
      <c r="DB154" s="62">
        <f t="shared" si="486"/>
        <v>10.963549999999994</v>
      </c>
      <c r="DC154" s="62">
        <f t="shared" si="486"/>
        <v>10.005673999999999</v>
      </c>
      <c r="DD154" s="62">
        <f t="shared" si="486"/>
        <v>7.0339540000000014</v>
      </c>
      <c r="DE154" s="62">
        <f t="shared" si="486"/>
        <v>7.9306240000000034</v>
      </c>
      <c r="DF154" s="62">
        <f t="shared" si="486"/>
        <v>7.6041320000000017</v>
      </c>
      <c r="DG154" s="62">
        <f t="shared" si="486"/>
        <v>8.1087220000000002</v>
      </c>
      <c r="DH154" s="62">
        <f t="shared" si="486"/>
        <v>12.847097999999995</v>
      </c>
      <c r="DI154" s="62">
        <f t="shared" si="486"/>
        <v>5.422489999999998</v>
      </c>
      <c r="DJ154" s="62">
        <f t="shared" si="486"/>
        <v>5.8741040000000027</v>
      </c>
      <c r="DK154" s="62">
        <f t="shared" si="486"/>
        <v>5.8890799999999954</v>
      </c>
      <c r="DL154" s="62">
        <f t="shared" si="486"/>
        <v>5.1293600000000001</v>
      </c>
      <c r="DM154" s="62">
        <f t="shared" si="486"/>
        <v>6.948559999999997</v>
      </c>
      <c r="DN154" s="62">
        <f t="shared" si="486"/>
        <v>10.430784000000001</v>
      </c>
      <c r="DO154" s="62">
        <f t="shared" si="486"/>
        <v>14.25576</v>
      </c>
      <c r="DP154" s="62">
        <f t="shared" si="486"/>
        <v>12.584168000000002</v>
      </c>
      <c r="DQ154" s="62">
        <f t="shared" si="486"/>
        <v>12.452080000000002</v>
      </c>
      <c r="DR154" s="62">
        <f t="shared" si="486"/>
        <v>19.227131</v>
      </c>
      <c r="DS154" s="62">
        <f t="shared" si="486"/>
        <v>17.792297999999999</v>
      </c>
      <c r="DT154" s="62">
        <f t="shared" si="486"/>
        <v>18.300576</v>
      </c>
      <c r="DU154" s="62">
        <f t="shared" si="486"/>
        <v>17.523408000000003</v>
      </c>
      <c r="DV154" s="62">
        <f t="shared" si="486"/>
        <v>15.280296000000003</v>
      </c>
      <c r="DW154" s="62">
        <f t="shared" si="486"/>
        <v>8.8882360000000009</v>
      </c>
      <c r="DX154" s="62">
        <f t="shared" si="486"/>
        <v>8.9351839999999996</v>
      </c>
      <c r="DY154" s="62">
        <f t="shared" si="486"/>
        <v>9.3174479999999988</v>
      </c>
      <c r="DZ154" s="62">
        <f t="shared" si="486"/>
        <v>9.212851999999998</v>
      </c>
      <c r="EA154" s="62">
        <f t="shared" si="486"/>
        <v>8.7454299999999989</v>
      </c>
      <c r="EB154" s="62">
        <f t="shared" si="486"/>
        <v>9.0683759999999971</v>
      </c>
      <c r="EC154" s="62">
        <f t="shared" si="486"/>
        <v>9.5196730000000027</v>
      </c>
      <c r="ED154" s="62">
        <f t="shared" si="486"/>
        <v>12.811040000000002</v>
      </c>
      <c r="EE154" s="232">
        <f>+ED154-2.5</f>
        <v>10.311040000000002</v>
      </c>
      <c r="EF154" s="232">
        <f t="shared" ref="EF154:EP154" si="487">EE154*1.005</f>
        <v>10.362595200000001</v>
      </c>
      <c r="EG154" s="232">
        <f t="shared" si="487"/>
        <v>10.414408176</v>
      </c>
      <c r="EH154" s="232">
        <f t="shared" si="487"/>
        <v>10.466480216879999</v>
      </c>
      <c r="EI154" s="232">
        <f t="shared" si="487"/>
        <v>10.518812617964398</v>
      </c>
      <c r="EJ154" s="232">
        <f t="shared" si="487"/>
        <v>10.571406681054219</v>
      </c>
      <c r="EK154" s="232">
        <f t="shared" si="487"/>
        <v>10.624263714459488</v>
      </c>
      <c r="EL154" s="232">
        <f t="shared" si="487"/>
        <v>10.677385033031785</v>
      </c>
      <c r="EM154" s="232">
        <f t="shared" si="487"/>
        <v>10.730771958196943</v>
      </c>
      <c r="EN154" s="232">
        <f t="shared" si="487"/>
        <v>10.784425817987927</v>
      </c>
      <c r="EO154" s="232">
        <f t="shared" si="487"/>
        <v>10.838347947077866</v>
      </c>
      <c r="EP154" s="232">
        <f t="shared" si="487"/>
        <v>10.892539686813254</v>
      </c>
      <c r="ES154" s="355">
        <f t="shared" si="436"/>
        <v>149</v>
      </c>
      <c r="ET154"/>
      <c r="EU154"/>
      <c r="EV154"/>
      <c r="EW154"/>
      <c r="EX154"/>
      <c r="EY154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</row>
    <row r="155" spans="1:257" s="10" customFormat="1" hidden="1" outlineLevel="2">
      <c r="A155" s="9"/>
      <c r="B155" s="63" t="s">
        <v>161</v>
      </c>
      <c r="C155" s="231"/>
      <c r="D155" s="231"/>
      <c r="E155" s="231" t="s">
        <v>160</v>
      </c>
      <c r="F155" s="231" t="s">
        <v>160</v>
      </c>
      <c r="G155" s="231" t="s">
        <v>160</v>
      </c>
      <c r="H155" s="231" t="s">
        <v>160</v>
      </c>
      <c r="I155" s="231" t="s">
        <v>160</v>
      </c>
      <c r="J155" s="231" t="s">
        <v>160</v>
      </c>
      <c r="K155" s="231" t="s">
        <v>160</v>
      </c>
      <c r="L155" s="231" t="s">
        <v>160</v>
      </c>
      <c r="M155" s="231" t="s">
        <v>160</v>
      </c>
      <c r="N155" s="230">
        <f t="shared" si="480"/>
        <v>2.8639999999999999</v>
      </c>
      <c r="O155" s="230">
        <f t="shared" si="480"/>
        <v>7.3039999999999994</v>
      </c>
      <c r="P155" s="230">
        <f t="shared" si="480"/>
        <v>6.0119999999999996</v>
      </c>
      <c r="Q155" s="230">
        <f t="shared" si="480"/>
        <v>9.5060000000000002</v>
      </c>
      <c r="R155" s="230">
        <f t="shared" si="480"/>
        <v>18.923999999999999</v>
      </c>
      <c r="S155" s="230">
        <f t="shared" si="480"/>
        <v>14.327999999999999</v>
      </c>
      <c r="T155" s="230">
        <f t="shared" si="480"/>
        <v>16.330000000000002</v>
      </c>
      <c r="U155" s="229">
        <f t="shared" si="480"/>
        <v>34.125</v>
      </c>
      <c r="V155" s="229">
        <f t="shared" si="480"/>
        <v>37.594000000000001</v>
      </c>
      <c r="W155" s="229">
        <f t="shared" si="480"/>
        <v>33.718000000000004</v>
      </c>
      <c r="X155" s="229">
        <f t="shared" si="481"/>
        <v>18.346000000000004</v>
      </c>
      <c r="Y155" s="229">
        <f t="shared" si="481"/>
        <v>19.700999999999997</v>
      </c>
      <c r="Z155" s="229">
        <f t="shared" si="481"/>
        <v>16.853000000000002</v>
      </c>
      <c r="AA155" s="229">
        <f t="shared" si="481"/>
        <v>32.868000000000002</v>
      </c>
      <c r="AB155" s="229">
        <f t="shared" si="481"/>
        <v>23.138000000000002</v>
      </c>
      <c r="AC155" s="229">
        <f t="shared" si="481"/>
        <v>21.578000000000003</v>
      </c>
      <c r="AD155" s="229">
        <f t="shared" si="481"/>
        <v>16.391999999999999</v>
      </c>
      <c r="AE155" s="229">
        <f t="shared" si="481"/>
        <v>16.391999999999999</v>
      </c>
      <c r="AF155" s="229">
        <f t="shared" si="481"/>
        <v>16.391999999999999</v>
      </c>
      <c r="AG155" s="183"/>
      <c r="AH155" s="182"/>
      <c r="AI155" s="182"/>
      <c r="AJ155" s="182"/>
      <c r="AK155" s="182"/>
      <c r="AL155" s="182"/>
      <c r="AM155" s="182"/>
      <c r="AN155" s="182"/>
      <c r="AO155" s="182"/>
      <c r="AP155" s="182"/>
      <c r="AQ155" s="182"/>
      <c r="AR155" s="182"/>
      <c r="AS155" s="182"/>
      <c r="AT155" s="182"/>
      <c r="AU155" s="182"/>
      <c r="AV155" s="182"/>
      <c r="AW155" s="182"/>
      <c r="AX155" s="182"/>
      <c r="AY155" s="182"/>
      <c r="AZ155" s="182"/>
      <c r="BA155" s="182"/>
      <c r="BB155" s="182"/>
      <c r="BC155" s="182"/>
      <c r="BD155" s="182"/>
      <c r="BE155" s="182"/>
      <c r="BF155" s="182"/>
      <c r="BG155" s="182"/>
      <c r="BH155" s="182"/>
      <c r="BI155" s="182"/>
      <c r="BJ155" s="182"/>
      <c r="BK155" s="182"/>
      <c r="BL155" s="182"/>
      <c r="BM155" s="182"/>
      <c r="BN155" s="182"/>
      <c r="BO155" s="182"/>
      <c r="BP155" s="182"/>
      <c r="BQ155" s="182"/>
      <c r="BR155" s="182"/>
      <c r="BS155" s="182"/>
      <c r="BT155" s="182"/>
      <c r="BU155" s="228">
        <v>2.8639999999999999</v>
      </c>
      <c r="BV155" s="228">
        <v>2.0059999999999998</v>
      </c>
      <c r="BW155" s="228">
        <v>2.5840000000000001</v>
      </c>
      <c r="BX155" s="228">
        <v>1.177</v>
      </c>
      <c r="BY155" s="228">
        <v>1.5369999999999999</v>
      </c>
      <c r="BZ155" s="228">
        <v>1.601</v>
      </c>
      <c r="CA155" s="228">
        <v>1.5509999999999999</v>
      </c>
      <c r="CB155" s="228">
        <v>1.18</v>
      </c>
      <c r="CC155" s="228">
        <v>1.68</v>
      </c>
      <c r="CD155" s="228">
        <v>1.4710000000000001</v>
      </c>
      <c r="CE155" s="228">
        <v>1.41</v>
      </c>
      <c r="CF155" s="228">
        <v>2.4119999999999999</v>
      </c>
      <c r="CG155" s="228">
        <v>4.2130000000000001</v>
      </c>
      <c r="CH155" s="228">
        <v>3.7530000000000001</v>
      </c>
      <c r="CI155" s="228">
        <v>3.4889999999999999</v>
      </c>
      <c r="CJ155" s="228">
        <v>2.657</v>
      </c>
      <c r="CK155" s="228">
        <f>18.924-SUM(CH155:CJ155)</f>
        <v>9.0249999999999986</v>
      </c>
      <c r="CL155" s="228">
        <v>3.7040000000000002</v>
      </c>
      <c r="CM155" s="228">
        <v>3.84</v>
      </c>
      <c r="CN155" s="228">
        <v>3.6389999999999998</v>
      </c>
      <c r="CO155" s="228">
        <v>3.145</v>
      </c>
      <c r="CP155" s="228">
        <v>2.8620000000000001</v>
      </c>
      <c r="CQ155" s="228">
        <v>3.343</v>
      </c>
      <c r="CR155" s="228">
        <v>4.2960000000000003</v>
      </c>
      <c r="CS155" s="228">
        <v>5.8289999999999997</v>
      </c>
      <c r="CT155" s="228">
        <v>5.4660000000000002</v>
      </c>
      <c r="CU155" s="228">
        <v>6.7519999999999998</v>
      </c>
      <c r="CV155" s="228">
        <v>13.409000000000001</v>
      </c>
      <c r="CW155" s="228">
        <v>8.4979999999999993</v>
      </c>
      <c r="CX155" s="228">
        <v>6.7320000000000002</v>
      </c>
      <c r="CY155" s="228">
        <v>5.88</v>
      </c>
      <c r="CZ155" s="228">
        <v>13.771000000000001</v>
      </c>
      <c r="DA155" s="228">
        <v>11.211</v>
      </c>
      <c r="DB155" s="228">
        <v>7.2830000000000004</v>
      </c>
      <c r="DC155" s="228">
        <v>8.1310000000000002</v>
      </c>
      <c r="DD155" s="228">
        <v>12.817</v>
      </c>
      <c r="DE155" s="228">
        <v>5.4870000000000001</v>
      </c>
      <c r="DF155" s="228">
        <v>5.798</v>
      </c>
      <c r="DG155" s="228">
        <v>4.2670000000000003</v>
      </c>
      <c r="DH155" s="228">
        <v>3.55</v>
      </c>
      <c r="DI155" s="228">
        <v>4.7309999999999999</v>
      </c>
      <c r="DJ155" s="228">
        <v>6.2590000000000003</v>
      </c>
      <c r="DK155" s="228">
        <v>6.13</v>
      </c>
      <c r="DL155" s="228">
        <v>4.0449999999999999</v>
      </c>
      <c r="DM155" s="228">
        <v>3.2669999999999999</v>
      </c>
      <c r="DN155" s="228">
        <v>2.766</v>
      </c>
      <c r="DO155" s="228">
        <v>2.766</v>
      </c>
      <c r="DP155" s="228">
        <v>5.3639999999999999</v>
      </c>
      <c r="DQ155" s="228">
        <v>5.9569999999999999</v>
      </c>
      <c r="DR155" s="228">
        <v>5.4749999999999996</v>
      </c>
      <c r="DS155" s="228">
        <v>5.306</v>
      </c>
      <c r="DT155" s="228">
        <v>9.4659999999999993</v>
      </c>
      <c r="DU155" s="228">
        <v>12.621</v>
      </c>
      <c r="DV155" s="228">
        <v>6.3310000000000004</v>
      </c>
      <c r="DW155" s="228">
        <v>6.0860000000000003</v>
      </c>
      <c r="DX155" s="228">
        <v>5.27</v>
      </c>
      <c r="DY155" s="228">
        <v>5.4509999999999996</v>
      </c>
      <c r="DZ155" s="228">
        <v>4.431</v>
      </c>
      <c r="EA155" s="228">
        <v>6.0659999999999998</v>
      </c>
      <c r="EB155" s="228">
        <v>5.181</v>
      </c>
      <c r="EC155" s="228">
        <v>5.9</v>
      </c>
      <c r="ED155" s="228">
        <v>4.0979999999999999</v>
      </c>
      <c r="EE155" s="228">
        <f t="shared" ref="EE155:EP155" si="488">ED155</f>
        <v>4.0979999999999999</v>
      </c>
      <c r="EF155" s="228">
        <f t="shared" si="488"/>
        <v>4.0979999999999999</v>
      </c>
      <c r="EG155" s="228">
        <f t="shared" si="488"/>
        <v>4.0979999999999999</v>
      </c>
      <c r="EH155" s="228">
        <f t="shared" si="488"/>
        <v>4.0979999999999999</v>
      </c>
      <c r="EI155" s="228">
        <f t="shared" si="488"/>
        <v>4.0979999999999999</v>
      </c>
      <c r="EJ155" s="228">
        <f t="shared" si="488"/>
        <v>4.0979999999999999</v>
      </c>
      <c r="EK155" s="228">
        <f t="shared" si="488"/>
        <v>4.0979999999999999</v>
      </c>
      <c r="EL155" s="228">
        <f t="shared" si="488"/>
        <v>4.0979999999999999</v>
      </c>
      <c r="EM155" s="228">
        <f t="shared" si="488"/>
        <v>4.0979999999999999</v>
      </c>
      <c r="EN155" s="228">
        <f t="shared" si="488"/>
        <v>4.0979999999999999</v>
      </c>
      <c r="EO155" s="228">
        <f t="shared" si="488"/>
        <v>4.0979999999999999</v>
      </c>
      <c r="EP155" s="228">
        <f t="shared" si="488"/>
        <v>4.0979999999999999</v>
      </c>
      <c r="ES155" s="355">
        <f t="shared" si="436"/>
        <v>150</v>
      </c>
      <c r="ET155"/>
      <c r="EU155"/>
      <c r="EV155"/>
      <c r="EW155"/>
      <c r="EX155"/>
      <c r="EY155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</row>
    <row r="156" spans="1:257" s="10" customFormat="1" hidden="1" outlineLevel="2">
      <c r="A156" s="9"/>
      <c r="B156" s="196" t="s">
        <v>159</v>
      </c>
      <c r="C156" s="226"/>
      <c r="D156" s="226"/>
      <c r="E156" s="226">
        <f>60.328-E123</f>
        <v>60.328000000000003</v>
      </c>
      <c r="F156" s="226">
        <f>86.521-F123</f>
        <v>86.521000000000001</v>
      </c>
      <c r="G156" s="226">
        <f>93.89-G123</f>
        <v>93.89</v>
      </c>
      <c r="H156" s="226">
        <f>108.336-H123</f>
        <v>108.336</v>
      </c>
      <c r="I156" s="226">
        <f>140.294-I123</f>
        <v>140.29400000000001</v>
      </c>
      <c r="J156" s="226">
        <f>181.143-J123</f>
        <v>181.143</v>
      </c>
      <c r="K156" s="226">
        <f>216.104-K123</f>
        <v>216.10400000000001</v>
      </c>
      <c r="L156" s="226">
        <f>217.579-L123</f>
        <v>217.57900000000001</v>
      </c>
      <c r="M156" s="227">
        <f>336.886-M123</f>
        <v>336.88600000000002</v>
      </c>
      <c r="N156" s="225">
        <f>SUM(N154:N155)</f>
        <v>7.8833269999999978</v>
      </c>
      <c r="O156" s="225">
        <f t="shared" ref="O156:AF156" si="489">O12</f>
        <v>112.633</v>
      </c>
      <c r="P156" s="225">
        <f t="shared" si="489"/>
        <v>84.238</v>
      </c>
      <c r="Q156" s="225">
        <f t="shared" si="489"/>
        <v>84.921000000000006</v>
      </c>
      <c r="R156" s="225">
        <f t="shared" si="489"/>
        <v>138.279</v>
      </c>
      <c r="S156" s="225">
        <f t="shared" si="489"/>
        <v>123.148</v>
      </c>
      <c r="T156" s="225">
        <f t="shared" si="489"/>
        <v>154.452</v>
      </c>
      <c r="U156" s="225">
        <f t="shared" si="489"/>
        <v>204.702</v>
      </c>
      <c r="V156" s="225">
        <f t="shared" si="489"/>
        <v>202.73400000000001</v>
      </c>
      <c r="W156" s="225">
        <f t="shared" si="489"/>
        <v>201.417</v>
      </c>
      <c r="X156" s="225">
        <f t="shared" si="489"/>
        <v>189.08599999999998</v>
      </c>
      <c r="Y156" s="225">
        <f t="shared" si="489"/>
        <v>221.863</v>
      </c>
      <c r="Z156" s="225">
        <f t="shared" si="489"/>
        <v>250.81100000000001</v>
      </c>
      <c r="AA156" s="225">
        <f t="shared" si="489"/>
        <v>241.04300000000001</v>
      </c>
      <c r="AB156" s="225">
        <f t="shared" si="489"/>
        <v>138.60100000000003</v>
      </c>
      <c r="AC156" s="225">
        <f t="shared" si="489"/>
        <v>136.26300000000001</v>
      </c>
      <c r="AD156" s="225">
        <f t="shared" si="489"/>
        <v>123.52104337599999</v>
      </c>
      <c r="AE156" s="225">
        <f t="shared" si="489"/>
        <v>142.53296323035812</v>
      </c>
      <c r="AF156" s="225">
        <f t="shared" si="489"/>
        <v>161.90293075629452</v>
      </c>
      <c r="AG156" s="162"/>
      <c r="AH156" s="217"/>
      <c r="AI156" s="217"/>
      <c r="AJ156" s="217"/>
      <c r="AK156" s="217"/>
      <c r="AL156" s="217"/>
      <c r="AM156" s="217"/>
      <c r="AN156" s="217"/>
      <c r="AO156" s="217"/>
      <c r="AP156" s="217"/>
      <c r="AQ156" s="217"/>
      <c r="AR156" s="217"/>
      <c r="AS156" s="217"/>
      <c r="AT156" s="217"/>
      <c r="AU156" s="217"/>
      <c r="AV156" s="217"/>
      <c r="AW156" s="217"/>
      <c r="AX156" s="217"/>
      <c r="AY156" s="217"/>
      <c r="AZ156" s="217"/>
      <c r="BA156" s="217"/>
      <c r="BB156" s="217"/>
      <c r="BC156" s="217"/>
      <c r="BD156" s="217"/>
      <c r="BE156" s="217"/>
      <c r="BF156" s="217"/>
      <c r="BG156" s="217"/>
      <c r="BH156" s="217"/>
      <c r="BI156" s="217"/>
      <c r="BJ156" s="217"/>
      <c r="BK156" s="217"/>
      <c r="BL156" s="217"/>
      <c r="BM156" s="217"/>
      <c r="BN156" s="217"/>
      <c r="BO156" s="217"/>
      <c r="BP156" s="217"/>
      <c r="BQ156" s="217"/>
      <c r="BR156" s="217"/>
      <c r="BS156" s="161"/>
      <c r="BT156" s="161"/>
      <c r="BU156" s="226">
        <f t="shared" ref="BU156:CZ156" si="490">BU12</f>
        <v>30.766999999999999</v>
      </c>
      <c r="BV156" s="226">
        <f t="shared" si="490"/>
        <v>27.710999999999999</v>
      </c>
      <c r="BW156" s="226">
        <f t="shared" si="490"/>
        <v>28.079000000000001</v>
      </c>
      <c r="BX156" s="226">
        <f t="shared" si="490"/>
        <v>30.596</v>
      </c>
      <c r="BY156" s="226">
        <f t="shared" si="490"/>
        <v>26.247</v>
      </c>
      <c r="BZ156" s="226">
        <f t="shared" si="490"/>
        <v>20.702000000000002</v>
      </c>
      <c r="CA156" s="226">
        <f t="shared" si="490"/>
        <v>18.675000000000001</v>
      </c>
      <c r="CB156" s="226">
        <f t="shared" si="490"/>
        <v>21.26</v>
      </c>
      <c r="CC156" s="226">
        <f t="shared" si="490"/>
        <v>23.600999999999999</v>
      </c>
      <c r="CD156" s="226">
        <f t="shared" si="490"/>
        <v>20.356000000000002</v>
      </c>
      <c r="CE156" s="226">
        <f t="shared" si="490"/>
        <v>18.649000000000001</v>
      </c>
      <c r="CF156" s="226">
        <f t="shared" si="490"/>
        <v>19.905000000000001</v>
      </c>
      <c r="CG156" s="226">
        <f t="shared" si="490"/>
        <v>26.010999999999999</v>
      </c>
      <c r="CH156" s="226">
        <f t="shared" si="490"/>
        <v>29.52</v>
      </c>
      <c r="CI156" s="226">
        <f t="shared" si="490"/>
        <v>33.703000000000003</v>
      </c>
      <c r="CJ156" s="226">
        <f t="shared" si="490"/>
        <v>34.567999999999998</v>
      </c>
      <c r="CK156" s="226">
        <f t="shared" si="490"/>
        <v>40.488</v>
      </c>
      <c r="CL156" s="226">
        <f t="shared" si="490"/>
        <v>35.753999999999998</v>
      </c>
      <c r="CM156" s="226">
        <f t="shared" si="490"/>
        <v>28.702999999999999</v>
      </c>
      <c r="CN156" s="226">
        <f t="shared" si="490"/>
        <v>29.626000000000001</v>
      </c>
      <c r="CO156" s="226">
        <f t="shared" si="490"/>
        <v>29.065000000000001</v>
      </c>
      <c r="CP156" s="226">
        <f t="shared" si="490"/>
        <v>27.280999999999999</v>
      </c>
      <c r="CQ156" s="226">
        <f t="shared" si="490"/>
        <v>29.789000000000001</v>
      </c>
      <c r="CR156" s="226">
        <f t="shared" si="490"/>
        <v>47.298000000000002</v>
      </c>
      <c r="CS156" s="226">
        <f t="shared" si="490"/>
        <v>50.084000000000003</v>
      </c>
      <c r="CT156" s="226">
        <f t="shared" si="490"/>
        <v>50.488</v>
      </c>
      <c r="CU156" s="226">
        <f t="shared" si="490"/>
        <v>51.331000000000003</v>
      </c>
      <c r="CV156" s="226">
        <f t="shared" si="490"/>
        <v>55.604999999999997</v>
      </c>
      <c r="CW156" s="226">
        <f t="shared" si="490"/>
        <v>47.277999999999999</v>
      </c>
      <c r="CX156" s="226">
        <f t="shared" si="490"/>
        <v>52.29</v>
      </c>
      <c r="CY156" s="226">
        <f t="shared" si="490"/>
        <v>47.765000000000001</v>
      </c>
      <c r="CZ156" s="226">
        <f t="shared" si="490"/>
        <v>53.131</v>
      </c>
      <c r="DA156" s="226">
        <f t="shared" ref="DA156:ED156" si="491">DA12</f>
        <v>49.548000000000002</v>
      </c>
      <c r="DB156" s="226">
        <f t="shared" si="491"/>
        <v>44.866999999999997</v>
      </c>
      <c r="DC156" s="226">
        <f t="shared" si="491"/>
        <v>50.585999999999999</v>
      </c>
      <c r="DD156" s="226">
        <f t="shared" si="491"/>
        <v>54.569000000000003</v>
      </c>
      <c r="DE156" s="226">
        <f t="shared" si="491"/>
        <v>51.395000000000003</v>
      </c>
      <c r="DF156" s="226">
        <f t="shared" si="491"/>
        <v>50.792000000000002</v>
      </c>
      <c r="DG156" s="226">
        <f t="shared" si="491"/>
        <v>43.420999999999999</v>
      </c>
      <c r="DH156" s="226">
        <f t="shared" si="491"/>
        <v>41.616999999999997</v>
      </c>
      <c r="DI156" s="226">
        <f t="shared" si="491"/>
        <v>53.256</v>
      </c>
      <c r="DJ156" s="226">
        <f t="shared" si="491"/>
        <v>57.718000000000004</v>
      </c>
      <c r="DK156" s="225">
        <f t="shared" si="491"/>
        <v>55.604999999999997</v>
      </c>
      <c r="DL156" s="225">
        <f t="shared" si="491"/>
        <v>53.859000000000002</v>
      </c>
      <c r="DM156" s="225">
        <f t="shared" si="491"/>
        <v>54.680999999999997</v>
      </c>
      <c r="DN156" s="225">
        <f t="shared" si="491"/>
        <v>59.054000000000002</v>
      </c>
      <c r="DO156" s="225">
        <f t="shared" si="491"/>
        <v>63.276000000000003</v>
      </c>
      <c r="DP156" s="225">
        <f t="shared" si="491"/>
        <v>64.554000000000002</v>
      </c>
      <c r="DQ156" s="225">
        <f t="shared" si="491"/>
        <v>63.927</v>
      </c>
      <c r="DR156" s="225">
        <f t="shared" si="491"/>
        <v>69.472999999999999</v>
      </c>
      <c r="DS156" s="225">
        <f t="shared" si="491"/>
        <v>62.625999999999998</v>
      </c>
      <c r="DT156" s="225">
        <f t="shared" si="491"/>
        <v>55.673000000000002</v>
      </c>
      <c r="DU156" s="225">
        <f t="shared" si="491"/>
        <v>53.271000000000001</v>
      </c>
      <c r="DV156" s="225">
        <f t="shared" si="491"/>
        <v>41.88</v>
      </c>
      <c r="DW156" s="225">
        <f t="shared" si="491"/>
        <v>34.325000000000003</v>
      </c>
      <c r="DX156" s="225">
        <f t="shared" si="491"/>
        <v>30.492000000000001</v>
      </c>
      <c r="DY156" s="225">
        <f t="shared" si="491"/>
        <v>31.904</v>
      </c>
      <c r="DZ156" s="225">
        <f t="shared" si="491"/>
        <v>33.811999999999998</v>
      </c>
      <c r="EA156" s="225">
        <f t="shared" si="491"/>
        <v>36.234999999999999</v>
      </c>
      <c r="EB156" s="225">
        <f t="shared" si="491"/>
        <v>33.710999999999999</v>
      </c>
      <c r="EC156" s="225">
        <f t="shared" si="491"/>
        <v>32.505000000000003</v>
      </c>
      <c r="ED156" s="225">
        <f t="shared" si="491"/>
        <v>33.366</v>
      </c>
      <c r="EE156" s="224">
        <f t="shared" ref="EE156:EP156" si="492">SUM(EE153:EE155)</f>
        <v>29.48404</v>
      </c>
      <c r="EF156" s="224">
        <f t="shared" si="492"/>
        <v>28.747595199999999</v>
      </c>
      <c r="EG156" s="224">
        <f t="shared" si="492"/>
        <v>31.923408176000002</v>
      </c>
      <c r="EH156" s="224">
        <f t="shared" si="492"/>
        <v>32.964480216879998</v>
      </c>
      <c r="EI156" s="224">
        <f t="shared" si="492"/>
        <v>34.416812617964396</v>
      </c>
      <c r="EJ156" s="224">
        <f t="shared" si="492"/>
        <v>36.509406681054216</v>
      </c>
      <c r="EK156" s="224">
        <f t="shared" si="492"/>
        <v>38.642263714459489</v>
      </c>
      <c r="EL156" s="224">
        <f t="shared" si="492"/>
        <v>40.535385033031787</v>
      </c>
      <c r="EM156" s="224">
        <f t="shared" si="492"/>
        <v>40.308771958196942</v>
      </c>
      <c r="EN156" s="224">
        <f t="shared" si="492"/>
        <v>40.362425817987926</v>
      </c>
      <c r="EO156" s="224">
        <f t="shared" si="492"/>
        <v>40.696347947077868</v>
      </c>
      <c r="EP156" s="224">
        <f t="shared" si="492"/>
        <v>40.750539686813255</v>
      </c>
      <c r="ES156" s="355">
        <f t="shared" si="436"/>
        <v>151</v>
      </c>
      <c r="ET156"/>
      <c r="EU156"/>
      <c r="EV156"/>
      <c r="EW156"/>
      <c r="EX156"/>
      <c r="EY156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</row>
    <row r="157" spans="1:257" s="10" customFormat="1" hidden="1" outlineLevel="2">
      <c r="A157" s="9"/>
      <c r="B157" s="54" t="s">
        <v>175</v>
      </c>
      <c r="C157" s="160"/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74">
        <f t="shared" ref="N157:AF157" si="493">SUMIF($AH$5:$ER$5,N$5,$AH157:$ER157)</f>
        <v>3.0317780000000019</v>
      </c>
      <c r="O157" s="223">
        <f t="shared" si="493"/>
        <v>13.486821000000003</v>
      </c>
      <c r="P157" s="223">
        <f t="shared" si="493"/>
        <v>12.503444000000002</v>
      </c>
      <c r="Q157" s="223">
        <f t="shared" si="493"/>
        <v>9.3992050000000003</v>
      </c>
      <c r="R157" s="223">
        <f t="shared" si="493"/>
        <v>8.090322000000004</v>
      </c>
      <c r="S157" s="223">
        <f t="shared" si="493"/>
        <v>25.059183000000001</v>
      </c>
      <c r="T157" s="223">
        <f t="shared" si="493"/>
        <v>15.706147999999995</v>
      </c>
      <c r="U157" s="176">
        <f t="shared" si="493"/>
        <v>18.891667999999996</v>
      </c>
      <c r="V157" s="176">
        <f t="shared" si="493"/>
        <v>28.542988000000001</v>
      </c>
      <c r="W157" s="176">
        <f t="shared" si="493"/>
        <v>26.907646</v>
      </c>
      <c r="X157" s="176">
        <f t="shared" si="493"/>
        <v>23.588595999999995</v>
      </c>
      <c r="Y157" s="176">
        <f t="shared" si="493"/>
        <v>16.533656000000001</v>
      </c>
      <c r="Z157" s="176">
        <f t="shared" si="493"/>
        <v>32.034999999999997</v>
      </c>
      <c r="AA157" s="176">
        <f t="shared" si="493"/>
        <v>41.706150999999991</v>
      </c>
      <c r="AB157" s="176">
        <f t="shared" si="493"/>
        <v>31.361727000000005</v>
      </c>
      <c r="AC157" s="176">
        <f t="shared" si="493"/>
        <v>22.276123999999996</v>
      </c>
      <c r="AD157" s="176">
        <f t="shared" si="493"/>
        <v>25.226572936442498</v>
      </c>
      <c r="AE157" s="176">
        <f t="shared" si="493"/>
        <v>25.734901010164883</v>
      </c>
      <c r="AF157" s="176">
        <f t="shared" si="493"/>
        <v>26.25347214905451</v>
      </c>
      <c r="AG157" s="222"/>
      <c r="AH157" s="160"/>
      <c r="AI157" s="160"/>
      <c r="AJ157" s="160"/>
      <c r="AK157" s="160"/>
      <c r="AL157" s="160"/>
      <c r="AM157" s="160"/>
      <c r="AN157" s="160"/>
      <c r="AO157" s="160"/>
      <c r="AP157" s="160"/>
      <c r="AQ157" s="160"/>
      <c r="AR157" s="160"/>
      <c r="AS157" s="160"/>
      <c r="AT157" s="160"/>
      <c r="AU157" s="160"/>
      <c r="AV157" s="160"/>
      <c r="AW157" s="160"/>
      <c r="AX157" s="160"/>
      <c r="AY157" s="160"/>
      <c r="AZ157" s="160"/>
      <c r="BA157" s="160"/>
      <c r="BB157" s="160"/>
      <c r="BC157" s="160"/>
      <c r="BD157" s="160"/>
      <c r="BE157" s="160"/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160"/>
      <c r="BP157" s="160"/>
      <c r="BQ157" s="160"/>
      <c r="BR157" s="160"/>
      <c r="BS157" s="160"/>
      <c r="BT157" s="160"/>
      <c r="BU157" s="62">
        <f t="shared" ref="BU157:CZ157" si="494">BU158-BU150*BU146/1000000-BU155</f>
        <v>3.0317780000000019</v>
      </c>
      <c r="BV157" s="62">
        <f t="shared" si="494"/>
        <v>3.881656</v>
      </c>
      <c r="BW157" s="62">
        <f t="shared" si="494"/>
        <v>3.2272399999999997</v>
      </c>
      <c r="BX157" s="62">
        <f t="shared" si="494"/>
        <v>3.494368000000001</v>
      </c>
      <c r="BY157" s="62">
        <f t="shared" si="494"/>
        <v>2.8835570000000006</v>
      </c>
      <c r="BZ157" s="62">
        <f t="shared" si="494"/>
        <v>3.0323599999999997</v>
      </c>
      <c r="CA157" s="62">
        <f t="shared" si="494"/>
        <v>2.857145</v>
      </c>
      <c r="CB157" s="62">
        <f t="shared" si="494"/>
        <v>3.0845160000000007</v>
      </c>
      <c r="CC157" s="62">
        <f t="shared" si="494"/>
        <v>3.5294230000000013</v>
      </c>
      <c r="CD157" s="62">
        <f t="shared" si="494"/>
        <v>3.3526869999999995</v>
      </c>
      <c r="CE157" s="62">
        <f t="shared" si="494"/>
        <v>2.8644000000000007</v>
      </c>
      <c r="CF157" s="62">
        <f t="shared" si="494"/>
        <v>1.6181699999999992</v>
      </c>
      <c r="CG157" s="62">
        <f t="shared" si="494"/>
        <v>1.5639480000000008</v>
      </c>
      <c r="CH157" s="62">
        <f t="shared" si="494"/>
        <v>1.7520159999999994</v>
      </c>
      <c r="CI157" s="62">
        <f t="shared" si="494"/>
        <v>1.8052420000000007</v>
      </c>
      <c r="CJ157" s="62">
        <f t="shared" si="494"/>
        <v>1.7161200000000001</v>
      </c>
      <c r="CK157" s="62">
        <f t="shared" si="494"/>
        <v>2.816944000000003</v>
      </c>
      <c r="CL157" s="62">
        <f t="shared" si="494"/>
        <v>6.3802120000000002</v>
      </c>
      <c r="CM157" s="62">
        <f t="shared" si="494"/>
        <v>6.4890299999999996</v>
      </c>
      <c r="CN157" s="62">
        <f t="shared" si="494"/>
        <v>6.2422360000000019</v>
      </c>
      <c r="CO157" s="62">
        <f t="shared" si="494"/>
        <v>5.9477049999999991</v>
      </c>
      <c r="CP157" s="62">
        <f t="shared" si="494"/>
        <v>3.8553999999999977</v>
      </c>
      <c r="CQ157" s="62">
        <f t="shared" si="494"/>
        <v>3.5949839999999984</v>
      </c>
      <c r="CR157" s="62">
        <f t="shared" si="494"/>
        <v>4.0455080000000008</v>
      </c>
      <c r="CS157" s="62">
        <f t="shared" si="494"/>
        <v>4.2102559999999984</v>
      </c>
      <c r="CT157" s="62">
        <f t="shared" si="494"/>
        <v>4.6370200000000006</v>
      </c>
      <c r="CU157" s="62">
        <f t="shared" si="494"/>
        <v>3.7703279999999983</v>
      </c>
      <c r="CV157" s="62">
        <f t="shared" si="494"/>
        <v>4.8623119999999975</v>
      </c>
      <c r="CW157" s="62">
        <f t="shared" si="494"/>
        <v>5.6220079999999992</v>
      </c>
      <c r="CX157" s="62">
        <f t="shared" si="494"/>
        <v>6.227199999999999</v>
      </c>
      <c r="CY157" s="62">
        <f t="shared" si="494"/>
        <v>7.1826800000000004</v>
      </c>
      <c r="CZ157" s="62">
        <f t="shared" si="494"/>
        <v>7.3798720000000024</v>
      </c>
      <c r="DA157" s="62">
        <f t="shared" ref="DA157:EC157" si="495">DA158-DA150*DA146/1000000-DA155</f>
        <v>7.7532359999999994</v>
      </c>
      <c r="DB157" s="62">
        <f t="shared" si="495"/>
        <v>7.6277049999999997</v>
      </c>
      <c r="DC157" s="62">
        <f t="shared" si="495"/>
        <v>8.0313200000000009</v>
      </c>
      <c r="DD157" s="62">
        <f t="shared" si="495"/>
        <v>5.6021140000000003</v>
      </c>
      <c r="DE157" s="62">
        <f t="shared" si="495"/>
        <v>5.6465070000000015</v>
      </c>
      <c r="DF157" s="62">
        <f t="shared" si="495"/>
        <v>5.4663190000000004</v>
      </c>
      <c r="DG157" s="62">
        <f t="shared" si="495"/>
        <v>6.0524689999999977</v>
      </c>
      <c r="DH157" s="62">
        <f t="shared" si="495"/>
        <v>7.864968000000002</v>
      </c>
      <c r="DI157" s="62">
        <f t="shared" si="495"/>
        <v>4.204839999999999</v>
      </c>
      <c r="DJ157" s="62">
        <f t="shared" si="495"/>
        <v>4.3386560000000003</v>
      </c>
      <c r="DK157" s="174">
        <f t="shared" si="495"/>
        <v>4.2734400000000035</v>
      </c>
      <c r="DL157" s="174">
        <f t="shared" si="495"/>
        <v>3.5099839999999976</v>
      </c>
      <c r="DM157" s="174">
        <f t="shared" si="495"/>
        <v>4.4115759999999966</v>
      </c>
      <c r="DN157" s="174">
        <f t="shared" si="495"/>
        <v>6.4552479999999992</v>
      </c>
      <c r="DO157" s="174">
        <f t="shared" si="495"/>
        <v>9.3775600000000008</v>
      </c>
      <c r="DP157" s="174">
        <f t="shared" si="495"/>
        <v>8.1687519999999978</v>
      </c>
      <c r="DQ157" s="174">
        <f t="shared" si="495"/>
        <v>8.0334399999999988</v>
      </c>
      <c r="DR157" s="174">
        <f t="shared" si="495"/>
        <v>10.765318999999996</v>
      </c>
      <c r="DS157" s="174">
        <f t="shared" si="495"/>
        <v>9.4240719999999989</v>
      </c>
      <c r="DT157" s="174">
        <f t="shared" si="495"/>
        <v>10.592495999999999</v>
      </c>
      <c r="DU157" s="174">
        <f t="shared" si="495"/>
        <v>10.924264000000003</v>
      </c>
      <c r="DV157" s="174">
        <f t="shared" si="495"/>
        <v>9.5224159999999998</v>
      </c>
      <c r="DW157" s="174">
        <f t="shared" si="495"/>
        <v>6.7043220000000012</v>
      </c>
      <c r="DX157" s="174">
        <f t="shared" si="495"/>
        <v>6.9887490000000003</v>
      </c>
      <c r="DY157" s="174">
        <f t="shared" si="495"/>
        <v>8.1462400000000024</v>
      </c>
      <c r="DZ157" s="174">
        <f t="shared" si="495"/>
        <v>4.9936839999999991</v>
      </c>
      <c r="EA157" s="174">
        <f t="shared" si="495"/>
        <v>4.9695449999999992</v>
      </c>
      <c r="EB157" s="174">
        <f t="shared" si="495"/>
        <v>5.294013999999998</v>
      </c>
      <c r="EC157" s="174">
        <f t="shared" si="495"/>
        <v>7.0188809999999986</v>
      </c>
      <c r="ED157" s="174">
        <f t="shared" ref="ED157" si="496">ED158-ED150*ED146/1000000-ED155</f>
        <v>6.2595400000000003</v>
      </c>
      <c r="EE157" s="221">
        <f t="shared" ref="EE157:EP157" si="497">ED157*1.005</f>
        <v>6.2908377</v>
      </c>
      <c r="EF157" s="221">
        <f t="shared" si="497"/>
        <v>6.3222918884999997</v>
      </c>
      <c r="EG157" s="221">
        <f t="shared" si="497"/>
        <v>6.3539033479424987</v>
      </c>
      <c r="EH157" s="221">
        <f t="shared" si="497"/>
        <v>6.3856728646822107</v>
      </c>
      <c r="EI157" s="221">
        <f t="shared" si="497"/>
        <v>6.417601229005621</v>
      </c>
      <c r="EJ157" s="221">
        <f t="shared" si="497"/>
        <v>6.4496892351506485</v>
      </c>
      <c r="EK157" s="221">
        <f t="shared" si="497"/>
        <v>6.4819376813264009</v>
      </c>
      <c r="EL157" s="221">
        <f t="shared" si="497"/>
        <v>6.5143473697330325</v>
      </c>
      <c r="EM157" s="221">
        <f t="shared" si="497"/>
        <v>6.5469191065816972</v>
      </c>
      <c r="EN157" s="221">
        <f t="shared" si="497"/>
        <v>6.5796537021146051</v>
      </c>
      <c r="EO157" s="221">
        <f t="shared" si="497"/>
        <v>6.6125519706251774</v>
      </c>
      <c r="EP157" s="221">
        <f t="shared" si="497"/>
        <v>6.6456147304783029</v>
      </c>
      <c r="ES157" s="355">
        <f t="shared" si="436"/>
        <v>152</v>
      </c>
      <c r="ET157"/>
      <c r="EU157"/>
      <c r="EV157"/>
      <c r="EW157"/>
      <c r="EX157"/>
      <c r="EY157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</row>
    <row r="158" spans="1:257" s="10" customFormat="1" hidden="1" outlineLevel="2">
      <c r="A158" s="9"/>
      <c r="B158" s="54" t="s">
        <v>158</v>
      </c>
      <c r="C158" s="161"/>
      <c r="D158" s="161"/>
      <c r="E158" s="161"/>
      <c r="F158" s="161"/>
      <c r="G158" s="161"/>
      <c r="H158" s="161"/>
      <c r="I158" s="161"/>
      <c r="J158" s="161"/>
      <c r="K158" s="161"/>
      <c r="L158" s="161"/>
      <c r="M158" s="161"/>
      <c r="N158" s="176">
        <f t="shared" ref="N158:AF158" si="498">-N19</f>
        <v>79.301000000000002</v>
      </c>
      <c r="O158" s="176">
        <f t="shared" si="498"/>
        <v>60.588999999999999</v>
      </c>
      <c r="P158" s="176">
        <f t="shared" si="498"/>
        <v>52.987000000000002</v>
      </c>
      <c r="Q158" s="176">
        <f t="shared" si="498"/>
        <v>52.786000000000001</v>
      </c>
      <c r="R158" s="176">
        <f t="shared" si="498"/>
        <v>92.956999999999994</v>
      </c>
      <c r="S158" s="176">
        <f t="shared" si="498"/>
        <v>85.555999999999997</v>
      </c>
      <c r="T158" s="176">
        <f t="shared" si="498"/>
        <v>104.45400000000001</v>
      </c>
      <c r="U158" s="176">
        <f t="shared" si="498"/>
        <v>133.44200000000001</v>
      </c>
      <c r="V158" s="176">
        <f t="shared" si="498"/>
        <v>131.27100000000002</v>
      </c>
      <c r="W158" s="176">
        <f t="shared" si="498"/>
        <v>135.36799999999999</v>
      </c>
      <c r="X158" s="176">
        <f t="shared" si="498"/>
        <v>126.47</v>
      </c>
      <c r="Y158" s="176">
        <f t="shared" si="498"/>
        <v>146.184</v>
      </c>
      <c r="Z158" s="176">
        <f t="shared" si="498"/>
        <v>158.834</v>
      </c>
      <c r="AA158" s="176">
        <f t="shared" si="498"/>
        <v>158.13800000000001</v>
      </c>
      <c r="AB158" s="176">
        <f t="shared" si="498"/>
        <v>105.34031299999999</v>
      </c>
      <c r="AC158" s="176">
        <f t="shared" si="498"/>
        <v>96.593000000000004</v>
      </c>
      <c r="AD158" s="176">
        <f t="shared" si="498"/>
        <v>82.878032936442494</v>
      </c>
      <c r="AE158" s="176">
        <f t="shared" si="498"/>
        <v>94.60190101016488</v>
      </c>
      <c r="AF158" s="176">
        <f t="shared" si="498"/>
        <v>106.69547214905452</v>
      </c>
      <c r="AG158" s="162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17"/>
      <c r="BS158" s="161"/>
      <c r="BT158" s="161"/>
      <c r="BU158" s="161">
        <f t="shared" ref="BU158:CZ158" si="499">-BU19</f>
        <v>17.257000000000001</v>
      </c>
      <c r="BV158" s="161">
        <f t="shared" si="499"/>
        <v>16.099</v>
      </c>
      <c r="BW158" s="161">
        <f t="shared" si="499"/>
        <v>15.42</v>
      </c>
      <c r="BX158" s="161">
        <f t="shared" si="499"/>
        <v>15.621</v>
      </c>
      <c r="BY158" s="161">
        <f t="shared" si="499"/>
        <v>13.449</v>
      </c>
      <c r="BZ158" s="161">
        <f t="shared" si="499"/>
        <v>12.722</v>
      </c>
      <c r="CA158" s="161">
        <f t="shared" si="499"/>
        <v>10.997</v>
      </c>
      <c r="CB158" s="161">
        <f t="shared" si="499"/>
        <v>13.615</v>
      </c>
      <c r="CC158" s="161">
        <f t="shared" si="499"/>
        <v>15.653</v>
      </c>
      <c r="CD158" s="161">
        <f t="shared" si="499"/>
        <v>12.847</v>
      </c>
      <c r="CE158" s="161">
        <f t="shared" si="499"/>
        <v>10.992000000000001</v>
      </c>
      <c r="CF158" s="161">
        <f t="shared" si="499"/>
        <v>11.504</v>
      </c>
      <c r="CG158" s="161">
        <f t="shared" si="499"/>
        <v>17.443000000000001</v>
      </c>
      <c r="CH158" s="161">
        <f t="shared" si="499"/>
        <v>20.308</v>
      </c>
      <c r="CI158" s="161">
        <f t="shared" si="499"/>
        <v>21.82</v>
      </c>
      <c r="CJ158" s="161">
        <f t="shared" si="499"/>
        <v>22.725999999999999</v>
      </c>
      <c r="CK158" s="161">
        <f t="shared" si="499"/>
        <v>28.103000000000002</v>
      </c>
      <c r="CL158" s="161">
        <f t="shared" si="499"/>
        <v>24.138000000000002</v>
      </c>
      <c r="CM158" s="161">
        <f t="shared" si="499"/>
        <v>20.709</v>
      </c>
      <c r="CN158" s="161">
        <f t="shared" si="499"/>
        <v>21.748000000000001</v>
      </c>
      <c r="CO158" s="161">
        <f t="shared" si="499"/>
        <v>18.960999999999999</v>
      </c>
      <c r="CP158" s="161">
        <f t="shared" si="499"/>
        <v>19.210999999999999</v>
      </c>
      <c r="CQ158" s="161">
        <f t="shared" si="499"/>
        <v>21.917999999999999</v>
      </c>
      <c r="CR158" s="161">
        <f t="shared" si="499"/>
        <v>31.166</v>
      </c>
      <c r="CS158" s="161">
        <f t="shared" si="499"/>
        <v>32.158999999999999</v>
      </c>
      <c r="CT158" s="161">
        <f t="shared" si="499"/>
        <v>31.762</v>
      </c>
      <c r="CU158" s="161">
        <f t="shared" si="499"/>
        <v>31.402999999999999</v>
      </c>
      <c r="CV158" s="161">
        <f t="shared" si="499"/>
        <v>38.853999999999999</v>
      </c>
      <c r="CW158" s="161">
        <f t="shared" si="499"/>
        <v>31.422999999999998</v>
      </c>
      <c r="CX158" s="161">
        <f t="shared" si="499"/>
        <v>32.576000000000001</v>
      </c>
      <c r="CY158" s="161">
        <f t="shared" si="499"/>
        <v>29.696000000000002</v>
      </c>
      <c r="CZ158" s="161">
        <f t="shared" si="499"/>
        <v>37.328000000000003</v>
      </c>
      <c r="DA158" s="161">
        <f t="shared" ref="DA158:EC158" si="500">-DA19</f>
        <v>31.670999999999999</v>
      </c>
      <c r="DB158" s="161">
        <f t="shared" si="500"/>
        <v>30.927</v>
      </c>
      <c r="DC158" s="161">
        <f t="shared" si="500"/>
        <v>33.936</v>
      </c>
      <c r="DD158" s="161">
        <f t="shared" si="500"/>
        <v>36.664000000000001</v>
      </c>
      <c r="DE158" s="161">
        <f t="shared" si="500"/>
        <v>33.841000000000001</v>
      </c>
      <c r="DF158" s="161">
        <f t="shared" si="500"/>
        <v>33.201000000000001</v>
      </c>
      <c r="DG158" s="161">
        <f t="shared" si="500"/>
        <v>28.472999999999999</v>
      </c>
      <c r="DH158" s="161">
        <f t="shared" si="500"/>
        <v>28.972000000000001</v>
      </c>
      <c r="DI158" s="161">
        <f t="shared" si="500"/>
        <v>35.823999999999998</v>
      </c>
      <c r="DJ158" s="161">
        <f t="shared" si="500"/>
        <v>37.207000000000001</v>
      </c>
      <c r="DK158" s="176">
        <f t="shared" si="500"/>
        <v>36.106000000000002</v>
      </c>
      <c r="DL158" s="176">
        <f t="shared" si="500"/>
        <v>33.960999999999999</v>
      </c>
      <c r="DM158" s="176">
        <f t="shared" si="500"/>
        <v>38.909999999999997</v>
      </c>
      <c r="DN158" s="176">
        <f t="shared" si="500"/>
        <v>34.875999999999998</v>
      </c>
      <c r="DO158" s="176">
        <f t="shared" si="500"/>
        <v>38.478999999999999</v>
      </c>
      <c r="DP158" s="176">
        <f t="shared" si="500"/>
        <v>42.445999999999998</v>
      </c>
      <c r="DQ158" s="176">
        <f t="shared" si="500"/>
        <v>43.033000000000001</v>
      </c>
      <c r="DR158" s="176">
        <f t="shared" si="500"/>
        <v>44.238999999999997</v>
      </c>
      <c r="DS158" s="176">
        <f t="shared" si="500"/>
        <v>39.433</v>
      </c>
      <c r="DT158" s="176">
        <f t="shared" si="500"/>
        <v>37.58</v>
      </c>
      <c r="DU158" s="176">
        <f t="shared" si="500"/>
        <v>36.886000000000003</v>
      </c>
      <c r="DV158" s="176">
        <f t="shared" si="500"/>
        <v>30.292999999999999</v>
      </c>
      <c r="DW158" s="176">
        <f t="shared" si="500"/>
        <v>26.693933000000001</v>
      </c>
      <c r="DX158" s="176">
        <f t="shared" si="500"/>
        <v>23.461668</v>
      </c>
      <c r="DY158" s="176">
        <f t="shared" si="500"/>
        <v>24.891712000000002</v>
      </c>
      <c r="DZ158" s="176">
        <f t="shared" si="500"/>
        <v>22.844999999999999</v>
      </c>
      <c r="EA158" s="176">
        <f t="shared" si="500"/>
        <v>26.023</v>
      </c>
      <c r="EB158" s="176">
        <f t="shared" si="500"/>
        <v>23.655999999999999</v>
      </c>
      <c r="EC158" s="176">
        <f t="shared" si="500"/>
        <v>24.068999999999999</v>
      </c>
      <c r="ED158" s="176">
        <f t="shared" ref="ED158" si="501">-ED19</f>
        <v>21.122</v>
      </c>
      <c r="EE158" s="174">
        <f t="shared" ref="EE158:EP158" si="502">EE146*EE150/1000000+EE155+EE157</f>
        <v>20.288837700000002</v>
      </c>
      <c r="EF158" s="174">
        <f t="shared" si="502"/>
        <v>19.975291888499999</v>
      </c>
      <c r="EG158" s="174">
        <f t="shared" si="502"/>
        <v>21.491903347942497</v>
      </c>
      <c r="EH158" s="174">
        <f t="shared" si="502"/>
        <v>21.983672864682209</v>
      </c>
      <c r="EI158" s="174">
        <f t="shared" si="502"/>
        <v>22.890601229005618</v>
      </c>
      <c r="EJ158" s="174">
        <f t="shared" si="502"/>
        <v>24.197689235150648</v>
      </c>
      <c r="EK158" s="174">
        <f t="shared" si="502"/>
        <v>25.529937681326398</v>
      </c>
      <c r="EL158" s="174">
        <f t="shared" si="502"/>
        <v>26.712347369733031</v>
      </c>
      <c r="EM158" s="174">
        <f t="shared" si="502"/>
        <v>26.569919106581697</v>
      </c>
      <c r="EN158" s="174">
        <f t="shared" si="502"/>
        <v>26.602653702114605</v>
      </c>
      <c r="EO158" s="174">
        <f t="shared" si="502"/>
        <v>26.810551970625177</v>
      </c>
      <c r="EP158" s="174">
        <f t="shared" si="502"/>
        <v>26.843614730478304</v>
      </c>
      <c r="ES158" s="355">
        <f t="shared" si="436"/>
        <v>153</v>
      </c>
      <c r="ET158"/>
      <c r="EU158"/>
      <c r="EV158"/>
      <c r="EW158"/>
      <c r="EX158"/>
      <c r="EY158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</row>
    <row r="159" spans="1:257" s="10" customFormat="1" hidden="1" outlineLevel="2">
      <c r="A159" s="9"/>
      <c r="B159" s="37" t="s">
        <v>157</v>
      </c>
      <c r="C159" s="161"/>
      <c r="D159" s="161"/>
      <c r="E159" s="161"/>
      <c r="F159" s="161"/>
      <c r="G159" s="161"/>
      <c r="H159" s="161"/>
      <c r="I159" s="161"/>
      <c r="J159" s="161"/>
      <c r="K159" s="161"/>
      <c r="L159" s="161"/>
      <c r="M159" s="161"/>
      <c r="N159" s="161">
        <f t="shared" ref="N159:W160" si="503">SUMIF($AH$5:$ER$5,N$5,$AH159:$ER159)</f>
        <v>0.78400000000000003</v>
      </c>
      <c r="O159" s="161">
        <f t="shared" si="503"/>
        <v>2.9390000000000001</v>
      </c>
      <c r="P159" s="161">
        <f t="shared" si="503"/>
        <v>3.2560000000000002</v>
      </c>
      <c r="Q159" s="161">
        <f t="shared" si="503"/>
        <v>3.8249999999999993</v>
      </c>
      <c r="R159" s="161">
        <f t="shared" si="503"/>
        <v>5.9819999999999993</v>
      </c>
      <c r="S159" s="161">
        <f t="shared" si="503"/>
        <v>4.8239999999999998</v>
      </c>
      <c r="T159" s="161">
        <f t="shared" si="503"/>
        <v>4.452</v>
      </c>
      <c r="U159" s="161">
        <f t="shared" si="503"/>
        <v>4.0949999999999998</v>
      </c>
      <c r="V159" s="161">
        <f t="shared" si="503"/>
        <v>5.8209999999999997</v>
      </c>
      <c r="W159" s="161">
        <f t="shared" si="503"/>
        <v>6.0739999999999998</v>
      </c>
      <c r="X159" s="161">
        <f t="shared" ref="X159:AF160" si="504">SUMIF($AH$5:$ER$5,X$5,$AH159:$ER159)</f>
        <v>7.386000000000001</v>
      </c>
      <c r="Y159" s="161">
        <f t="shared" si="504"/>
        <v>8.8490000000000002</v>
      </c>
      <c r="Z159" s="161">
        <f t="shared" si="504"/>
        <v>9.66</v>
      </c>
      <c r="AA159" s="161">
        <f t="shared" si="504"/>
        <v>3.5169999999999999</v>
      </c>
      <c r="AB159" s="220">
        <f t="shared" si="504"/>
        <v>3.464</v>
      </c>
      <c r="AC159" s="220">
        <f t="shared" si="504"/>
        <v>3.7050000000000001</v>
      </c>
      <c r="AD159" s="220">
        <f t="shared" si="504"/>
        <v>4.5437703016241304</v>
      </c>
      <c r="AE159" s="220">
        <f t="shared" si="504"/>
        <v>4.6187846448665901</v>
      </c>
      <c r="AF159" s="220">
        <f t="shared" si="504"/>
        <v>4.8063258227745997</v>
      </c>
      <c r="AG159" s="162"/>
      <c r="AH159" s="217"/>
      <c r="AI159" s="217"/>
      <c r="AJ159" s="217"/>
      <c r="AK159" s="217"/>
      <c r="AL159" s="217"/>
      <c r="AM159" s="217"/>
      <c r="AN159" s="217"/>
      <c r="AO159" s="217"/>
      <c r="AP159" s="217"/>
      <c r="AQ159" s="217"/>
      <c r="AR159" s="217"/>
      <c r="AS159" s="217"/>
      <c r="AT159" s="217"/>
      <c r="AU159" s="217"/>
      <c r="AV159" s="217"/>
      <c r="AW159" s="217"/>
      <c r="AX159" s="217"/>
      <c r="AY159" s="217"/>
      <c r="AZ159" s="217"/>
      <c r="BA159" s="217"/>
      <c r="BB159" s="217"/>
      <c r="BC159" s="217"/>
      <c r="BD159" s="217"/>
      <c r="BE159" s="217"/>
      <c r="BF159" s="217"/>
      <c r="BG159" s="217"/>
      <c r="BH159" s="217"/>
      <c r="BI159" s="217"/>
      <c r="BJ159" s="217"/>
      <c r="BK159" s="217"/>
      <c r="BL159" s="217"/>
      <c r="BM159" s="217"/>
      <c r="BN159" s="217"/>
      <c r="BO159" s="217"/>
      <c r="BP159" s="217"/>
      <c r="BQ159" s="217"/>
      <c r="BR159" s="217"/>
      <c r="BS159" s="161"/>
      <c r="BT159" s="161"/>
      <c r="BU159" s="179">
        <v>0.78400000000000003</v>
      </c>
      <c r="BV159" s="179">
        <v>0.73899999999999999</v>
      </c>
      <c r="BW159" s="179">
        <v>0.84899999999999998</v>
      </c>
      <c r="BX159" s="179">
        <v>0.72499999999999998</v>
      </c>
      <c r="BY159" s="179">
        <v>0.626</v>
      </c>
      <c r="BZ159" s="179">
        <v>0.72899999999999998</v>
      </c>
      <c r="CA159" s="179">
        <v>0.76700000000000002</v>
      </c>
      <c r="CB159" s="179">
        <v>0.79200000000000004</v>
      </c>
      <c r="CC159" s="179">
        <v>0.96799999999999997</v>
      </c>
      <c r="CD159" s="179">
        <v>0.83399999999999996</v>
      </c>
      <c r="CE159" s="179">
        <v>0.81699999999999995</v>
      </c>
      <c r="CF159" s="179">
        <v>1.071</v>
      </c>
      <c r="CG159" s="179">
        <v>1.103</v>
      </c>
      <c r="CH159" s="179">
        <v>1.4370000000000001</v>
      </c>
      <c r="CI159" s="179">
        <v>1.8280000000000001</v>
      </c>
      <c r="CJ159" s="179">
        <v>1.319</v>
      </c>
      <c r="CK159" s="179">
        <v>1.3979999999999999</v>
      </c>
      <c r="CL159" s="179">
        <v>1.458</v>
      </c>
      <c r="CM159" s="179">
        <v>1.5</v>
      </c>
      <c r="CN159" s="179">
        <v>0.90700000000000003</v>
      </c>
      <c r="CO159" s="179">
        <v>0.95899999999999996</v>
      </c>
      <c r="CP159" s="179">
        <v>1.0980000000000001</v>
      </c>
      <c r="CQ159" s="179">
        <v>1.1140000000000001</v>
      </c>
      <c r="CR159" s="179">
        <v>1.276</v>
      </c>
      <c r="CS159" s="179">
        <v>0.96399999999999997</v>
      </c>
      <c r="CT159" s="179">
        <v>1.052</v>
      </c>
      <c r="CU159" s="179">
        <v>1.0640000000000001</v>
      </c>
      <c r="CV159" s="179">
        <v>1.004</v>
      </c>
      <c r="CW159" s="179">
        <v>0.97499999999999998</v>
      </c>
      <c r="CX159" s="179">
        <v>1.63</v>
      </c>
      <c r="CY159" s="179">
        <v>1.478</v>
      </c>
      <c r="CZ159" s="179">
        <v>1.329</v>
      </c>
      <c r="DA159" s="179">
        <v>1.3839999999999999</v>
      </c>
      <c r="DB159" s="179">
        <v>1.41</v>
      </c>
      <c r="DC159" s="179">
        <v>1.5529999999999999</v>
      </c>
      <c r="DD159" s="179">
        <v>1.532</v>
      </c>
      <c r="DE159" s="61">
        <v>1.579</v>
      </c>
      <c r="DF159" s="61">
        <v>1.732</v>
      </c>
      <c r="DG159" s="61">
        <v>1.9550000000000001</v>
      </c>
      <c r="DH159" s="61">
        <v>1.7250000000000001</v>
      </c>
      <c r="DI159" s="61">
        <v>1.974</v>
      </c>
      <c r="DJ159" s="61">
        <v>2.2349999999999999</v>
      </c>
      <c r="DK159" s="137">
        <v>2.1589999999999998</v>
      </c>
      <c r="DL159" s="137">
        <v>2.214</v>
      </c>
      <c r="DM159" s="137">
        <v>2.2410000000000001</v>
      </c>
      <c r="DN159" s="137">
        <v>2.33</v>
      </c>
      <c r="DO159" s="137">
        <v>2.33</v>
      </c>
      <c r="DP159" s="137">
        <v>2.2639999999999998</v>
      </c>
      <c r="DQ159" s="137">
        <v>2.7360000000000002</v>
      </c>
      <c r="DR159" s="137">
        <v>0.82599999999999996</v>
      </c>
      <c r="DS159" s="137">
        <v>0.95399999999999996</v>
      </c>
      <c r="DT159" s="137">
        <v>0.68799999999999994</v>
      </c>
      <c r="DU159" s="137">
        <v>1.0489999999999999</v>
      </c>
      <c r="DV159" s="137">
        <v>0.86199999999999999</v>
      </c>
      <c r="DW159" s="137">
        <v>0.83699999999999997</v>
      </c>
      <c r="DX159" s="137">
        <v>0.97499999999999998</v>
      </c>
      <c r="DY159" s="137">
        <v>0.79</v>
      </c>
      <c r="DZ159" s="137">
        <v>0.91600000000000004</v>
      </c>
      <c r="EA159" s="137">
        <v>0.90200000000000002</v>
      </c>
      <c r="EB159" s="137">
        <v>0.96899999999999997</v>
      </c>
      <c r="EC159" s="137">
        <v>0.91800000000000004</v>
      </c>
      <c r="ED159" s="137">
        <v>1.165</v>
      </c>
      <c r="EE159" s="137">
        <f t="shared" ref="EE159:EP159" si="505">EE201</f>
        <v>1.1262567672080432</v>
      </c>
      <c r="EF159" s="137">
        <f t="shared" si="505"/>
        <v>1.1262567672080432</v>
      </c>
      <c r="EG159" s="137">
        <f t="shared" si="505"/>
        <v>1.1262567672080432</v>
      </c>
      <c r="EH159" s="137">
        <f t="shared" si="505"/>
        <v>1.1375193348801238</v>
      </c>
      <c r="EI159" s="137">
        <f t="shared" si="505"/>
        <v>1.1488945282289251</v>
      </c>
      <c r="EJ159" s="137">
        <f t="shared" si="505"/>
        <v>1.1603834735112144</v>
      </c>
      <c r="EK159" s="137">
        <f t="shared" si="505"/>
        <v>1.1719873082463266</v>
      </c>
      <c r="EL159" s="137">
        <f t="shared" si="505"/>
        <v>1.1837071813287898</v>
      </c>
      <c r="EM159" s="137">
        <f t="shared" si="505"/>
        <v>1.1955442531420777</v>
      </c>
      <c r="EN159" s="137">
        <f t="shared" si="505"/>
        <v>1.2074996956734985</v>
      </c>
      <c r="EO159" s="137">
        <f t="shared" si="505"/>
        <v>1.2195746926302333</v>
      </c>
      <c r="EP159" s="137">
        <f t="shared" si="505"/>
        <v>1.2317704395565356</v>
      </c>
      <c r="ES159" s="355">
        <f t="shared" si="436"/>
        <v>154</v>
      </c>
      <c r="ET159"/>
      <c r="EU159"/>
      <c r="EV159"/>
      <c r="EW159"/>
      <c r="EX159"/>
      <c r="EY159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</row>
    <row r="160" spans="1:257" s="10" customFormat="1" hidden="1" outlineLevel="2">
      <c r="A160" s="9"/>
      <c r="B160" s="65" t="s">
        <v>138</v>
      </c>
      <c r="C160" s="161"/>
      <c r="D160" s="161"/>
      <c r="E160" s="161"/>
      <c r="F160" s="161"/>
      <c r="G160" s="161"/>
      <c r="H160" s="161"/>
      <c r="I160" s="161"/>
      <c r="J160" s="161"/>
      <c r="K160" s="161"/>
      <c r="L160" s="161"/>
      <c r="M160" s="161"/>
      <c r="N160" s="161">
        <f t="shared" si="503"/>
        <v>3.1120000000000001</v>
      </c>
      <c r="O160" s="161">
        <f t="shared" si="503"/>
        <v>12.798999999999999</v>
      </c>
      <c r="P160" s="161">
        <f t="shared" si="503"/>
        <v>12.106999999999999</v>
      </c>
      <c r="Q160" s="161">
        <f t="shared" si="503"/>
        <v>10.602</v>
      </c>
      <c r="R160" s="161">
        <f t="shared" si="503"/>
        <v>11.372</v>
      </c>
      <c r="S160" s="161">
        <f t="shared" si="503"/>
        <v>10.687000000000001</v>
      </c>
      <c r="T160" s="161">
        <f t="shared" si="503"/>
        <v>12.152000000000001</v>
      </c>
      <c r="U160" s="161">
        <f t="shared" si="503"/>
        <v>11.872</v>
      </c>
      <c r="V160" s="161">
        <f t="shared" si="503"/>
        <v>12.519000000000002</v>
      </c>
      <c r="W160" s="161">
        <f t="shared" si="503"/>
        <v>14.684000000000001</v>
      </c>
      <c r="X160" s="161">
        <f t="shared" si="504"/>
        <v>13.455000000000002</v>
      </c>
      <c r="Y160" s="161">
        <f t="shared" si="504"/>
        <v>13.766</v>
      </c>
      <c r="Z160" s="161">
        <f t="shared" si="504"/>
        <v>12.724</v>
      </c>
      <c r="AA160" s="161">
        <f t="shared" si="504"/>
        <v>11.658999999999999</v>
      </c>
      <c r="AB160" s="220">
        <f t="shared" si="504"/>
        <v>12.495000000000001</v>
      </c>
      <c r="AC160" s="220">
        <f t="shared" si="504"/>
        <v>11.763999999999999</v>
      </c>
      <c r="AD160" s="220">
        <f t="shared" si="504"/>
        <v>9.4180349614373053</v>
      </c>
      <c r="AE160" s="220">
        <f t="shared" si="504"/>
        <v>9.4540637419917353</v>
      </c>
      <c r="AF160" s="220">
        <f t="shared" si="504"/>
        <v>9.3002458831195547</v>
      </c>
      <c r="AG160" s="162"/>
      <c r="AH160" s="217"/>
      <c r="AI160" s="217"/>
      <c r="AJ160" s="217"/>
      <c r="AK160" s="217"/>
      <c r="AL160" s="217"/>
      <c r="AM160" s="217"/>
      <c r="AN160" s="217"/>
      <c r="AO160" s="217"/>
      <c r="AP160" s="217"/>
      <c r="AQ160" s="217"/>
      <c r="AR160" s="217"/>
      <c r="AS160" s="217"/>
      <c r="AT160" s="217"/>
      <c r="AU160" s="217"/>
      <c r="AV160" s="217"/>
      <c r="AW160" s="217"/>
      <c r="AX160" s="217"/>
      <c r="AY160" s="217"/>
      <c r="AZ160" s="217"/>
      <c r="BA160" s="217"/>
      <c r="BB160" s="217"/>
      <c r="BC160" s="217"/>
      <c r="BD160" s="217"/>
      <c r="BE160" s="217"/>
      <c r="BF160" s="217"/>
      <c r="BG160" s="217"/>
      <c r="BH160" s="217"/>
      <c r="BI160" s="217"/>
      <c r="BJ160" s="217"/>
      <c r="BK160" s="217"/>
      <c r="BL160" s="217"/>
      <c r="BM160" s="217"/>
      <c r="BN160" s="217"/>
      <c r="BO160" s="217"/>
      <c r="BP160" s="217"/>
      <c r="BQ160" s="217"/>
      <c r="BR160" s="217"/>
      <c r="BS160" s="161"/>
      <c r="BT160" s="161"/>
      <c r="BU160" s="179">
        <v>3.1120000000000001</v>
      </c>
      <c r="BV160" s="179">
        <v>3.1419999999999999</v>
      </c>
      <c r="BW160" s="179">
        <v>3.1869999999999998</v>
      </c>
      <c r="BX160" s="179">
        <v>3.1579999999999999</v>
      </c>
      <c r="BY160" s="179">
        <v>3.3119999999999998</v>
      </c>
      <c r="BZ160" s="179">
        <v>3.0390000000000001</v>
      </c>
      <c r="CA160" s="179">
        <v>3.0310000000000001</v>
      </c>
      <c r="CB160" s="179">
        <v>3.0329999999999999</v>
      </c>
      <c r="CC160" s="179">
        <v>3.004</v>
      </c>
      <c r="CD160" s="179">
        <v>2.5070000000000001</v>
      </c>
      <c r="CE160" s="179">
        <v>2.6680000000000001</v>
      </c>
      <c r="CF160" s="179">
        <v>2.6819999999999999</v>
      </c>
      <c r="CG160" s="179">
        <v>2.7450000000000001</v>
      </c>
      <c r="CH160" s="179">
        <v>2.6640000000000001</v>
      </c>
      <c r="CI160" s="179">
        <v>2.6859999999999999</v>
      </c>
      <c r="CJ160" s="179">
        <v>2.8879999999999999</v>
      </c>
      <c r="CK160" s="179">
        <v>3.1339999999999999</v>
      </c>
      <c r="CL160" s="179">
        <v>2.778</v>
      </c>
      <c r="CM160" s="179">
        <v>2.6890000000000001</v>
      </c>
      <c r="CN160" s="179">
        <v>2.4180000000000001</v>
      </c>
      <c r="CO160" s="179">
        <v>2.802</v>
      </c>
      <c r="CP160" s="179">
        <v>2.8580000000000001</v>
      </c>
      <c r="CQ160" s="179">
        <v>3.1539999999999999</v>
      </c>
      <c r="CR160" s="179">
        <v>2.843</v>
      </c>
      <c r="CS160" s="179">
        <v>3.2970000000000002</v>
      </c>
      <c r="CT160" s="179">
        <v>2.964</v>
      </c>
      <c r="CU160" s="179">
        <v>3.0270000000000001</v>
      </c>
      <c r="CV160" s="179">
        <v>3.024</v>
      </c>
      <c r="CW160" s="179">
        <v>2.8570000000000002</v>
      </c>
      <c r="CX160" s="179">
        <v>2.9780000000000002</v>
      </c>
      <c r="CY160" s="179">
        <v>2.9660000000000002</v>
      </c>
      <c r="CZ160" s="179">
        <v>3.1890000000000001</v>
      </c>
      <c r="DA160" s="179">
        <v>3.3860000000000001</v>
      </c>
      <c r="DB160" s="179">
        <v>3.53</v>
      </c>
      <c r="DC160" s="179">
        <v>3.621</v>
      </c>
      <c r="DD160" s="179">
        <v>3.4289999999999998</v>
      </c>
      <c r="DE160" s="74">
        <v>4.1040000000000001</v>
      </c>
      <c r="DF160" s="74">
        <v>3.6549999999999998</v>
      </c>
      <c r="DG160" s="74">
        <v>3.1749999999999998</v>
      </c>
      <c r="DH160" s="74">
        <v>3.2</v>
      </c>
      <c r="DI160" s="74">
        <v>3.4249999999999998</v>
      </c>
      <c r="DJ160" s="74">
        <v>3.27</v>
      </c>
      <c r="DK160" s="177">
        <v>3.69</v>
      </c>
      <c r="DL160" s="177">
        <v>3.5619999999999998</v>
      </c>
      <c r="DM160" s="177">
        <v>3.2440000000000002</v>
      </c>
      <c r="DN160" s="177">
        <v>3.35</v>
      </c>
      <c r="DO160" s="177">
        <v>3.35</v>
      </c>
      <c r="DP160" s="177">
        <v>2.8479999999999999</v>
      </c>
      <c r="DQ160" s="177">
        <v>3.1760000000000002</v>
      </c>
      <c r="DR160" s="177">
        <v>2.9239999999999999</v>
      </c>
      <c r="DS160" s="177">
        <v>3.17</v>
      </c>
      <c r="DT160" s="177">
        <v>2.6890000000000001</v>
      </c>
      <c r="DU160" s="177">
        <v>2.8759999999999999</v>
      </c>
      <c r="DV160" s="177">
        <v>3.0030000000000001</v>
      </c>
      <c r="DW160" s="177">
        <v>3.1240000000000001</v>
      </c>
      <c r="DX160" s="177">
        <v>3.1840000000000002</v>
      </c>
      <c r="DY160" s="177">
        <v>3.1840000000000002</v>
      </c>
      <c r="DZ160" s="177">
        <v>3.2669999999999999</v>
      </c>
      <c r="EA160" s="177">
        <v>3.3980000000000001</v>
      </c>
      <c r="EB160" s="177">
        <v>2.63</v>
      </c>
      <c r="EC160" s="177">
        <v>2.4689999999999999</v>
      </c>
      <c r="ED160" s="177">
        <v>2.3540000000000001</v>
      </c>
      <c r="EE160" s="177">
        <f t="shared" ref="EE160:EP160" si="506">EE208</f>
        <v>2.3551937207405174</v>
      </c>
      <c r="EF160" s="177">
        <f t="shared" si="506"/>
        <v>2.347516885357948</v>
      </c>
      <c r="EG160" s="177">
        <f t="shared" si="506"/>
        <v>2.3613243553388408</v>
      </c>
      <c r="EH160" s="177">
        <f t="shared" si="506"/>
        <v>2.3746094757528207</v>
      </c>
      <c r="EI160" s="177">
        <f t="shared" si="506"/>
        <v>2.3678273077091219</v>
      </c>
      <c r="EJ160" s="177">
        <f t="shared" si="506"/>
        <v>2.3607431387402795</v>
      </c>
      <c r="EK160" s="177">
        <f t="shared" si="506"/>
        <v>2.3508838197895146</v>
      </c>
      <c r="EL160" s="177">
        <f t="shared" si="506"/>
        <v>2.3407788107909711</v>
      </c>
      <c r="EM160" s="177">
        <f t="shared" si="506"/>
        <v>2.3304426926677611</v>
      </c>
      <c r="EN160" s="177">
        <f t="shared" si="506"/>
        <v>2.3198898618958115</v>
      </c>
      <c r="EO160" s="177">
        <f t="shared" si="506"/>
        <v>2.3091345177650124</v>
      </c>
      <c r="EP160" s="177">
        <f t="shared" si="506"/>
        <v>2.29819065029921</v>
      </c>
      <c r="ES160" s="355">
        <f t="shared" si="436"/>
        <v>155</v>
      </c>
      <c r="ET160"/>
      <c r="EU160"/>
      <c r="EV160"/>
      <c r="EW160"/>
      <c r="EX160"/>
      <c r="EY160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</row>
    <row r="161" spans="1:257" s="4" customFormat="1" hidden="1" outlineLevel="2">
      <c r="A161" s="15"/>
      <c r="B161" s="173" t="s">
        <v>156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72"/>
      <c r="N161" s="127"/>
      <c r="O161" s="127">
        <f t="shared" ref="O161:AF161" si="507">O156-SUM(O158:O160)</f>
        <v>36.305999999999997</v>
      </c>
      <c r="P161" s="127">
        <f t="shared" si="507"/>
        <v>15.888000000000005</v>
      </c>
      <c r="Q161" s="127">
        <f t="shared" si="507"/>
        <v>17.707999999999998</v>
      </c>
      <c r="R161" s="127">
        <f t="shared" si="507"/>
        <v>27.968000000000004</v>
      </c>
      <c r="S161" s="127">
        <f t="shared" si="507"/>
        <v>22.081000000000003</v>
      </c>
      <c r="T161" s="127">
        <f t="shared" si="507"/>
        <v>33.393999999999991</v>
      </c>
      <c r="U161" s="127">
        <f t="shared" si="507"/>
        <v>55.293000000000006</v>
      </c>
      <c r="V161" s="127">
        <f t="shared" si="507"/>
        <v>53.12299999999999</v>
      </c>
      <c r="W161" s="127">
        <f t="shared" si="507"/>
        <v>45.290999999999997</v>
      </c>
      <c r="X161" s="127">
        <f t="shared" si="507"/>
        <v>41.774999999999977</v>
      </c>
      <c r="Y161" s="127">
        <f t="shared" si="507"/>
        <v>53.064000000000021</v>
      </c>
      <c r="Z161" s="127">
        <f t="shared" si="507"/>
        <v>69.593000000000018</v>
      </c>
      <c r="AA161" s="127">
        <f t="shared" si="507"/>
        <v>67.729000000000013</v>
      </c>
      <c r="AB161" s="127">
        <f t="shared" si="507"/>
        <v>17.30168700000003</v>
      </c>
      <c r="AC161" s="127">
        <f t="shared" si="507"/>
        <v>24.201000000000008</v>
      </c>
      <c r="AD161" s="127">
        <f t="shared" si="507"/>
        <v>26.681205176496064</v>
      </c>
      <c r="AE161" s="127">
        <f t="shared" si="507"/>
        <v>33.858213833334915</v>
      </c>
      <c r="AF161" s="127">
        <f t="shared" si="507"/>
        <v>41.100886901345845</v>
      </c>
      <c r="AG161" s="165"/>
      <c r="AH161" s="219"/>
      <c r="AI161" s="219"/>
      <c r="AJ161" s="219"/>
      <c r="AK161" s="219"/>
      <c r="AL161" s="219"/>
      <c r="AM161" s="219"/>
      <c r="AN161" s="219"/>
      <c r="AO161" s="219"/>
      <c r="AP161" s="219"/>
      <c r="AQ161" s="219"/>
      <c r="AR161" s="219"/>
      <c r="AS161" s="219"/>
      <c r="AT161" s="219"/>
      <c r="AU161" s="219"/>
      <c r="AV161" s="219"/>
      <c r="AW161" s="219"/>
      <c r="AX161" s="219"/>
      <c r="AY161" s="219"/>
      <c r="AZ161" s="219"/>
      <c r="BA161" s="219"/>
      <c r="BB161" s="219"/>
      <c r="BC161" s="219"/>
      <c r="BD161" s="219"/>
      <c r="BE161" s="219"/>
      <c r="BF161" s="219"/>
      <c r="BG161" s="219"/>
      <c r="BH161" s="219"/>
      <c r="BI161" s="219"/>
      <c r="BJ161" s="219"/>
      <c r="BK161" s="219"/>
      <c r="BL161" s="219"/>
      <c r="BM161" s="219"/>
      <c r="BN161" s="219"/>
      <c r="BO161" s="219"/>
      <c r="BP161" s="219"/>
      <c r="BQ161" s="219"/>
      <c r="BR161" s="219"/>
      <c r="BS161" s="127"/>
      <c r="BT161" s="127"/>
      <c r="BU161" s="127">
        <f t="shared" ref="BU161:CZ161" si="508">BU156-SUM(BU158:BU160)</f>
        <v>9.6140000000000008</v>
      </c>
      <c r="BV161" s="127">
        <f t="shared" si="508"/>
        <v>7.7309999999999981</v>
      </c>
      <c r="BW161" s="127">
        <f t="shared" si="508"/>
        <v>8.6230000000000011</v>
      </c>
      <c r="BX161" s="127">
        <f t="shared" si="508"/>
        <v>11.091999999999999</v>
      </c>
      <c r="BY161" s="127">
        <f t="shared" si="508"/>
        <v>8.86</v>
      </c>
      <c r="BZ161" s="127">
        <f t="shared" si="508"/>
        <v>4.2120000000000033</v>
      </c>
      <c r="CA161" s="127">
        <f t="shared" si="508"/>
        <v>3.8800000000000008</v>
      </c>
      <c r="CB161" s="127">
        <f t="shared" si="508"/>
        <v>3.8200000000000003</v>
      </c>
      <c r="CC161" s="127">
        <f t="shared" si="508"/>
        <v>3.9759999999999955</v>
      </c>
      <c r="CD161" s="127">
        <f t="shared" si="508"/>
        <v>4.1680000000000028</v>
      </c>
      <c r="CE161" s="127">
        <f t="shared" si="508"/>
        <v>4.1720000000000006</v>
      </c>
      <c r="CF161" s="127">
        <f t="shared" si="508"/>
        <v>4.6480000000000015</v>
      </c>
      <c r="CG161" s="127">
        <f t="shared" si="508"/>
        <v>4.7199999999999953</v>
      </c>
      <c r="CH161" s="127">
        <f t="shared" si="508"/>
        <v>5.1109999999999971</v>
      </c>
      <c r="CI161" s="127">
        <f t="shared" si="508"/>
        <v>7.3690000000000033</v>
      </c>
      <c r="CJ161" s="127">
        <f t="shared" si="508"/>
        <v>7.634999999999998</v>
      </c>
      <c r="CK161" s="127">
        <f t="shared" si="508"/>
        <v>7.8530000000000015</v>
      </c>
      <c r="CL161" s="127">
        <f t="shared" si="508"/>
        <v>7.379999999999999</v>
      </c>
      <c r="CM161" s="127">
        <f t="shared" si="508"/>
        <v>3.8049999999999997</v>
      </c>
      <c r="CN161" s="127">
        <f t="shared" si="508"/>
        <v>4.5530000000000008</v>
      </c>
      <c r="CO161" s="127">
        <f t="shared" si="508"/>
        <v>6.3430000000000035</v>
      </c>
      <c r="CP161" s="127">
        <f t="shared" si="508"/>
        <v>4.1140000000000008</v>
      </c>
      <c r="CQ161" s="127">
        <f t="shared" si="508"/>
        <v>3.6030000000000015</v>
      </c>
      <c r="CR161" s="127">
        <f t="shared" si="508"/>
        <v>12.013000000000005</v>
      </c>
      <c r="CS161" s="127">
        <f t="shared" si="508"/>
        <v>13.664000000000009</v>
      </c>
      <c r="CT161" s="127">
        <f t="shared" si="508"/>
        <v>14.71</v>
      </c>
      <c r="CU161" s="127">
        <f t="shared" si="508"/>
        <v>15.837000000000003</v>
      </c>
      <c r="CV161" s="127">
        <f t="shared" si="508"/>
        <v>12.722999999999999</v>
      </c>
      <c r="CW161" s="127">
        <f t="shared" si="508"/>
        <v>12.023000000000003</v>
      </c>
      <c r="CX161" s="127">
        <f t="shared" si="508"/>
        <v>15.105999999999995</v>
      </c>
      <c r="CY161" s="127">
        <f t="shared" si="508"/>
        <v>13.625</v>
      </c>
      <c r="CZ161" s="127">
        <f t="shared" si="508"/>
        <v>11.284999999999997</v>
      </c>
      <c r="DA161" s="127">
        <f t="shared" ref="DA161:EF161" si="509">DA156-SUM(DA158:DA160)</f>
        <v>13.106999999999999</v>
      </c>
      <c r="DB161" s="127">
        <f t="shared" si="509"/>
        <v>9</v>
      </c>
      <c r="DC161" s="127">
        <f t="shared" si="509"/>
        <v>11.475999999999999</v>
      </c>
      <c r="DD161" s="127">
        <f t="shared" si="509"/>
        <v>12.944000000000003</v>
      </c>
      <c r="DE161" s="127">
        <f t="shared" si="509"/>
        <v>11.871000000000002</v>
      </c>
      <c r="DF161" s="127">
        <f t="shared" si="509"/>
        <v>12.204000000000001</v>
      </c>
      <c r="DG161" s="127">
        <f t="shared" si="509"/>
        <v>9.8180000000000049</v>
      </c>
      <c r="DH161" s="127">
        <f t="shared" si="509"/>
        <v>7.7199999999999918</v>
      </c>
      <c r="DI161" s="127">
        <f t="shared" si="509"/>
        <v>12.033000000000008</v>
      </c>
      <c r="DJ161" s="127">
        <f t="shared" si="509"/>
        <v>15.006</v>
      </c>
      <c r="DK161" s="169">
        <f t="shared" si="509"/>
        <v>13.649999999999999</v>
      </c>
      <c r="DL161" s="169">
        <f t="shared" si="509"/>
        <v>14.122000000000007</v>
      </c>
      <c r="DM161" s="169">
        <f t="shared" si="509"/>
        <v>10.286000000000001</v>
      </c>
      <c r="DN161" s="169">
        <f t="shared" si="509"/>
        <v>18.498000000000005</v>
      </c>
      <c r="DO161" s="169">
        <f t="shared" si="509"/>
        <v>19.117000000000004</v>
      </c>
      <c r="DP161" s="169">
        <f t="shared" si="509"/>
        <v>16.996000000000002</v>
      </c>
      <c r="DQ161" s="169">
        <f t="shared" si="509"/>
        <v>14.981999999999999</v>
      </c>
      <c r="DR161" s="169">
        <f t="shared" si="509"/>
        <v>21.484000000000002</v>
      </c>
      <c r="DS161" s="169">
        <f t="shared" si="509"/>
        <v>19.068999999999996</v>
      </c>
      <c r="DT161" s="169">
        <f t="shared" si="509"/>
        <v>14.716000000000001</v>
      </c>
      <c r="DU161" s="169">
        <f t="shared" si="509"/>
        <v>12.46</v>
      </c>
      <c r="DV161" s="169">
        <f t="shared" si="509"/>
        <v>7.7220000000000013</v>
      </c>
      <c r="DW161" s="169">
        <f t="shared" si="509"/>
        <v>3.6700670000000031</v>
      </c>
      <c r="DX161" s="169">
        <f t="shared" si="509"/>
        <v>2.8713319999999989</v>
      </c>
      <c r="DY161" s="169">
        <f t="shared" si="509"/>
        <v>3.0382879999999979</v>
      </c>
      <c r="DZ161" s="169">
        <f t="shared" si="509"/>
        <v>6.7839999999999989</v>
      </c>
      <c r="EA161" s="169">
        <f t="shared" si="509"/>
        <v>5.911999999999999</v>
      </c>
      <c r="EB161" s="169">
        <f t="shared" si="509"/>
        <v>6.4559999999999995</v>
      </c>
      <c r="EC161" s="169">
        <f t="shared" si="509"/>
        <v>5.049000000000003</v>
      </c>
      <c r="ED161" s="169">
        <f t="shared" si="509"/>
        <v>8.7250000000000014</v>
      </c>
      <c r="EE161" s="169">
        <f t="shared" si="509"/>
        <v>5.7137518120514379</v>
      </c>
      <c r="EF161" s="169">
        <f t="shared" si="509"/>
        <v>5.2985296589340081</v>
      </c>
      <c r="EG161" s="169">
        <f t="shared" ref="EG161:EP161" si="510">EG156-SUM(EG158:EG160)</f>
        <v>6.9439237055106204</v>
      </c>
      <c r="EH161" s="169">
        <f t="shared" si="510"/>
        <v>7.4686785415648451</v>
      </c>
      <c r="EI161" s="169">
        <f t="shared" si="510"/>
        <v>8.0094895530207317</v>
      </c>
      <c r="EJ161" s="169">
        <f t="shared" si="510"/>
        <v>8.7905908336520753</v>
      </c>
      <c r="EK161" s="169">
        <f t="shared" si="510"/>
        <v>9.5894549050972486</v>
      </c>
      <c r="EL161" s="169">
        <f t="shared" si="510"/>
        <v>10.298551671178995</v>
      </c>
      <c r="EM161" s="169">
        <f t="shared" si="510"/>
        <v>10.212865905805408</v>
      </c>
      <c r="EN161" s="169">
        <f t="shared" si="510"/>
        <v>10.23238255830401</v>
      </c>
      <c r="EO161" s="169">
        <f t="shared" si="510"/>
        <v>10.357086766057446</v>
      </c>
      <c r="EP161" s="169">
        <f t="shared" si="510"/>
        <v>10.376963866479208</v>
      </c>
      <c r="ES161" s="355">
        <f t="shared" si="436"/>
        <v>156</v>
      </c>
      <c r="ET161"/>
      <c r="EU161"/>
      <c r="EV161"/>
      <c r="EW161"/>
      <c r="EX161"/>
      <c r="EY16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</row>
    <row r="162" spans="1:257" s="4" customFormat="1" hidden="1" outlineLevel="2">
      <c r="A162" s="15"/>
      <c r="B162" s="168"/>
      <c r="C162" s="167"/>
      <c r="D162" s="167"/>
      <c r="E162" s="167"/>
      <c r="F162" s="167"/>
      <c r="G162" s="167"/>
      <c r="H162" s="167"/>
      <c r="I162" s="167"/>
      <c r="J162" s="167"/>
      <c r="K162" s="167"/>
      <c r="L162" s="167"/>
      <c r="M162" s="167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  <c r="AH162" s="218"/>
      <c r="AI162" s="218"/>
      <c r="AJ162" s="218"/>
      <c r="AK162" s="218"/>
      <c r="AL162" s="218"/>
      <c r="AM162" s="218"/>
      <c r="AN162" s="218"/>
      <c r="AO162" s="218"/>
      <c r="AP162" s="218"/>
      <c r="AQ162" s="218"/>
      <c r="AR162" s="218"/>
      <c r="AS162" s="218"/>
      <c r="AT162" s="218"/>
      <c r="AU162" s="218"/>
      <c r="AV162" s="218"/>
      <c r="AW162" s="218"/>
      <c r="AX162" s="218"/>
      <c r="AY162" s="218"/>
      <c r="AZ162" s="218"/>
      <c r="BA162" s="218"/>
      <c r="BB162" s="218"/>
      <c r="BC162" s="218"/>
      <c r="BD162" s="218"/>
      <c r="BE162" s="218"/>
      <c r="BF162" s="218"/>
      <c r="BG162" s="218"/>
      <c r="BH162" s="218"/>
      <c r="BI162" s="218"/>
      <c r="BJ162" s="218"/>
      <c r="BK162" s="218"/>
      <c r="BL162" s="218"/>
      <c r="BM162" s="218"/>
      <c r="BN162" s="218"/>
      <c r="BO162" s="218"/>
      <c r="BP162" s="218"/>
      <c r="BQ162" s="218"/>
      <c r="BR162" s="218"/>
      <c r="BS162" s="165"/>
      <c r="BT162" s="165"/>
      <c r="BU162" s="165"/>
      <c r="BV162" s="165"/>
      <c r="BW162" s="165"/>
      <c r="BX162" s="165"/>
      <c r="BY162" s="165"/>
      <c r="BZ162" s="165"/>
      <c r="CA162" s="165"/>
      <c r="CB162" s="165"/>
      <c r="CC162" s="165"/>
      <c r="CD162" s="165"/>
      <c r="CE162" s="165"/>
      <c r="CF162" s="165"/>
      <c r="CG162" s="165"/>
      <c r="CH162" s="165"/>
      <c r="CI162" s="165"/>
      <c r="CJ162" s="165"/>
      <c r="CK162" s="165"/>
      <c r="CL162" s="165"/>
      <c r="CM162" s="165"/>
      <c r="CN162" s="165"/>
      <c r="CO162" s="165"/>
      <c r="CP162" s="165"/>
      <c r="CQ162" s="165"/>
      <c r="CR162" s="165"/>
      <c r="CS162" s="165"/>
      <c r="CT162" s="165"/>
      <c r="CU162" s="165"/>
      <c r="CV162" s="165"/>
      <c r="CW162" s="165"/>
      <c r="CX162" s="165"/>
      <c r="CY162" s="165"/>
      <c r="CZ162" s="165"/>
      <c r="DA162" s="165"/>
      <c r="DB162" s="165"/>
      <c r="DC162" s="165"/>
      <c r="DD162" s="165"/>
      <c r="DE162" s="165"/>
      <c r="DF162" s="165"/>
      <c r="DG162" s="165"/>
      <c r="DH162" s="165"/>
      <c r="DI162" s="165"/>
      <c r="DJ162" s="165"/>
      <c r="DK162" s="165"/>
      <c r="DL162" s="165"/>
      <c r="DM162" s="165"/>
      <c r="DN162" s="165"/>
      <c r="DO162" s="165"/>
      <c r="DP162" s="165"/>
      <c r="DQ162" s="165"/>
      <c r="DR162" s="165"/>
      <c r="DS162" s="165"/>
      <c r="DT162" s="165"/>
      <c r="DU162" s="165"/>
      <c r="DV162" s="165"/>
      <c r="DW162" s="165"/>
      <c r="DX162" s="165"/>
      <c r="DY162" s="165"/>
      <c r="DZ162" s="165"/>
      <c r="EA162" s="165"/>
      <c r="EB162" s="165"/>
      <c r="EC162" s="165"/>
      <c r="ED162" s="165"/>
      <c r="EE162" s="165"/>
      <c r="EF162" s="165"/>
      <c r="EG162" s="165"/>
      <c r="EH162" s="165"/>
      <c r="EI162" s="165"/>
      <c r="EJ162" s="165"/>
      <c r="EK162" s="165"/>
      <c r="EL162" s="165"/>
      <c r="EM162" s="165"/>
      <c r="EN162" s="165"/>
      <c r="EO162" s="165"/>
      <c r="EP162" s="165"/>
      <c r="ES162" s="355">
        <f t="shared" si="436"/>
        <v>157</v>
      </c>
      <c r="ET162"/>
      <c r="EU162"/>
      <c r="EV162"/>
      <c r="EW162"/>
      <c r="EX162"/>
      <c r="EY162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</row>
    <row r="163" spans="1:257" s="4" customFormat="1" hidden="1" outlineLevel="2">
      <c r="A163" s="15"/>
      <c r="B163" s="164" t="s">
        <v>155</v>
      </c>
      <c r="C163" s="161"/>
      <c r="D163" s="161"/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2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161"/>
      <c r="BT163" s="161"/>
      <c r="BU163" s="161"/>
      <c r="BV163" s="161"/>
      <c r="BW163" s="161"/>
      <c r="BX163" s="161"/>
      <c r="BY163" s="161"/>
      <c r="BZ163" s="161"/>
      <c r="CA163" s="161"/>
      <c r="CB163" s="161"/>
      <c r="CC163" s="161"/>
      <c r="CD163" s="161"/>
      <c r="CE163" s="161"/>
      <c r="CF163" s="161"/>
      <c r="CG163" s="161"/>
      <c r="CH163" s="161"/>
      <c r="CI163" s="161"/>
      <c r="CJ163" s="161"/>
      <c r="CK163" s="161"/>
      <c r="CL163" s="161"/>
      <c r="CM163" s="161"/>
      <c r="CN163" s="161"/>
      <c r="CO163" s="161"/>
      <c r="CP163" s="161"/>
      <c r="CQ163" s="161"/>
      <c r="CR163" s="161"/>
      <c r="CS163" s="161"/>
      <c r="CT163" s="161"/>
      <c r="CU163" s="161"/>
      <c r="CV163" s="161"/>
      <c r="CW163" s="161"/>
      <c r="CX163" s="161"/>
      <c r="CY163" s="161"/>
      <c r="CZ163" s="161"/>
      <c r="DA163" s="161"/>
      <c r="DB163" s="161"/>
      <c r="DC163" s="161"/>
      <c r="DD163" s="161"/>
      <c r="DE163" s="161"/>
      <c r="DF163" s="161"/>
      <c r="DG163" s="161"/>
      <c r="DH163" s="161"/>
      <c r="DI163" s="161"/>
      <c r="DJ163" s="161"/>
      <c r="DK163" s="161"/>
      <c r="DL163" s="161"/>
      <c r="DM163" s="161"/>
      <c r="DN163" s="161"/>
      <c r="DO163" s="161"/>
      <c r="DP163" s="161"/>
      <c r="DQ163" s="161"/>
      <c r="DR163" s="161"/>
      <c r="DS163" s="161"/>
      <c r="DT163" s="161"/>
      <c r="DU163" s="161"/>
      <c r="DV163" s="161"/>
      <c r="DW163" s="161"/>
      <c r="DX163" s="161"/>
      <c r="DY163" s="161"/>
      <c r="DZ163" s="161"/>
      <c r="EA163" s="161"/>
      <c r="EB163" s="161"/>
      <c r="EC163" s="161"/>
      <c r="ED163" s="161"/>
      <c r="EE163" s="62"/>
      <c r="EF163" s="62"/>
      <c r="EG163" s="62"/>
      <c r="EH163" s="62"/>
      <c r="EI163" s="62"/>
      <c r="EJ163" s="62"/>
      <c r="EK163" s="62"/>
      <c r="EL163" s="62"/>
      <c r="EM163" s="62"/>
      <c r="EN163" s="62"/>
      <c r="EO163" s="62"/>
      <c r="EP163" s="62"/>
      <c r="ES163" s="355">
        <f t="shared" si="436"/>
        <v>158</v>
      </c>
      <c r="ET163"/>
      <c r="EU163"/>
      <c r="EV163"/>
      <c r="EW163"/>
      <c r="EX163"/>
      <c r="EY163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</row>
    <row r="164" spans="1:257" s="4" customFormat="1" hidden="1" outlineLevel="2">
      <c r="A164" s="15"/>
      <c r="B164" s="54" t="s">
        <v>154</v>
      </c>
      <c r="C164" s="161"/>
      <c r="D164" s="161"/>
      <c r="E164" s="161"/>
      <c r="F164" s="161"/>
      <c r="G164" s="161"/>
      <c r="H164" s="161"/>
      <c r="I164" s="161"/>
      <c r="J164" s="161"/>
      <c r="K164" s="161"/>
      <c r="L164" s="161"/>
      <c r="M164" s="161"/>
      <c r="N164" s="161">
        <f t="shared" ref="N164:AF164" si="511">N156-N158</f>
        <v>-71.417673000000008</v>
      </c>
      <c r="O164" s="161">
        <f t="shared" si="511"/>
        <v>52.043999999999997</v>
      </c>
      <c r="P164" s="161">
        <f t="shared" si="511"/>
        <v>31.250999999999998</v>
      </c>
      <c r="Q164" s="161">
        <f t="shared" si="511"/>
        <v>32.135000000000005</v>
      </c>
      <c r="R164" s="161">
        <f t="shared" si="511"/>
        <v>45.322000000000003</v>
      </c>
      <c r="S164" s="161">
        <f t="shared" si="511"/>
        <v>37.591999999999999</v>
      </c>
      <c r="T164" s="161">
        <f t="shared" si="511"/>
        <v>49.99799999999999</v>
      </c>
      <c r="U164" s="161">
        <f t="shared" si="511"/>
        <v>71.259999999999991</v>
      </c>
      <c r="V164" s="161">
        <f t="shared" si="511"/>
        <v>71.462999999999994</v>
      </c>
      <c r="W164" s="161">
        <f t="shared" si="511"/>
        <v>66.049000000000007</v>
      </c>
      <c r="X164" s="161">
        <f t="shared" si="511"/>
        <v>62.615999999999985</v>
      </c>
      <c r="Y164" s="161">
        <f t="shared" si="511"/>
        <v>75.679000000000002</v>
      </c>
      <c r="Z164" s="161">
        <f t="shared" si="511"/>
        <v>91.977000000000004</v>
      </c>
      <c r="AA164" s="161">
        <f t="shared" si="511"/>
        <v>82.905000000000001</v>
      </c>
      <c r="AB164" s="161">
        <f t="shared" si="511"/>
        <v>33.260687000000033</v>
      </c>
      <c r="AC164" s="161">
        <f t="shared" si="511"/>
        <v>39.67</v>
      </c>
      <c r="AD164" s="161">
        <f t="shared" si="511"/>
        <v>40.6430104395575</v>
      </c>
      <c r="AE164" s="161">
        <f t="shared" si="511"/>
        <v>47.93106222019324</v>
      </c>
      <c r="AF164" s="161">
        <f t="shared" si="511"/>
        <v>55.20745860724</v>
      </c>
      <c r="AG164" s="162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  <c r="BS164" s="161"/>
      <c r="BT164" s="161"/>
      <c r="BU164" s="161">
        <f t="shared" ref="BU164:CZ164" si="512">BU156-BU158</f>
        <v>13.509999999999998</v>
      </c>
      <c r="BV164" s="161">
        <f t="shared" si="512"/>
        <v>11.611999999999998</v>
      </c>
      <c r="BW164" s="161">
        <f t="shared" si="512"/>
        <v>12.659000000000001</v>
      </c>
      <c r="BX164" s="161">
        <f t="shared" si="512"/>
        <v>14.975</v>
      </c>
      <c r="BY164" s="161">
        <f t="shared" si="512"/>
        <v>12.798</v>
      </c>
      <c r="BZ164" s="161">
        <f t="shared" si="512"/>
        <v>7.9800000000000022</v>
      </c>
      <c r="CA164" s="161">
        <f t="shared" si="512"/>
        <v>7.6780000000000008</v>
      </c>
      <c r="CB164" s="161">
        <f t="shared" si="512"/>
        <v>7.6450000000000014</v>
      </c>
      <c r="CC164" s="161">
        <f t="shared" si="512"/>
        <v>7.9479999999999986</v>
      </c>
      <c r="CD164" s="161">
        <f t="shared" si="512"/>
        <v>7.5090000000000021</v>
      </c>
      <c r="CE164" s="161">
        <f t="shared" si="512"/>
        <v>7.657</v>
      </c>
      <c r="CF164" s="161">
        <f t="shared" si="512"/>
        <v>8.4010000000000016</v>
      </c>
      <c r="CG164" s="161">
        <f t="shared" si="512"/>
        <v>8.5679999999999978</v>
      </c>
      <c r="CH164" s="161">
        <f t="shared" si="512"/>
        <v>9.2119999999999997</v>
      </c>
      <c r="CI164" s="161">
        <f t="shared" si="512"/>
        <v>11.883000000000003</v>
      </c>
      <c r="CJ164" s="161">
        <f t="shared" si="512"/>
        <v>11.841999999999999</v>
      </c>
      <c r="CK164" s="161">
        <f t="shared" si="512"/>
        <v>12.384999999999998</v>
      </c>
      <c r="CL164" s="161">
        <f t="shared" si="512"/>
        <v>11.615999999999996</v>
      </c>
      <c r="CM164" s="161">
        <f t="shared" si="512"/>
        <v>7.9939999999999998</v>
      </c>
      <c r="CN164" s="161">
        <f t="shared" si="512"/>
        <v>7.8780000000000001</v>
      </c>
      <c r="CO164" s="161">
        <f t="shared" si="512"/>
        <v>10.104000000000003</v>
      </c>
      <c r="CP164" s="161">
        <f t="shared" si="512"/>
        <v>8.07</v>
      </c>
      <c r="CQ164" s="161">
        <f t="shared" si="512"/>
        <v>7.8710000000000022</v>
      </c>
      <c r="CR164" s="161">
        <f t="shared" si="512"/>
        <v>16.132000000000001</v>
      </c>
      <c r="CS164" s="161">
        <f t="shared" si="512"/>
        <v>17.925000000000004</v>
      </c>
      <c r="CT164" s="161">
        <f t="shared" si="512"/>
        <v>18.725999999999999</v>
      </c>
      <c r="CU164" s="161">
        <f t="shared" si="512"/>
        <v>19.928000000000004</v>
      </c>
      <c r="CV164" s="161">
        <f t="shared" si="512"/>
        <v>16.750999999999998</v>
      </c>
      <c r="CW164" s="161">
        <f t="shared" si="512"/>
        <v>15.855</v>
      </c>
      <c r="CX164" s="161">
        <f t="shared" si="512"/>
        <v>19.713999999999999</v>
      </c>
      <c r="CY164" s="161">
        <f t="shared" si="512"/>
        <v>18.068999999999999</v>
      </c>
      <c r="CZ164" s="161">
        <f t="shared" si="512"/>
        <v>15.802999999999997</v>
      </c>
      <c r="DA164" s="161">
        <f t="shared" ref="DA164:EF164" si="513">DA156-DA158</f>
        <v>17.877000000000002</v>
      </c>
      <c r="DB164" s="161">
        <f t="shared" si="513"/>
        <v>13.939999999999998</v>
      </c>
      <c r="DC164" s="161">
        <f t="shared" si="513"/>
        <v>16.649999999999999</v>
      </c>
      <c r="DD164" s="161">
        <f t="shared" si="513"/>
        <v>17.905000000000001</v>
      </c>
      <c r="DE164" s="161">
        <f t="shared" si="513"/>
        <v>17.554000000000002</v>
      </c>
      <c r="DF164" s="161">
        <f t="shared" si="513"/>
        <v>17.591000000000001</v>
      </c>
      <c r="DG164" s="161">
        <f t="shared" si="513"/>
        <v>14.948</v>
      </c>
      <c r="DH164" s="161">
        <f t="shared" si="513"/>
        <v>12.644999999999996</v>
      </c>
      <c r="DI164" s="161">
        <f t="shared" si="513"/>
        <v>17.432000000000002</v>
      </c>
      <c r="DJ164" s="161">
        <f t="shared" si="513"/>
        <v>20.511000000000003</v>
      </c>
      <c r="DK164" s="161">
        <f t="shared" si="513"/>
        <v>19.498999999999995</v>
      </c>
      <c r="DL164" s="161">
        <f t="shared" si="513"/>
        <v>19.898000000000003</v>
      </c>
      <c r="DM164" s="161">
        <f t="shared" si="513"/>
        <v>15.771000000000001</v>
      </c>
      <c r="DN164" s="161">
        <f t="shared" si="513"/>
        <v>24.178000000000004</v>
      </c>
      <c r="DO164" s="161">
        <f t="shared" si="513"/>
        <v>24.797000000000004</v>
      </c>
      <c r="DP164" s="161">
        <f t="shared" si="513"/>
        <v>22.108000000000004</v>
      </c>
      <c r="DQ164" s="161">
        <f t="shared" si="513"/>
        <v>20.893999999999998</v>
      </c>
      <c r="DR164" s="161">
        <f t="shared" si="513"/>
        <v>25.234000000000002</v>
      </c>
      <c r="DS164" s="161">
        <f t="shared" si="513"/>
        <v>23.192999999999998</v>
      </c>
      <c r="DT164" s="161">
        <f t="shared" si="513"/>
        <v>18.093000000000004</v>
      </c>
      <c r="DU164" s="161">
        <f t="shared" si="513"/>
        <v>16.384999999999998</v>
      </c>
      <c r="DV164" s="161">
        <f t="shared" si="513"/>
        <v>11.587000000000003</v>
      </c>
      <c r="DW164" s="161">
        <f t="shared" si="513"/>
        <v>7.6310670000000016</v>
      </c>
      <c r="DX164" s="161">
        <f t="shared" si="513"/>
        <v>7.0303320000000014</v>
      </c>
      <c r="DY164" s="161">
        <f t="shared" si="513"/>
        <v>7.0122879999999981</v>
      </c>
      <c r="DZ164" s="161">
        <f t="shared" si="513"/>
        <v>10.966999999999999</v>
      </c>
      <c r="EA164" s="161">
        <f t="shared" si="513"/>
        <v>10.212</v>
      </c>
      <c r="EB164" s="161">
        <f t="shared" ref="EB164:EC164" si="514">EB156-EB158</f>
        <v>10.055</v>
      </c>
      <c r="EC164" s="161">
        <f t="shared" si="514"/>
        <v>8.4360000000000035</v>
      </c>
      <c r="ED164" s="161">
        <f t="shared" ref="ED164" si="515">ED156-ED158</f>
        <v>12.244</v>
      </c>
      <c r="EE164" s="161">
        <f t="shared" si="513"/>
        <v>9.1952022999999983</v>
      </c>
      <c r="EF164" s="161">
        <f t="shared" si="513"/>
        <v>8.7723033115</v>
      </c>
      <c r="EG164" s="161">
        <f t="shared" ref="EG164:EP164" si="516">EG156-EG158</f>
        <v>10.431504828057506</v>
      </c>
      <c r="EH164" s="161">
        <f t="shared" si="516"/>
        <v>10.98080735219779</v>
      </c>
      <c r="EI164" s="161">
        <f t="shared" si="516"/>
        <v>11.526211388958778</v>
      </c>
      <c r="EJ164" s="161">
        <f t="shared" si="516"/>
        <v>12.311717445903568</v>
      </c>
      <c r="EK164" s="161">
        <f t="shared" si="516"/>
        <v>13.11232603313309</v>
      </c>
      <c r="EL164" s="161">
        <f t="shared" si="516"/>
        <v>13.823037663298756</v>
      </c>
      <c r="EM164" s="161">
        <f t="shared" si="516"/>
        <v>13.738852851615245</v>
      </c>
      <c r="EN164" s="161">
        <f t="shared" si="516"/>
        <v>13.759772115873321</v>
      </c>
      <c r="EO164" s="161">
        <f t="shared" si="516"/>
        <v>13.885795976452691</v>
      </c>
      <c r="EP164" s="161">
        <f t="shared" si="516"/>
        <v>13.906924956334951</v>
      </c>
      <c r="ES164" s="355">
        <f t="shared" si="436"/>
        <v>159</v>
      </c>
      <c r="ET164"/>
      <c r="EU164"/>
      <c r="EV164"/>
      <c r="EW164"/>
      <c r="EX164"/>
      <c r="EY164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</row>
    <row r="165" spans="1:257" s="4" customFormat="1" hidden="1" outlineLevel="2">
      <c r="A165" s="15"/>
      <c r="B165" s="54" t="s">
        <v>153</v>
      </c>
      <c r="C165" s="161"/>
      <c r="D165" s="161"/>
      <c r="E165" s="161"/>
      <c r="F165" s="161"/>
      <c r="G165" s="161"/>
      <c r="H165" s="161"/>
      <c r="I165" s="161"/>
      <c r="J165" s="161"/>
      <c r="K165" s="161"/>
      <c r="L165" s="161"/>
      <c r="M165" s="161"/>
      <c r="N165" s="159"/>
      <c r="O165" s="159">
        <f t="shared" ref="O165:AF165" si="517">O164/O156</f>
        <v>0.46206706737812187</v>
      </c>
      <c r="P165" s="159">
        <f t="shared" si="517"/>
        <v>0.37098459127709582</v>
      </c>
      <c r="Q165" s="159">
        <f t="shared" si="517"/>
        <v>0.3784105227211173</v>
      </c>
      <c r="R165" s="159">
        <f t="shared" si="517"/>
        <v>0.3277576493900014</v>
      </c>
      <c r="S165" s="159">
        <f t="shared" si="517"/>
        <v>0.30525871309318869</v>
      </c>
      <c r="T165" s="159">
        <f t="shared" si="517"/>
        <v>0.32371222127262833</v>
      </c>
      <c r="U165" s="159">
        <f t="shared" si="517"/>
        <v>0.34811579759846017</v>
      </c>
      <c r="V165" s="159">
        <f t="shared" si="517"/>
        <v>0.3524963745597679</v>
      </c>
      <c r="W165" s="159">
        <f t="shared" si="517"/>
        <v>0.32792167493309904</v>
      </c>
      <c r="X165" s="159">
        <f t="shared" si="517"/>
        <v>0.33115090487926124</v>
      </c>
      <c r="Y165" s="159">
        <f t="shared" si="517"/>
        <v>0.34110689930272287</v>
      </c>
      <c r="Z165" s="159">
        <f t="shared" si="517"/>
        <v>0.3667183656219225</v>
      </c>
      <c r="AA165" s="159">
        <f t="shared" si="517"/>
        <v>0.34394278199325429</v>
      </c>
      <c r="AB165" s="159">
        <f t="shared" si="517"/>
        <v>0.23997436526432006</v>
      </c>
      <c r="AC165" s="159">
        <f t="shared" si="517"/>
        <v>0.29112818593455303</v>
      </c>
      <c r="AD165" s="159">
        <f t="shared" si="517"/>
        <v>0.32903713673984714</v>
      </c>
      <c r="AE165" s="159">
        <f t="shared" si="517"/>
        <v>0.33628054264702467</v>
      </c>
      <c r="AF165" s="159">
        <f t="shared" si="517"/>
        <v>0.34099110096000301</v>
      </c>
      <c r="AG165" s="41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  <c r="BE165" s="163"/>
      <c r="BF165" s="163"/>
      <c r="BG165" s="163"/>
      <c r="BH165" s="163"/>
      <c r="BI165" s="163"/>
      <c r="BJ165" s="163"/>
      <c r="BK165" s="163"/>
      <c r="BL165" s="163"/>
      <c r="BM165" s="163"/>
      <c r="BN165" s="163"/>
      <c r="BO165" s="163"/>
      <c r="BP165" s="163"/>
      <c r="BQ165" s="163"/>
      <c r="BR165" s="163"/>
      <c r="BS165" s="163"/>
      <c r="BT165" s="163"/>
      <c r="BU165" s="163">
        <f t="shared" ref="BU165:CZ165" si="518">BU164/BU156</f>
        <v>0.43910683524555527</v>
      </c>
      <c r="BV165" s="163">
        <f t="shared" si="518"/>
        <v>0.41903937064703545</v>
      </c>
      <c r="BW165" s="163">
        <f t="shared" si="518"/>
        <v>0.4508351437016988</v>
      </c>
      <c r="BX165" s="163">
        <f t="shared" si="518"/>
        <v>0.48944306445286967</v>
      </c>
      <c r="BY165" s="163">
        <f t="shared" si="518"/>
        <v>0.48759858269516515</v>
      </c>
      <c r="BZ165" s="163">
        <f t="shared" si="518"/>
        <v>0.38547000289827077</v>
      </c>
      <c r="CA165" s="163">
        <f t="shared" si="518"/>
        <v>0.41113788487282465</v>
      </c>
      <c r="CB165" s="163">
        <f t="shared" si="518"/>
        <v>0.3595954844778928</v>
      </c>
      <c r="CC165" s="163">
        <f t="shared" si="518"/>
        <v>0.33676539129697891</v>
      </c>
      <c r="CD165" s="163">
        <f t="shared" si="518"/>
        <v>0.36888386716447247</v>
      </c>
      <c r="CE165" s="163">
        <f t="shared" si="518"/>
        <v>0.41058501796342967</v>
      </c>
      <c r="CF165" s="163">
        <f t="shared" si="518"/>
        <v>0.42205476011052506</v>
      </c>
      <c r="CG165" s="163">
        <f t="shared" si="518"/>
        <v>0.32939910038060816</v>
      </c>
      <c r="CH165" s="163">
        <f t="shared" si="518"/>
        <v>0.31205962059620596</v>
      </c>
      <c r="CI165" s="163">
        <f t="shared" si="518"/>
        <v>0.35257988903065013</v>
      </c>
      <c r="CJ165" s="163">
        <f t="shared" si="518"/>
        <v>0.3425711640823883</v>
      </c>
      <c r="CK165" s="163">
        <f t="shared" si="518"/>
        <v>0.30589310412961862</v>
      </c>
      <c r="CL165" s="163">
        <f t="shared" si="518"/>
        <v>0.32488672596073159</v>
      </c>
      <c r="CM165" s="163">
        <f t="shared" si="518"/>
        <v>0.27850747308643697</v>
      </c>
      <c r="CN165" s="163">
        <f t="shared" si="518"/>
        <v>0.2659150745966381</v>
      </c>
      <c r="CO165" s="163">
        <f t="shared" si="518"/>
        <v>0.34763461207638063</v>
      </c>
      <c r="CP165" s="163">
        <f t="shared" si="518"/>
        <v>0.29581027088449841</v>
      </c>
      <c r="CQ165" s="163">
        <f t="shared" si="518"/>
        <v>0.26422504951492165</v>
      </c>
      <c r="CR165" s="163">
        <f t="shared" si="518"/>
        <v>0.34107150408051085</v>
      </c>
      <c r="CS165" s="163">
        <f t="shared" si="518"/>
        <v>0.35789873013337598</v>
      </c>
      <c r="CT165" s="163">
        <f t="shared" si="518"/>
        <v>0.37090001584534937</v>
      </c>
      <c r="CU165" s="163">
        <f t="shared" si="518"/>
        <v>0.38822543881864768</v>
      </c>
      <c r="CV165" s="163">
        <f t="shared" si="518"/>
        <v>0.30124988760003596</v>
      </c>
      <c r="CW165" s="163">
        <f t="shared" si="518"/>
        <v>0.33535682558483865</v>
      </c>
      <c r="CX165" s="163">
        <f t="shared" si="518"/>
        <v>0.37701281315739144</v>
      </c>
      <c r="CY165" s="163">
        <f t="shared" si="518"/>
        <v>0.37828954255207786</v>
      </c>
      <c r="CZ165" s="163">
        <f t="shared" si="518"/>
        <v>0.29743464267565067</v>
      </c>
      <c r="DA165" s="163">
        <f t="shared" ref="DA165:EF165" si="519">DA164/DA156</f>
        <v>0.36080164688786637</v>
      </c>
      <c r="DB165" s="163">
        <f t="shared" si="519"/>
        <v>0.31069605723583033</v>
      </c>
      <c r="DC165" s="163">
        <f t="shared" si="519"/>
        <v>0.32914245048037005</v>
      </c>
      <c r="DD165" s="163">
        <f t="shared" si="519"/>
        <v>0.32811669629276696</v>
      </c>
      <c r="DE165" s="163">
        <f t="shared" si="519"/>
        <v>0.34155073450724782</v>
      </c>
      <c r="DF165" s="163">
        <f t="shared" si="519"/>
        <v>0.34633406835722164</v>
      </c>
      <c r="DG165" s="163">
        <f t="shared" si="519"/>
        <v>0.34425738697865088</v>
      </c>
      <c r="DH165" s="163">
        <f t="shared" si="519"/>
        <v>0.303842179878415</v>
      </c>
      <c r="DI165" s="163">
        <f t="shared" si="519"/>
        <v>0.32732462070001506</v>
      </c>
      <c r="DJ165" s="163">
        <f t="shared" si="519"/>
        <v>0.35536574378876612</v>
      </c>
      <c r="DK165" s="163">
        <f t="shared" si="519"/>
        <v>0.35066990378563073</v>
      </c>
      <c r="DL165" s="163">
        <f t="shared" si="519"/>
        <v>0.3694461464193543</v>
      </c>
      <c r="DM165" s="163">
        <f t="shared" si="519"/>
        <v>0.28841828057277669</v>
      </c>
      <c r="DN165" s="163">
        <f t="shared" si="519"/>
        <v>0.40942188505435712</v>
      </c>
      <c r="DO165" s="163">
        <f t="shared" si="519"/>
        <v>0.39188633921233962</v>
      </c>
      <c r="DP165" s="163">
        <f t="shared" si="519"/>
        <v>0.3424729683675683</v>
      </c>
      <c r="DQ165" s="163">
        <f t="shared" si="519"/>
        <v>0.32684155364712875</v>
      </c>
      <c r="DR165" s="163">
        <f t="shared" si="519"/>
        <v>0.36322024383573476</v>
      </c>
      <c r="DS165" s="163">
        <f t="shared" si="519"/>
        <v>0.37034139175422348</v>
      </c>
      <c r="DT165" s="163">
        <f t="shared" si="519"/>
        <v>0.32498697752950267</v>
      </c>
      <c r="DU165" s="163">
        <f t="shared" si="519"/>
        <v>0.30757823205871859</v>
      </c>
      <c r="DV165" s="163">
        <f t="shared" si="519"/>
        <v>0.27667144221585488</v>
      </c>
      <c r="DW165" s="163">
        <f t="shared" si="519"/>
        <v>0.22231804806991992</v>
      </c>
      <c r="DX165" s="163">
        <f t="shared" si="519"/>
        <v>0.23056316410861868</v>
      </c>
      <c r="DY165" s="163">
        <f t="shared" si="519"/>
        <v>0.21979338014042121</v>
      </c>
      <c r="DZ165" s="163">
        <f t="shared" si="519"/>
        <v>0.32435230095823964</v>
      </c>
      <c r="EA165" s="163">
        <f t="shared" si="519"/>
        <v>0.28182696288119219</v>
      </c>
      <c r="EB165" s="163">
        <f t="shared" ref="EB165:EC165" si="520">EB164/EB156</f>
        <v>0.29827059416807572</v>
      </c>
      <c r="EC165" s="163">
        <f t="shared" si="520"/>
        <v>0.25952930318412559</v>
      </c>
      <c r="ED165" s="163">
        <f t="shared" ref="ED165" si="521">ED164/ED156</f>
        <v>0.36696037882874782</v>
      </c>
      <c r="EE165" s="163">
        <f t="shared" si="519"/>
        <v>0.31187050010785489</v>
      </c>
      <c r="EF165" s="163">
        <f t="shared" si="519"/>
        <v>0.3051491177077657</v>
      </c>
      <c r="EG165" s="163">
        <f t="shared" ref="EG165:EP165" si="522">EG164/EG156</f>
        <v>0.32676664003249828</v>
      </c>
      <c r="EH165" s="163">
        <f t="shared" si="522"/>
        <v>0.33311028355226086</v>
      </c>
      <c r="EI165" s="163">
        <f t="shared" si="522"/>
        <v>0.33490060561106377</v>
      </c>
      <c r="EJ165" s="163">
        <f t="shared" si="522"/>
        <v>0.33722041975260236</v>
      </c>
      <c r="EK165" s="163">
        <f t="shared" si="522"/>
        <v>0.33932603250224724</v>
      </c>
      <c r="EL165" s="163">
        <f t="shared" si="522"/>
        <v>0.34101162853231892</v>
      </c>
      <c r="EM165" s="163">
        <f t="shared" si="522"/>
        <v>0.34084027332470984</v>
      </c>
      <c r="EN165" s="163">
        <f t="shared" si="522"/>
        <v>0.3409054792177813</v>
      </c>
      <c r="EO165" s="163">
        <f t="shared" si="522"/>
        <v>0.34120496498874997</v>
      </c>
      <c r="EP165" s="163">
        <f t="shared" si="522"/>
        <v>0.34126971233304149</v>
      </c>
      <c r="ES165" s="355">
        <f t="shared" si="436"/>
        <v>160</v>
      </c>
      <c r="ET165"/>
      <c r="EU165"/>
      <c r="EV165"/>
      <c r="EW165"/>
      <c r="EX165"/>
      <c r="EY165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</row>
    <row r="166" spans="1:257" s="4" customFormat="1" hidden="1" outlineLevel="2">
      <c r="A166" s="15"/>
      <c r="B166" s="37" t="s">
        <v>152</v>
      </c>
      <c r="C166" s="161"/>
      <c r="D166" s="161"/>
      <c r="E166" s="161"/>
      <c r="F166" s="161"/>
      <c r="G166" s="161"/>
      <c r="H166" s="161"/>
      <c r="I166" s="161"/>
      <c r="J166" s="161"/>
      <c r="K166" s="161"/>
      <c r="L166" s="161"/>
      <c r="M166" s="161"/>
      <c r="N166" s="161">
        <f t="shared" ref="N166:AF166" si="523">N164-N159</f>
        <v>-72.201673000000014</v>
      </c>
      <c r="O166" s="161">
        <f t="shared" si="523"/>
        <v>49.104999999999997</v>
      </c>
      <c r="P166" s="161">
        <f t="shared" si="523"/>
        <v>27.994999999999997</v>
      </c>
      <c r="Q166" s="161">
        <f t="shared" si="523"/>
        <v>28.310000000000006</v>
      </c>
      <c r="R166" s="161">
        <f t="shared" si="523"/>
        <v>39.340000000000003</v>
      </c>
      <c r="S166" s="161">
        <f t="shared" si="523"/>
        <v>32.768000000000001</v>
      </c>
      <c r="T166" s="161">
        <f t="shared" si="523"/>
        <v>45.545999999999992</v>
      </c>
      <c r="U166" s="161">
        <f t="shared" si="523"/>
        <v>67.164999999999992</v>
      </c>
      <c r="V166" s="161">
        <f t="shared" si="523"/>
        <v>65.641999999999996</v>
      </c>
      <c r="W166" s="161">
        <f t="shared" si="523"/>
        <v>59.975000000000009</v>
      </c>
      <c r="X166" s="161">
        <f t="shared" si="523"/>
        <v>55.229999999999983</v>
      </c>
      <c r="Y166" s="161">
        <f t="shared" si="523"/>
        <v>66.83</v>
      </c>
      <c r="Z166" s="161">
        <f t="shared" si="523"/>
        <v>82.317000000000007</v>
      </c>
      <c r="AA166" s="161">
        <f t="shared" si="523"/>
        <v>79.388000000000005</v>
      </c>
      <c r="AB166" s="161">
        <f t="shared" si="523"/>
        <v>29.796687000000034</v>
      </c>
      <c r="AC166" s="161">
        <f t="shared" si="523"/>
        <v>35.965000000000003</v>
      </c>
      <c r="AD166" s="161">
        <f t="shared" si="523"/>
        <v>36.099240137933371</v>
      </c>
      <c r="AE166" s="161">
        <f t="shared" si="523"/>
        <v>43.312277575326647</v>
      </c>
      <c r="AF166" s="161">
        <f t="shared" si="523"/>
        <v>50.401132784465403</v>
      </c>
      <c r="AG166" s="162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  <c r="BS166" s="161"/>
      <c r="BT166" s="161"/>
      <c r="BU166" s="161">
        <f t="shared" ref="BU166:CZ166" si="524">BU164-BU159</f>
        <v>12.725999999999997</v>
      </c>
      <c r="BV166" s="161">
        <f t="shared" si="524"/>
        <v>10.872999999999998</v>
      </c>
      <c r="BW166" s="161">
        <f t="shared" si="524"/>
        <v>11.81</v>
      </c>
      <c r="BX166" s="161">
        <f t="shared" si="524"/>
        <v>14.25</v>
      </c>
      <c r="BY166" s="161">
        <f t="shared" si="524"/>
        <v>12.172000000000001</v>
      </c>
      <c r="BZ166" s="161">
        <f t="shared" si="524"/>
        <v>7.2510000000000021</v>
      </c>
      <c r="CA166" s="161">
        <f t="shared" si="524"/>
        <v>6.9110000000000005</v>
      </c>
      <c r="CB166" s="161">
        <f t="shared" si="524"/>
        <v>6.8530000000000015</v>
      </c>
      <c r="CC166" s="161">
        <f t="shared" si="524"/>
        <v>6.9799999999999986</v>
      </c>
      <c r="CD166" s="161">
        <f t="shared" si="524"/>
        <v>6.6750000000000025</v>
      </c>
      <c r="CE166" s="161">
        <f t="shared" si="524"/>
        <v>6.84</v>
      </c>
      <c r="CF166" s="161">
        <f t="shared" si="524"/>
        <v>7.3300000000000018</v>
      </c>
      <c r="CG166" s="161">
        <f t="shared" si="524"/>
        <v>7.4649999999999981</v>
      </c>
      <c r="CH166" s="161">
        <f t="shared" si="524"/>
        <v>7.7749999999999995</v>
      </c>
      <c r="CI166" s="161">
        <f t="shared" si="524"/>
        <v>10.055000000000003</v>
      </c>
      <c r="CJ166" s="161">
        <f t="shared" si="524"/>
        <v>10.523</v>
      </c>
      <c r="CK166" s="161">
        <f t="shared" si="524"/>
        <v>10.986999999999998</v>
      </c>
      <c r="CL166" s="161">
        <f t="shared" si="524"/>
        <v>10.157999999999996</v>
      </c>
      <c r="CM166" s="161">
        <f t="shared" si="524"/>
        <v>6.4939999999999998</v>
      </c>
      <c r="CN166" s="161">
        <f t="shared" si="524"/>
        <v>6.9710000000000001</v>
      </c>
      <c r="CO166" s="161">
        <f t="shared" si="524"/>
        <v>9.1450000000000031</v>
      </c>
      <c r="CP166" s="161">
        <f t="shared" si="524"/>
        <v>6.9720000000000004</v>
      </c>
      <c r="CQ166" s="161">
        <f t="shared" si="524"/>
        <v>6.7570000000000023</v>
      </c>
      <c r="CR166" s="161">
        <f t="shared" si="524"/>
        <v>14.856000000000002</v>
      </c>
      <c r="CS166" s="161">
        <f t="shared" si="524"/>
        <v>16.961000000000006</v>
      </c>
      <c r="CT166" s="161">
        <f t="shared" si="524"/>
        <v>17.673999999999999</v>
      </c>
      <c r="CU166" s="161">
        <f t="shared" si="524"/>
        <v>18.864000000000004</v>
      </c>
      <c r="CV166" s="161">
        <f t="shared" si="524"/>
        <v>15.746999999999998</v>
      </c>
      <c r="CW166" s="161">
        <f t="shared" si="524"/>
        <v>14.88</v>
      </c>
      <c r="CX166" s="161">
        <f t="shared" si="524"/>
        <v>18.084</v>
      </c>
      <c r="CY166" s="161">
        <f t="shared" si="524"/>
        <v>16.590999999999998</v>
      </c>
      <c r="CZ166" s="161">
        <f t="shared" si="524"/>
        <v>14.473999999999997</v>
      </c>
      <c r="DA166" s="161">
        <f t="shared" ref="DA166:EF166" si="525">DA164-DA159</f>
        <v>16.493000000000002</v>
      </c>
      <c r="DB166" s="161">
        <f t="shared" si="525"/>
        <v>12.529999999999998</v>
      </c>
      <c r="DC166" s="161">
        <f t="shared" si="525"/>
        <v>15.096999999999998</v>
      </c>
      <c r="DD166" s="161">
        <f t="shared" si="525"/>
        <v>16.373000000000001</v>
      </c>
      <c r="DE166" s="161">
        <f t="shared" si="525"/>
        <v>15.975000000000001</v>
      </c>
      <c r="DF166" s="161">
        <f t="shared" si="525"/>
        <v>15.859000000000002</v>
      </c>
      <c r="DG166" s="161">
        <f t="shared" si="525"/>
        <v>12.993</v>
      </c>
      <c r="DH166" s="161">
        <f t="shared" si="525"/>
        <v>10.919999999999996</v>
      </c>
      <c r="DI166" s="161">
        <f t="shared" si="525"/>
        <v>15.458000000000002</v>
      </c>
      <c r="DJ166" s="161">
        <f t="shared" si="525"/>
        <v>18.276000000000003</v>
      </c>
      <c r="DK166" s="161">
        <f t="shared" si="525"/>
        <v>17.339999999999996</v>
      </c>
      <c r="DL166" s="161">
        <f t="shared" si="525"/>
        <v>17.684000000000005</v>
      </c>
      <c r="DM166" s="161">
        <f t="shared" si="525"/>
        <v>13.530000000000001</v>
      </c>
      <c r="DN166" s="161">
        <f t="shared" si="525"/>
        <v>21.848000000000006</v>
      </c>
      <c r="DO166" s="161">
        <f t="shared" si="525"/>
        <v>22.467000000000006</v>
      </c>
      <c r="DP166" s="161">
        <f t="shared" si="525"/>
        <v>19.844000000000005</v>
      </c>
      <c r="DQ166" s="161">
        <f t="shared" si="525"/>
        <v>18.157999999999998</v>
      </c>
      <c r="DR166" s="161">
        <f t="shared" si="525"/>
        <v>24.408000000000001</v>
      </c>
      <c r="DS166" s="161">
        <f t="shared" si="525"/>
        <v>22.238999999999997</v>
      </c>
      <c r="DT166" s="161">
        <f t="shared" si="525"/>
        <v>17.405000000000005</v>
      </c>
      <c r="DU166" s="161">
        <f t="shared" si="525"/>
        <v>15.335999999999999</v>
      </c>
      <c r="DV166" s="161">
        <f t="shared" si="525"/>
        <v>10.725000000000003</v>
      </c>
      <c r="DW166" s="161">
        <f t="shared" si="525"/>
        <v>6.7940670000000019</v>
      </c>
      <c r="DX166" s="161">
        <f t="shared" si="525"/>
        <v>6.0553320000000017</v>
      </c>
      <c r="DY166" s="161">
        <f t="shared" si="525"/>
        <v>6.222287999999998</v>
      </c>
      <c r="DZ166" s="161">
        <f t="shared" si="525"/>
        <v>10.050999999999998</v>
      </c>
      <c r="EA166" s="161">
        <f t="shared" si="525"/>
        <v>9.31</v>
      </c>
      <c r="EB166" s="161">
        <f t="shared" ref="EB166:EC166" si="526">EB164-EB159</f>
        <v>9.0860000000000003</v>
      </c>
      <c r="EC166" s="161">
        <f t="shared" si="526"/>
        <v>7.5180000000000033</v>
      </c>
      <c r="ED166" s="161">
        <f t="shared" ref="ED166" si="527">ED164-ED159</f>
        <v>11.079000000000001</v>
      </c>
      <c r="EE166" s="161">
        <f t="shared" si="525"/>
        <v>8.0689455327919557</v>
      </c>
      <c r="EF166" s="161">
        <f t="shared" si="525"/>
        <v>7.6460465442919565</v>
      </c>
      <c r="EG166" s="161">
        <f t="shared" ref="EG166:EP166" si="528">EG164-EG159</f>
        <v>9.305248060849463</v>
      </c>
      <c r="EH166" s="161">
        <f t="shared" si="528"/>
        <v>9.8432880173176649</v>
      </c>
      <c r="EI166" s="161">
        <f t="shared" si="528"/>
        <v>10.377316860729852</v>
      </c>
      <c r="EJ166" s="161">
        <f t="shared" si="528"/>
        <v>11.151333972392354</v>
      </c>
      <c r="EK166" s="161">
        <f t="shared" si="528"/>
        <v>11.940338724886765</v>
      </c>
      <c r="EL166" s="161">
        <f t="shared" si="528"/>
        <v>12.639330481969965</v>
      </c>
      <c r="EM166" s="161">
        <f t="shared" si="528"/>
        <v>12.543308598473168</v>
      </c>
      <c r="EN166" s="161">
        <f t="shared" si="528"/>
        <v>12.552272420199824</v>
      </c>
      <c r="EO166" s="161">
        <f t="shared" si="528"/>
        <v>12.666221283822457</v>
      </c>
      <c r="EP166" s="161">
        <f t="shared" si="528"/>
        <v>12.675154516778415</v>
      </c>
      <c r="ES166" s="355">
        <f t="shared" si="436"/>
        <v>161</v>
      </c>
      <c r="ET166"/>
      <c r="EU166"/>
      <c r="EV166"/>
      <c r="EW166"/>
      <c r="EX166"/>
      <c r="EY166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</row>
    <row r="167" spans="1:257" s="4" customFormat="1" hidden="1" outlineLevel="2">
      <c r="A167" s="15"/>
      <c r="B167" s="54" t="s">
        <v>151</v>
      </c>
      <c r="C167" s="160"/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59"/>
      <c r="O167" s="159">
        <f t="shared" ref="O167:AF167" si="529">O166/O156</f>
        <v>0.4359734713627445</v>
      </c>
      <c r="P167" s="159">
        <f t="shared" si="529"/>
        <v>0.33233220161922172</v>
      </c>
      <c r="Q167" s="159">
        <f t="shared" si="529"/>
        <v>0.33336866028426426</v>
      </c>
      <c r="R167" s="159">
        <f t="shared" si="529"/>
        <v>0.28449728447558925</v>
      </c>
      <c r="S167" s="159">
        <f t="shared" si="529"/>
        <v>0.2660863351414558</v>
      </c>
      <c r="T167" s="159">
        <f t="shared" si="529"/>
        <v>0.29488773211094704</v>
      </c>
      <c r="U167" s="159">
        <f t="shared" si="529"/>
        <v>0.32811110785434433</v>
      </c>
      <c r="V167" s="159">
        <f t="shared" si="529"/>
        <v>0.32378387443645362</v>
      </c>
      <c r="W167" s="159">
        <f t="shared" si="529"/>
        <v>0.29776533261839866</v>
      </c>
      <c r="X167" s="159">
        <f t="shared" si="529"/>
        <v>0.29208931385718662</v>
      </c>
      <c r="Y167" s="159">
        <f t="shared" si="529"/>
        <v>0.30122192524215391</v>
      </c>
      <c r="Z167" s="159">
        <f t="shared" si="529"/>
        <v>0.32820330846733198</v>
      </c>
      <c r="AA167" s="159">
        <f t="shared" si="529"/>
        <v>0.32935202432760963</v>
      </c>
      <c r="AB167" s="159">
        <f t="shared" si="529"/>
        <v>0.21498176059335811</v>
      </c>
      <c r="AC167" s="159">
        <f t="shared" si="529"/>
        <v>0.26393811966564662</v>
      </c>
      <c r="AD167" s="159">
        <f t="shared" si="529"/>
        <v>0.29225174230472389</v>
      </c>
      <c r="AE167" s="159">
        <f t="shared" si="529"/>
        <v>0.30387551478408859</v>
      </c>
      <c r="AF167" s="159">
        <f t="shared" si="529"/>
        <v>0.31130463512320261</v>
      </c>
      <c r="AG167" s="91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59"/>
      <c r="BD167" s="159"/>
      <c r="BE167" s="159"/>
      <c r="BF167" s="159"/>
      <c r="BG167" s="159"/>
      <c r="BH167" s="159"/>
      <c r="BI167" s="159"/>
      <c r="BJ167" s="159"/>
      <c r="BK167" s="159"/>
      <c r="BL167" s="159"/>
      <c r="BM167" s="159"/>
      <c r="BN167" s="159"/>
      <c r="BO167" s="159"/>
      <c r="BP167" s="159"/>
      <c r="BQ167" s="159"/>
      <c r="BR167" s="159"/>
      <c r="BS167" s="159"/>
      <c r="BT167" s="159"/>
      <c r="BU167" s="159">
        <f t="shared" ref="BU167:CZ167" si="530">BU166/BU156</f>
        <v>0.41362498781161627</v>
      </c>
      <c r="BV167" s="159">
        <f t="shared" si="530"/>
        <v>0.39237126051026661</v>
      </c>
      <c r="BW167" s="159">
        <f t="shared" si="530"/>
        <v>0.42059902418177286</v>
      </c>
      <c r="BX167" s="159">
        <f t="shared" si="530"/>
        <v>0.46574715649104459</v>
      </c>
      <c r="BY167" s="159">
        <f t="shared" si="530"/>
        <v>0.46374823789385455</v>
      </c>
      <c r="BZ167" s="159">
        <f t="shared" si="530"/>
        <v>0.35025601391169942</v>
      </c>
      <c r="CA167" s="159">
        <f t="shared" si="530"/>
        <v>0.37006693440428379</v>
      </c>
      <c r="CB167" s="159">
        <f t="shared" si="530"/>
        <v>0.32234242709313271</v>
      </c>
      <c r="CC167" s="159">
        <f t="shared" si="530"/>
        <v>0.29575018007711534</v>
      </c>
      <c r="CD167" s="159">
        <f t="shared" si="530"/>
        <v>0.3279131460011791</v>
      </c>
      <c r="CE167" s="159">
        <f t="shared" si="530"/>
        <v>0.36677569842887014</v>
      </c>
      <c r="CF167" s="159">
        <f t="shared" si="530"/>
        <v>0.36824918362220554</v>
      </c>
      <c r="CG167" s="159">
        <f t="shared" si="530"/>
        <v>0.28699396409211481</v>
      </c>
      <c r="CH167" s="159">
        <f t="shared" si="530"/>
        <v>0.26338075880758804</v>
      </c>
      <c r="CI167" s="159">
        <f t="shared" si="530"/>
        <v>0.29834139394119225</v>
      </c>
      <c r="CJ167" s="159">
        <f t="shared" si="530"/>
        <v>0.30441448738717891</v>
      </c>
      <c r="CK167" s="159">
        <f t="shared" si="530"/>
        <v>0.27136435487057892</v>
      </c>
      <c r="CL167" s="159">
        <f t="shared" si="530"/>
        <v>0.28410807182413145</v>
      </c>
      <c r="CM167" s="159">
        <f t="shared" si="530"/>
        <v>0.22624812737344527</v>
      </c>
      <c r="CN167" s="159">
        <f t="shared" si="530"/>
        <v>0.23530007425909674</v>
      </c>
      <c r="CO167" s="159">
        <f t="shared" si="530"/>
        <v>0.31463960089454679</v>
      </c>
      <c r="CP167" s="159">
        <f t="shared" si="530"/>
        <v>0.25556247938125437</v>
      </c>
      <c r="CQ167" s="159">
        <f t="shared" si="530"/>
        <v>0.2268286951559301</v>
      </c>
      <c r="CR167" s="159">
        <f t="shared" si="530"/>
        <v>0.31409361918051504</v>
      </c>
      <c r="CS167" s="159">
        <f t="shared" si="530"/>
        <v>0.33865106620876934</v>
      </c>
      <c r="CT167" s="159">
        <f t="shared" si="530"/>
        <v>0.35006338139755983</v>
      </c>
      <c r="CU167" s="159">
        <f t="shared" si="530"/>
        <v>0.36749722389978773</v>
      </c>
      <c r="CV167" s="159">
        <f t="shared" si="530"/>
        <v>0.28319395737793362</v>
      </c>
      <c r="CW167" s="159">
        <f t="shared" si="530"/>
        <v>0.31473412580904442</v>
      </c>
      <c r="CX167" s="159">
        <f t="shared" si="530"/>
        <v>0.34584050487664947</v>
      </c>
      <c r="CY167" s="159">
        <f t="shared" si="530"/>
        <v>0.34734638333507795</v>
      </c>
      <c r="CZ167" s="159">
        <f t="shared" si="530"/>
        <v>0.27242099715796797</v>
      </c>
      <c r="DA167" s="159">
        <f t="shared" ref="DA167:EF167" si="531">DA166/DA156</f>
        <v>0.33286913699846615</v>
      </c>
      <c r="DB167" s="159">
        <f t="shared" si="531"/>
        <v>0.27926984197739985</v>
      </c>
      <c r="DC167" s="159">
        <f t="shared" si="531"/>
        <v>0.29844225675087965</v>
      </c>
      <c r="DD167" s="159">
        <f t="shared" si="531"/>
        <v>0.30004214847257599</v>
      </c>
      <c r="DE167" s="159">
        <f t="shared" si="531"/>
        <v>0.31082790154684309</v>
      </c>
      <c r="DF167" s="159">
        <f t="shared" si="531"/>
        <v>0.31223421011182867</v>
      </c>
      <c r="DG167" s="159">
        <f t="shared" si="531"/>
        <v>0.29923308997950304</v>
      </c>
      <c r="DH167" s="159">
        <f t="shared" si="531"/>
        <v>0.26239277218444379</v>
      </c>
      <c r="DI167" s="159">
        <f t="shared" si="531"/>
        <v>0.29025837464323273</v>
      </c>
      <c r="DJ167" s="159">
        <f t="shared" si="531"/>
        <v>0.31664298832253374</v>
      </c>
      <c r="DK167" s="159">
        <f t="shared" si="531"/>
        <v>0.31184246021041268</v>
      </c>
      <c r="DL167" s="159">
        <f t="shared" si="531"/>
        <v>0.3283388105980431</v>
      </c>
      <c r="DM167" s="159">
        <f t="shared" si="531"/>
        <v>0.24743512371756188</v>
      </c>
      <c r="DN167" s="159">
        <f t="shared" si="531"/>
        <v>0.36996647136519129</v>
      </c>
      <c r="DO167" s="159">
        <f t="shared" si="531"/>
        <v>0.35506353119666234</v>
      </c>
      <c r="DP167" s="159">
        <f t="shared" si="531"/>
        <v>0.30740155528704655</v>
      </c>
      <c r="DQ167" s="159">
        <f t="shared" si="531"/>
        <v>0.2840427362460306</v>
      </c>
      <c r="DR167" s="159">
        <f t="shared" si="531"/>
        <v>0.35133073280267157</v>
      </c>
      <c r="DS167" s="159">
        <f t="shared" si="531"/>
        <v>0.35510810206623444</v>
      </c>
      <c r="DT167" s="159">
        <f t="shared" si="531"/>
        <v>0.31262910207820677</v>
      </c>
      <c r="DU167" s="159">
        <f t="shared" si="531"/>
        <v>0.28788646730866696</v>
      </c>
      <c r="DV167" s="159">
        <f t="shared" si="531"/>
        <v>0.25608882521489978</v>
      </c>
      <c r="DW167" s="159">
        <f t="shared" si="531"/>
        <v>0.19793348871085217</v>
      </c>
      <c r="DX167" s="159">
        <f t="shared" si="531"/>
        <v>0.19858756395120036</v>
      </c>
      <c r="DY167" s="159">
        <f t="shared" si="531"/>
        <v>0.195031594784353</v>
      </c>
      <c r="DZ167" s="159">
        <f t="shared" si="531"/>
        <v>0.29726132733940608</v>
      </c>
      <c r="EA167" s="159">
        <f t="shared" si="531"/>
        <v>0.25693390368428315</v>
      </c>
      <c r="EB167" s="159">
        <f t="shared" ref="EB167:EC167" si="532">EB166/EB156</f>
        <v>0.26952626739046603</v>
      </c>
      <c r="EC167" s="159">
        <f t="shared" si="532"/>
        <v>0.23128749423165676</v>
      </c>
      <c r="ED167" s="159">
        <f t="shared" ref="ED167" si="533">ED166/ED156</f>
        <v>0.33204459629563032</v>
      </c>
      <c r="EE167" s="159">
        <f t="shared" si="531"/>
        <v>0.2736716383776428</v>
      </c>
      <c r="EF167" s="159">
        <f t="shared" si="531"/>
        <v>0.26597169227887124</v>
      </c>
      <c r="EG167" s="159">
        <f t="shared" ref="EG167:EP167" si="534">EG166/EG156</f>
        <v>0.29148667365175446</v>
      </c>
      <c r="EH167" s="159">
        <f t="shared" si="534"/>
        <v>0.29860285836623779</v>
      </c>
      <c r="EI167" s="159">
        <f t="shared" si="534"/>
        <v>0.30151882383533823</v>
      </c>
      <c r="EJ167" s="159">
        <f t="shared" si="534"/>
        <v>0.30543728277510201</v>
      </c>
      <c r="EK167" s="159">
        <f t="shared" si="534"/>
        <v>0.30899687484972127</v>
      </c>
      <c r="EL167" s="159">
        <f t="shared" si="534"/>
        <v>0.3118098044873715</v>
      </c>
      <c r="EM167" s="159">
        <f t="shared" si="534"/>
        <v>0.31118061873682157</v>
      </c>
      <c r="EN167" s="159">
        <f t="shared" si="534"/>
        <v>0.31098904899332824</v>
      </c>
      <c r="EO167" s="159">
        <f t="shared" si="534"/>
        <v>0.31123729579602077</v>
      </c>
      <c r="EP167" s="159">
        <f t="shared" si="534"/>
        <v>0.31104261720686005</v>
      </c>
      <c r="ES167" s="355">
        <f t="shared" si="436"/>
        <v>162</v>
      </c>
      <c r="ET167"/>
      <c r="EU167"/>
      <c r="EV167"/>
      <c r="EW167"/>
      <c r="EX167"/>
      <c r="EY167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</row>
    <row r="168" spans="1:257" s="4" customFormat="1" hidden="1" outlineLevel="2">
      <c r="A168" s="15"/>
      <c r="B168" s="54" t="s">
        <v>150</v>
      </c>
      <c r="C168" s="160"/>
      <c r="D168" s="160"/>
      <c r="E168" s="160"/>
      <c r="F168" s="160"/>
      <c r="G168" s="160"/>
      <c r="H168" s="160"/>
      <c r="I168" s="160"/>
      <c r="J168" s="160"/>
      <c r="K168" s="160"/>
      <c r="L168" s="160"/>
      <c r="M168" s="160"/>
      <c r="N168" s="159"/>
      <c r="O168" s="159">
        <f t="shared" ref="O168:AF168" si="535">O161/O156</f>
        <v>0.32233892376124224</v>
      </c>
      <c r="P168" s="159">
        <f t="shared" si="535"/>
        <v>0.18860846648780841</v>
      </c>
      <c r="Q168" s="159">
        <f t="shared" si="535"/>
        <v>0.20852321569458671</v>
      </c>
      <c r="R168" s="159">
        <f t="shared" si="535"/>
        <v>0.20225775425046466</v>
      </c>
      <c r="S168" s="159">
        <f t="shared" si="535"/>
        <v>0.17930457660700949</v>
      </c>
      <c r="T168" s="159">
        <f t="shared" si="535"/>
        <v>0.21620956672623204</v>
      </c>
      <c r="U168" s="159">
        <f t="shared" si="535"/>
        <v>0.27011460562183082</v>
      </c>
      <c r="V168" s="159">
        <f t="shared" si="535"/>
        <v>0.26203300877011249</v>
      </c>
      <c r="W168" s="159">
        <f t="shared" si="535"/>
        <v>0.2248618537660674</v>
      </c>
      <c r="X168" s="159">
        <f t="shared" si="535"/>
        <v>0.22093121648350475</v>
      </c>
      <c r="Y168" s="159">
        <f t="shared" si="535"/>
        <v>0.23917462578257764</v>
      </c>
      <c r="Z168" s="159">
        <f t="shared" si="535"/>
        <v>0.27747188121733102</v>
      </c>
      <c r="AA168" s="159">
        <f t="shared" si="535"/>
        <v>0.28098306111357729</v>
      </c>
      <c r="AB168" s="159">
        <f t="shared" si="535"/>
        <v>0.12483089588098228</v>
      </c>
      <c r="AC168" s="159">
        <f t="shared" si="535"/>
        <v>0.17760507254353719</v>
      </c>
      <c r="AD168" s="159">
        <f t="shared" si="535"/>
        <v>0.21600534165889498</v>
      </c>
      <c r="AE168" s="159">
        <f t="shared" si="535"/>
        <v>0.23754655109930001</v>
      </c>
      <c r="AF168" s="159">
        <f t="shared" si="535"/>
        <v>0.25386129027653759</v>
      </c>
      <c r="AG168" s="91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  <c r="AT168" s="159"/>
      <c r="AU168" s="159"/>
      <c r="AV168" s="159"/>
      <c r="AW168" s="159"/>
      <c r="AX168" s="159"/>
      <c r="AY168" s="159"/>
      <c r="AZ168" s="159"/>
      <c r="BA168" s="159"/>
      <c r="BB168" s="159"/>
      <c r="BC168" s="159"/>
      <c r="BD168" s="159"/>
      <c r="BE168" s="159"/>
      <c r="BF168" s="159"/>
      <c r="BG168" s="159"/>
      <c r="BH168" s="159"/>
      <c r="BI168" s="159"/>
      <c r="BJ168" s="159"/>
      <c r="BK168" s="159"/>
      <c r="BL168" s="159"/>
      <c r="BM168" s="159"/>
      <c r="BN168" s="159"/>
      <c r="BO168" s="159"/>
      <c r="BP168" s="159"/>
      <c r="BQ168" s="159"/>
      <c r="BR168" s="159"/>
      <c r="BS168" s="159"/>
      <c r="BT168" s="159"/>
      <c r="BU168" s="159">
        <f t="shared" ref="BU168:CZ168" si="536">BU161/BU156</f>
        <v>0.31247765462996069</v>
      </c>
      <c r="BV168" s="159">
        <f t="shared" si="536"/>
        <v>0.27898668398830784</v>
      </c>
      <c r="BW168" s="159">
        <f t="shared" si="536"/>
        <v>0.30709783111934191</v>
      </c>
      <c r="BX168" s="159">
        <f t="shared" si="536"/>
        <v>0.36253104981043272</v>
      </c>
      <c r="BY168" s="159">
        <f t="shared" si="536"/>
        <v>0.33756238808244748</v>
      </c>
      <c r="BZ168" s="159">
        <f t="shared" si="536"/>
        <v>0.20345860303352348</v>
      </c>
      <c r="CA168" s="159">
        <f t="shared" si="536"/>
        <v>0.20776439089692106</v>
      </c>
      <c r="CB168" s="159">
        <f t="shared" si="536"/>
        <v>0.17968015051740358</v>
      </c>
      <c r="CC168" s="159">
        <f t="shared" si="536"/>
        <v>0.16846743782043117</v>
      </c>
      <c r="CD168" s="159">
        <f t="shared" si="536"/>
        <v>0.20475535468657902</v>
      </c>
      <c r="CE168" s="159">
        <f t="shared" si="536"/>
        <v>0.22371172717035767</v>
      </c>
      <c r="CF168" s="159">
        <f t="shared" si="536"/>
        <v>0.23350916855061549</v>
      </c>
      <c r="CG168" s="159">
        <f t="shared" si="536"/>
        <v>0.18146168928530221</v>
      </c>
      <c r="CH168" s="159">
        <f t="shared" si="536"/>
        <v>0.1731368563685636</v>
      </c>
      <c r="CI168" s="159">
        <f t="shared" si="536"/>
        <v>0.21864522446073059</v>
      </c>
      <c r="CJ168" s="159">
        <f t="shared" si="536"/>
        <v>0.22086901180282337</v>
      </c>
      <c r="CK168" s="159">
        <f t="shared" si="536"/>
        <v>0.19395870381347563</v>
      </c>
      <c r="CL168" s="159">
        <f t="shared" si="536"/>
        <v>0.20641047155563014</v>
      </c>
      <c r="CM168" s="159">
        <f t="shared" si="536"/>
        <v>0.13256454029195552</v>
      </c>
      <c r="CN168" s="159">
        <f t="shared" si="536"/>
        <v>0.15368257611557418</v>
      </c>
      <c r="CO168" s="159">
        <f t="shared" si="536"/>
        <v>0.21823499053844841</v>
      </c>
      <c r="CP168" s="159">
        <f t="shared" si="536"/>
        <v>0.15080092371980502</v>
      </c>
      <c r="CQ168" s="159">
        <f t="shared" si="536"/>
        <v>0.12095068649501499</v>
      </c>
      <c r="CR168" s="159">
        <f t="shared" si="536"/>
        <v>0.25398536936022675</v>
      </c>
      <c r="CS168" s="159">
        <f t="shared" si="536"/>
        <v>0.27282165961185223</v>
      </c>
      <c r="CT168" s="159">
        <f t="shared" si="536"/>
        <v>0.29135636190778008</v>
      </c>
      <c r="CU168" s="159">
        <f t="shared" si="536"/>
        <v>0.30852701096803103</v>
      </c>
      <c r="CV168" s="159">
        <f t="shared" si="536"/>
        <v>0.22881035878068517</v>
      </c>
      <c r="CW168" s="159">
        <f t="shared" si="536"/>
        <v>0.25430432759422994</v>
      </c>
      <c r="CX168" s="159">
        <f t="shared" si="536"/>
        <v>0.28888888888888881</v>
      </c>
      <c r="CY168" s="159">
        <f t="shared" si="536"/>
        <v>0.28525070658431906</v>
      </c>
      <c r="CZ168" s="159">
        <f t="shared" si="536"/>
        <v>0.21239954075774964</v>
      </c>
      <c r="DA168" s="159">
        <f t="shared" ref="DA168:EF168" si="537">DA161/DA156</f>
        <v>0.26453136352627754</v>
      </c>
      <c r="DB168" s="159">
        <f t="shared" si="537"/>
        <v>0.20059286335168389</v>
      </c>
      <c r="DC168" s="159">
        <f t="shared" si="537"/>
        <v>0.22686118688965326</v>
      </c>
      <c r="DD168" s="159">
        <f t="shared" si="537"/>
        <v>0.23720427348861078</v>
      </c>
      <c r="DE168" s="159">
        <f t="shared" si="537"/>
        <v>0.23097577585368229</v>
      </c>
      <c r="DF168" s="159">
        <f t="shared" si="537"/>
        <v>0.24027405890691447</v>
      </c>
      <c r="DG168" s="159">
        <f t="shared" si="537"/>
        <v>0.22611178922641131</v>
      </c>
      <c r="DH168" s="159">
        <f t="shared" si="537"/>
        <v>0.18550111733185939</v>
      </c>
      <c r="DI168" s="159">
        <f t="shared" si="537"/>
        <v>0.22594637223974778</v>
      </c>
      <c r="DJ168" s="159">
        <f t="shared" si="537"/>
        <v>0.25998821857999238</v>
      </c>
      <c r="DK168" s="159">
        <f t="shared" si="537"/>
        <v>0.24548152144591312</v>
      </c>
      <c r="DL168" s="159">
        <f t="shared" si="537"/>
        <v>0.26220316010323264</v>
      </c>
      <c r="DM168" s="159">
        <f t="shared" si="537"/>
        <v>0.18810921526672889</v>
      </c>
      <c r="DN168" s="159">
        <f t="shared" si="537"/>
        <v>0.31323873065330043</v>
      </c>
      <c r="DO168" s="159">
        <f t="shared" si="537"/>
        <v>0.30212086731146093</v>
      </c>
      <c r="DP168" s="159">
        <f t="shared" si="537"/>
        <v>0.26328345261331598</v>
      </c>
      <c r="DQ168" s="159">
        <f t="shared" si="537"/>
        <v>0.23436106809329391</v>
      </c>
      <c r="DR168" s="159">
        <f t="shared" si="537"/>
        <v>0.30924243950887398</v>
      </c>
      <c r="DS168" s="159">
        <f t="shared" si="537"/>
        <v>0.30449014786191031</v>
      </c>
      <c r="DT168" s="159">
        <f t="shared" si="537"/>
        <v>0.26432920805417348</v>
      </c>
      <c r="DU168" s="159">
        <f t="shared" si="537"/>
        <v>0.23389836871843969</v>
      </c>
      <c r="DV168" s="159">
        <f t="shared" si="537"/>
        <v>0.1843839541547278</v>
      </c>
      <c r="DW168" s="159">
        <f t="shared" si="537"/>
        <v>0.10692110706482164</v>
      </c>
      <c r="DX168" s="159">
        <f t="shared" si="537"/>
        <v>9.4166732257641314E-2</v>
      </c>
      <c r="DY168" s="159">
        <f t="shared" si="537"/>
        <v>9.5232196589769239E-2</v>
      </c>
      <c r="DZ168" s="159">
        <f t="shared" si="537"/>
        <v>0.20063882645214715</v>
      </c>
      <c r="EA168" s="159">
        <f t="shared" si="537"/>
        <v>0.16315716848351039</v>
      </c>
      <c r="EB168" s="159">
        <f t="shared" ref="EB168:EC168" si="538">EB161/EB156</f>
        <v>0.19151018955237162</v>
      </c>
      <c r="EC168" s="159">
        <f t="shared" si="538"/>
        <v>0.15532994923857876</v>
      </c>
      <c r="ED168" s="159">
        <f t="shared" ref="ED168" si="539">ED161/ED156</f>
        <v>0.26149373613858423</v>
      </c>
      <c r="EE168" s="159">
        <f t="shared" si="537"/>
        <v>0.19379134650649768</v>
      </c>
      <c r="EF168" s="159">
        <f t="shared" si="537"/>
        <v>0.18431210061473274</v>
      </c>
      <c r="EG168" s="159">
        <f t="shared" ref="EG168:EP168" si="540">EG161/EG156</f>
        <v>0.21751824451911303</v>
      </c>
      <c r="EH168" s="159">
        <f t="shared" si="540"/>
        <v>0.22656745965435812</v>
      </c>
      <c r="EI168" s="159">
        <f t="shared" si="540"/>
        <v>0.23272025919216158</v>
      </c>
      <c r="EJ168" s="159">
        <f t="shared" si="540"/>
        <v>0.24077605287992165</v>
      </c>
      <c r="EK168" s="159">
        <f t="shared" si="540"/>
        <v>0.24815976041043852</v>
      </c>
      <c r="EL168" s="159">
        <f t="shared" si="540"/>
        <v>0.25406325023894138</v>
      </c>
      <c r="EM168" s="159">
        <f t="shared" si="540"/>
        <v>0.25336584097369363</v>
      </c>
      <c r="EN168" s="159">
        <f t="shared" si="540"/>
        <v>0.25351257638592783</v>
      </c>
      <c r="EO168" s="159">
        <f t="shared" si="540"/>
        <v>0.25449671256806516</v>
      </c>
      <c r="EP168" s="159">
        <f t="shared" si="540"/>
        <v>0.25464604754270681</v>
      </c>
      <c r="ES168" s="355">
        <f t="shared" si="436"/>
        <v>163</v>
      </c>
      <c r="ET168"/>
      <c r="EU168"/>
      <c r="EV168"/>
      <c r="EW168"/>
      <c r="EX168"/>
      <c r="EY168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</row>
    <row r="169" spans="1:257" s="4" customFormat="1" hidden="1" outlineLevel="2">
      <c r="A169" s="15"/>
      <c r="B169" s="31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  <c r="CO169" s="25"/>
      <c r="CP169" s="25"/>
      <c r="CQ169" s="25"/>
      <c r="CR169" s="25"/>
      <c r="CS169" s="25"/>
      <c r="CT169" s="25"/>
      <c r="CU169" s="25"/>
      <c r="CV169" s="25"/>
      <c r="CW169" s="25"/>
      <c r="CX169" s="25"/>
      <c r="CY169" s="25"/>
      <c r="CZ169" s="25"/>
      <c r="DA169" s="25"/>
      <c r="DB169" s="25"/>
      <c r="DC169" s="25"/>
      <c r="DD169" s="25"/>
      <c r="DE169" s="25"/>
      <c r="DF169" s="25"/>
      <c r="DG169" s="25"/>
      <c r="DH169" s="25"/>
      <c r="DI169" s="25"/>
      <c r="DJ169" s="25"/>
      <c r="DK169" s="25"/>
      <c r="DL169" s="25"/>
      <c r="DM169" s="25"/>
      <c r="DN169" s="25"/>
      <c r="DO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25"/>
      <c r="EC169" s="25"/>
      <c r="ED169" s="25"/>
      <c r="EE169" s="157"/>
      <c r="EF169" s="157"/>
      <c r="EG169" s="157"/>
      <c r="EH169" s="157"/>
      <c r="EI169" s="157"/>
      <c r="EJ169" s="157"/>
      <c r="EK169" s="157"/>
      <c r="EL169" s="157"/>
      <c r="EM169" s="157"/>
      <c r="EN169" s="157"/>
      <c r="EO169" s="157"/>
      <c r="EP169" s="157"/>
      <c r="EQ169" s="18"/>
      <c r="ER169" s="18"/>
      <c r="ES169" s="355">
        <f t="shared" si="436"/>
        <v>164</v>
      </c>
      <c r="ET169"/>
      <c r="EU169"/>
      <c r="EV169"/>
      <c r="EW169"/>
      <c r="EX169"/>
      <c r="EY169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</row>
    <row r="170" spans="1:257" s="4" customFormat="1" outlineLevel="1" collapsed="1">
      <c r="A170" s="15" t="s">
        <v>0</v>
      </c>
      <c r="B170" s="158" t="s">
        <v>174</v>
      </c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5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34"/>
      <c r="CX170" s="34"/>
      <c r="CY170" s="34"/>
      <c r="CZ170" s="34"/>
      <c r="DA170" s="34"/>
      <c r="DB170" s="34"/>
      <c r="DC170" s="34"/>
      <c r="DD170" s="34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216"/>
      <c r="DR170" s="216"/>
      <c r="DS170" s="216"/>
      <c r="DT170" s="216"/>
      <c r="DU170" s="216"/>
      <c r="DV170" s="216"/>
      <c r="DW170" s="216"/>
      <c r="DX170" s="216"/>
      <c r="DY170" s="216"/>
      <c r="DZ170" s="216"/>
      <c r="EA170" s="216"/>
      <c r="EB170" s="216"/>
      <c r="EC170" s="216"/>
      <c r="ED170" s="216"/>
      <c r="EE170" s="216"/>
      <c r="EF170" s="10"/>
      <c r="EG170" s="10"/>
      <c r="EH170" s="10"/>
      <c r="EI170" s="10"/>
      <c r="EJ170" s="10"/>
      <c r="EK170" s="10"/>
      <c r="EL170" s="10"/>
      <c r="EM170" s="10"/>
      <c r="EN170" s="10"/>
      <c r="EO170" s="10"/>
      <c r="EP170" s="10"/>
      <c r="ES170" s="355">
        <f t="shared" si="436"/>
        <v>165</v>
      </c>
      <c r="ET170"/>
      <c r="EU170"/>
      <c r="EV170"/>
      <c r="EW170"/>
      <c r="EX170"/>
      <c r="EY170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</row>
    <row r="171" spans="1:257" s="4" customFormat="1" hidden="1" outlineLevel="2">
      <c r="A171" s="15"/>
      <c r="B171" s="65" t="s">
        <v>173</v>
      </c>
      <c r="C171" s="34"/>
      <c r="D171" s="34"/>
      <c r="E171" s="214">
        <v>29</v>
      </c>
      <c r="F171" s="214">
        <v>29</v>
      </c>
      <c r="G171" s="214">
        <v>35</v>
      </c>
      <c r="H171" s="214">
        <v>36</v>
      </c>
      <c r="I171" s="214">
        <v>39</v>
      </c>
      <c r="J171" s="214">
        <v>44</v>
      </c>
      <c r="K171" s="214">
        <v>39</v>
      </c>
      <c r="L171" s="214">
        <v>40</v>
      </c>
      <c r="M171" s="214">
        <v>37</v>
      </c>
      <c r="N171" s="214">
        <v>33</v>
      </c>
      <c r="O171" s="214">
        <v>32</v>
      </c>
      <c r="P171" s="214">
        <v>26</v>
      </c>
      <c r="Q171" s="214">
        <v>26</v>
      </c>
      <c r="R171" s="214">
        <v>27</v>
      </c>
      <c r="S171" s="214">
        <v>27</v>
      </c>
      <c r="T171" s="214">
        <v>30</v>
      </c>
      <c r="U171" s="215">
        <f>CW171</f>
        <v>44</v>
      </c>
      <c r="V171" s="34">
        <f>DA171</f>
        <v>28</v>
      </c>
      <c r="W171" s="215">
        <f>DE171</f>
        <v>25</v>
      </c>
      <c r="X171" s="34">
        <f>DI171</f>
        <v>29</v>
      </c>
      <c r="Y171" s="34">
        <f>DM171</f>
        <v>29</v>
      </c>
      <c r="Z171" s="34">
        <f>DQ171</f>
        <v>36</v>
      </c>
      <c r="AA171" s="34">
        <f t="shared" ref="AA171:AF171" si="541">INDEX($AH171:$EQ171,1,MATCH(AA$4,$AH$4:$EQ$4,0))</f>
        <v>38</v>
      </c>
      <c r="AB171" s="34">
        <f t="shared" si="541"/>
        <v>38</v>
      </c>
      <c r="AC171" s="34">
        <f t="shared" si="541"/>
        <v>38</v>
      </c>
      <c r="AD171" s="34">
        <f t="shared" si="541"/>
        <v>38</v>
      </c>
      <c r="AE171" s="34">
        <f t="shared" si="541"/>
        <v>38</v>
      </c>
      <c r="AF171" s="34">
        <f t="shared" si="541"/>
        <v>38</v>
      </c>
      <c r="AG171" s="210"/>
      <c r="AH171" s="208" t="s">
        <v>167</v>
      </c>
      <c r="AI171" s="208" t="s">
        <v>167</v>
      </c>
      <c r="AJ171" s="208" t="s">
        <v>167</v>
      </c>
      <c r="AK171" s="209">
        <f>E171</f>
        <v>29</v>
      </c>
      <c r="AL171" s="208" t="s">
        <v>167</v>
      </c>
      <c r="AM171" s="208" t="s">
        <v>167</v>
      </c>
      <c r="AN171" s="208" t="s">
        <v>167</v>
      </c>
      <c r="AO171" s="209">
        <f>F171</f>
        <v>29</v>
      </c>
      <c r="AP171" s="208" t="s">
        <v>167</v>
      </c>
      <c r="AQ171" s="208" t="s">
        <v>167</v>
      </c>
      <c r="AR171" s="208" t="s">
        <v>167</v>
      </c>
      <c r="AS171" s="209">
        <f>G171</f>
        <v>35</v>
      </c>
      <c r="AT171" s="208" t="s">
        <v>167</v>
      </c>
      <c r="AU171" s="208" t="s">
        <v>167</v>
      </c>
      <c r="AV171" s="208" t="s">
        <v>167</v>
      </c>
      <c r="AW171" s="209">
        <f>H171</f>
        <v>36</v>
      </c>
      <c r="AX171" s="208" t="s">
        <v>167</v>
      </c>
      <c r="AY171" s="208" t="s">
        <v>167</v>
      </c>
      <c r="AZ171" s="208" t="s">
        <v>167</v>
      </c>
      <c r="BA171" s="209">
        <f>I171</f>
        <v>39</v>
      </c>
      <c r="BB171" s="208" t="s">
        <v>167</v>
      </c>
      <c r="BC171" s="208" t="s">
        <v>167</v>
      </c>
      <c r="BD171" s="208" t="s">
        <v>167</v>
      </c>
      <c r="BE171" s="209">
        <f>J171</f>
        <v>44</v>
      </c>
      <c r="BF171" s="212" t="s">
        <v>167</v>
      </c>
      <c r="BG171" s="212" t="s">
        <v>167</v>
      </c>
      <c r="BH171" s="212" t="s">
        <v>167</v>
      </c>
      <c r="BI171" s="34">
        <f>K171</f>
        <v>39</v>
      </c>
      <c r="BJ171" s="212" t="s">
        <v>167</v>
      </c>
      <c r="BK171" s="212" t="s">
        <v>167</v>
      </c>
      <c r="BL171" s="212" t="s">
        <v>167</v>
      </c>
      <c r="BM171" s="34">
        <f>L171</f>
        <v>40</v>
      </c>
      <c r="BN171" s="212" t="s">
        <v>167</v>
      </c>
      <c r="BO171" s="212" t="s">
        <v>167</v>
      </c>
      <c r="BP171" s="212" t="s">
        <v>167</v>
      </c>
      <c r="BQ171" s="34">
        <f>M171</f>
        <v>37</v>
      </c>
      <c r="BR171" s="212" t="s">
        <v>167</v>
      </c>
      <c r="BS171" s="212" t="s">
        <v>167</v>
      </c>
      <c r="BT171" s="212" t="s">
        <v>167</v>
      </c>
      <c r="BU171" s="34">
        <f>N171</f>
        <v>33</v>
      </c>
      <c r="BV171" s="34">
        <f>AVERAGE(BU173:BV173)</f>
        <v>32.776833042252662</v>
      </c>
      <c r="BW171" s="34">
        <f>AVERAGE(BV173:BW173)</f>
        <v>32.648730143427919</v>
      </c>
      <c r="BX171" s="10">
        <v>30</v>
      </c>
      <c r="BY171" s="34">
        <f>O171</f>
        <v>32</v>
      </c>
      <c r="BZ171" s="34">
        <f>AVERAGE(BY173:BZ173)</f>
        <v>31.576788566987609</v>
      </c>
      <c r="CA171" s="34">
        <f>AVERAGE(BZ173:CA173)</f>
        <v>31.599531337744914</v>
      </c>
      <c r="CB171" s="34">
        <f>AVERAGE(CA173:CB173)</f>
        <v>32.114500371992044</v>
      </c>
      <c r="CC171" s="34">
        <f>P171</f>
        <v>26</v>
      </c>
      <c r="CD171" s="34">
        <f>AVERAGE(CC173:CD173)</f>
        <v>30.087101556708674</v>
      </c>
      <c r="CE171" s="34">
        <f>AVERAGE(CD173:CE173)</f>
        <v>27.475505205143907</v>
      </c>
      <c r="CF171" s="34">
        <f>AVERAGE(CE173:CF173)</f>
        <v>26.680467419904041</v>
      </c>
      <c r="CG171" s="34">
        <f>Q171</f>
        <v>26</v>
      </c>
      <c r="CH171" s="34">
        <f>AVERAGE(CG173:CH173)</f>
        <v>26.220380242196409</v>
      </c>
      <c r="CI171" s="34">
        <f>AVERAGE(CH173:CI173)</f>
        <v>26.762349839023905</v>
      </c>
      <c r="CJ171" s="34">
        <f>AVERAGE(CI173:CJ173)</f>
        <v>27.07170804307448</v>
      </c>
      <c r="CK171" s="34">
        <f>R171</f>
        <v>27</v>
      </c>
      <c r="CL171" s="34">
        <f>AVERAGE(CK173,CL173)</f>
        <v>26.68966914569031</v>
      </c>
      <c r="CM171" s="34">
        <f>AVERAGE(CL173,CM173)</f>
        <v>26.907019440548542</v>
      </c>
      <c r="CN171" s="34">
        <f>AVERAGE(CM173,CN173)</f>
        <v>27.157233447556031</v>
      </c>
      <c r="CO171" s="34">
        <f>S171</f>
        <v>27</v>
      </c>
      <c r="CP171" s="34">
        <f>AVERAGE(CP173,CQ173)</f>
        <v>26.802195903347382</v>
      </c>
      <c r="CQ171" s="34">
        <f>AVERAGE(CQ173,CR173)</f>
        <v>27.079804190953837</v>
      </c>
      <c r="CR171" s="34">
        <f>AVERAGE(CR173,CS173)</f>
        <v>26.45033711983028</v>
      </c>
      <c r="CS171" s="34">
        <f>T171</f>
        <v>30</v>
      </c>
      <c r="CT171" s="214">
        <v>32</v>
      </c>
      <c r="CU171" s="214">
        <v>33</v>
      </c>
      <c r="CV171" s="214">
        <v>32</v>
      </c>
      <c r="CW171" s="214">
        <v>44</v>
      </c>
      <c r="CX171" s="34">
        <f>CW171</f>
        <v>44</v>
      </c>
      <c r="CY171" s="214">
        <v>39</v>
      </c>
      <c r="CZ171" s="214">
        <v>28</v>
      </c>
      <c r="DA171" s="34">
        <f>CZ171</f>
        <v>28</v>
      </c>
      <c r="DB171" s="34">
        <f>DA171-3</f>
        <v>25</v>
      </c>
      <c r="DC171" s="34">
        <f>DB171-1</f>
        <v>24</v>
      </c>
      <c r="DD171" s="34">
        <f>DC171</f>
        <v>24</v>
      </c>
      <c r="DE171" s="214">
        <v>25</v>
      </c>
      <c r="DF171" s="214">
        <v>26</v>
      </c>
      <c r="DG171" s="214">
        <v>26</v>
      </c>
      <c r="DH171" s="214">
        <v>29</v>
      </c>
      <c r="DI171" s="214">
        <v>29</v>
      </c>
      <c r="DJ171" s="214">
        <v>29</v>
      </c>
      <c r="DK171" s="214">
        <v>29</v>
      </c>
      <c r="DL171" s="214">
        <v>29</v>
      </c>
      <c r="DM171" s="214">
        <v>29</v>
      </c>
      <c r="DN171" s="214">
        <v>29</v>
      </c>
      <c r="DO171" s="214">
        <v>29</v>
      </c>
      <c r="DP171" s="214">
        <v>34</v>
      </c>
      <c r="DQ171" s="214">
        <v>36</v>
      </c>
      <c r="DR171" s="214">
        <v>40</v>
      </c>
      <c r="DS171" s="214">
        <v>40</v>
      </c>
      <c r="DT171" s="214">
        <v>40</v>
      </c>
      <c r="DU171" s="214">
        <v>38</v>
      </c>
      <c r="DV171" s="214">
        <v>38</v>
      </c>
      <c r="DW171" s="214">
        <v>38</v>
      </c>
      <c r="DX171" s="214">
        <v>38</v>
      </c>
      <c r="DY171" s="214">
        <v>38</v>
      </c>
      <c r="DZ171" s="214">
        <v>38</v>
      </c>
      <c r="EA171" s="214">
        <v>38</v>
      </c>
      <c r="EB171" s="214">
        <v>38</v>
      </c>
      <c r="EC171" s="214">
        <v>38</v>
      </c>
      <c r="ED171" s="214">
        <v>38</v>
      </c>
      <c r="EE171" s="213">
        <f t="shared" ref="EE171:EP171" si="542">ED171+EE172</f>
        <v>38</v>
      </c>
      <c r="EF171" s="213">
        <f t="shared" si="542"/>
        <v>38</v>
      </c>
      <c r="EG171" s="213">
        <f t="shared" si="542"/>
        <v>38</v>
      </c>
      <c r="EH171" s="213">
        <f t="shared" si="542"/>
        <v>38</v>
      </c>
      <c r="EI171" s="213">
        <f t="shared" si="542"/>
        <v>38</v>
      </c>
      <c r="EJ171" s="213">
        <f t="shared" si="542"/>
        <v>38</v>
      </c>
      <c r="EK171" s="213">
        <f t="shared" si="542"/>
        <v>38</v>
      </c>
      <c r="EL171" s="213">
        <f t="shared" si="542"/>
        <v>38</v>
      </c>
      <c r="EM171" s="213">
        <f t="shared" si="542"/>
        <v>38</v>
      </c>
      <c r="EN171" s="213">
        <f t="shared" si="542"/>
        <v>38</v>
      </c>
      <c r="EO171" s="213">
        <f t="shared" si="542"/>
        <v>38</v>
      </c>
      <c r="EP171" s="213">
        <f t="shared" si="542"/>
        <v>38</v>
      </c>
      <c r="ES171" s="355">
        <f t="shared" si="436"/>
        <v>166</v>
      </c>
      <c r="ET171"/>
      <c r="EU171"/>
      <c r="EV171"/>
      <c r="EW171"/>
      <c r="EX171"/>
      <c r="EY17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</row>
    <row r="172" spans="1:257" s="4" customFormat="1" hidden="1" outlineLevel="2">
      <c r="A172" s="15"/>
      <c r="B172" s="65" t="s">
        <v>172</v>
      </c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210"/>
      <c r="AH172" s="208"/>
      <c r="AI172" s="208"/>
      <c r="AJ172" s="208"/>
      <c r="AK172" s="209"/>
      <c r="AL172" s="208"/>
      <c r="AM172" s="208"/>
      <c r="AN172" s="208"/>
      <c r="AO172" s="209"/>
      <c r="AP172" s="208"/>
      <c r="AQ172" s="208"/>
      <c r="AR172" s="208"/>
      <c r="AS172" s="209"/>
      <c r="AT172" s="208"/>
      <c r="AU172" s="208"/>
      <c r="AV172" s="208"/>
      <c r="AW172" s="209"/>
      <c r="AX172" s="208"/>
      <c r="AY172" s="208"/>
      <c r="AZ172" s="208"/>
      <c r="BA172" s="209"/>
      <c r="BB172" s="208"/>
      <c r="BC172" s="208"/>
      <c r="BD172" s="208"/>
      <c r="BE172" s="209"/>
      <c r="BF172" s="212"/>
      <c r="BG172" s="212"/>
      <c r="BH172" s="212"/>
      <c r="BI172" s="34"/>
      <c r="BJ172" s="212"/>
      <c r="BK172" s="212"/>
      <c r="BL172" s="212"/>
      <c r="BM172" s="34"/>
      <c r="BN172" s="212"/>
      <c r="BO172" s="212"/>
      <c r="BP172" s="212"/>
      <c r="BQ172" s="34"/>
      <c r="BR172" s="212"/>
      <c r="BS172" s="212"/>
      <c r="BT172" s="212"/>
      <c r="BU172" s="34"/>
      <c r="BV172" s="34"/>
      <c r="BW172" s="34"/>
      <c r="BX172" s="10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207">
        <f t="shared" ref="DK172:ED172" si="543">DK171-DJ171</f>
        <v>0</v>
      </c>
      <c r="DL172" s="207">
        <f t="shared" si="543"/>
        <v>0</v>
      </c>
      <c r="DM172" s="207">
        <f t="shared" si="543"/>
        <v>0</v>
      </c>
      <c r="DN172" s="207">
        <f t="shared" si="543"/>
        <v>0</v>
      </c>
      <c r="DO172" s="207">
        <f t="shared" si="543"/>
        <v>0</v>
      </c>
      <c r="DP172" s="207">
        <f t="shared" si="543"/>
        <v>5</v>
      </c>
      <c r="DQ172" s="207">
        <f t="shared" si="543"/>
        <v>2</v>
      </c>
      <c r="DR172" s="207">
        <f t="shared" si="543"/>
        <v>4</v>
      </c>
      <c r="DS172" s="207">
        <f t="shared" si="543"/>
        <v>0</v>
      </c>
      <c r="DT172" s="207">
        <f t="shared" si="543"/>
        <v>0</v>
      </c>
      <c r="DU172" s="207">
        <f t="shared" si="543"/>
        <v>-2</v>
      </c>
      <c r="DV172" s="207">
        <f t="shared" si="543"/>
        <v>0</v>
      </c>
      <c r="DW172" s="207">
        <f t="shared" si="543"/>
        <v>0</v>
      </c>
      <c r="DX172" s="207">
        <f t="shared" si="543"/>
        <v>0</v>
      </c>
      <c r="DY172" s="207">
        <f t="shared" si="543"/>
        <v>0</v>
      </c>
      <c r="DZ172" s="207">
        <f t="shared" si="543"/>
        <v>0</v>
      </c>
      <c r="EA172" s="207">
        <f t="shared" si="543"/>
        <v>0</v>
      </c>
      <c r="EB172" s="207">
        <f t="shared" si="543"/>
        <v>0</v>
      </c>
      <c r="EC172" s="207">
        <f t="shared" si="543"/>
        <v>0</v>
      </c>
      <c r="ED172" s="207">
        <f t="shared" si="543"/>
        <v>0</v>
      </c>
      <c r="EE172" s="211">
        <v>0</v>
      </c>
      <c r="EF172" s="211">
        <v>0</v>
      </c>
      <c r="EG172" s="211">
        <v>0</v>
      </c>
      <c r="EH172" s="211">
        <v>0</v>
      </c>
      <c r="EI172" s="211">
        <v>0</v>
      </c>
      <c r="EJ172" s="211">
        <v>0</v>
      </c>
      <c r="EK172" s="211">
        <v>0</v>
      </c>
      <c r="EL172" s="211">
        <v>0</v>
      </c>
      <c r="EM172" s="211">
        <v>0</v>
      </c>
      <c r="EN172" s="211">
        <v>0</v>
      </c>
      <c r="EO172" s="211">
        <v>0</v>
      </c>
      <c r="EP172" s="211">
        <v>0</v>
      </c>
      <c r="ES172" s="355">
        <f t="shared" si="436"/>
        <v>167</v>
      </c>
      <c r="ET172"/>
      <c r="EU172"/>
      <c r="EV172"/>
      <c r="EW172"/>
      <c r="EX172"/>
      <c r="EY172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</row>
    <row r="173" spans="1:257" s="4" customFormat="1" hidden="1" outlineLevel="2">
      <c r="A173" s="15"/>
      <c r="B173" s="65" t="s">
        <v>171</v>
      </c>
      <c r="C173" s="34"/>
      <c r="D173" s="34"/>
      <c r="E173" s="34">
        <f>E171</f>
        <v>29</v>
      </c>
      <c r="F173" s="34">
        <f t="shared" ref="F173:M173" si="544">AVERAGE(E171:F171)</f>
        <v>29</v>
      </c>
      <c r="G173" s="34">
        <f t="shared" si="544"/>
        <v>32</v>
      </c>
      <c r="H173" s="34">
        <f t="shared" si="544"/>
        <v>35.5</v>
      </c>
      <c r="I173" s="34">
        <f t="shared" si="544"/>
        <v>37.5</v>
      </c>
      <c r="J173" s="34">
        <f t="shared" si="544"/>
        <v>41.5</v>
      </c>
      <c r="K173" s="34">
        <f t="shared" si="544"/>
        <v>41.5</v>
      </c>
      <c r="L173" s="34">
        <f t="shared" si="544"/>
        <v>39.5</v>
      </c>
      <c r="M173" s="34">
        <f t="shared" si="544"/>
        <v>38.5</v>
      </c>
      <c r="N173" s="34">
        <f t="shared" ref="N173:T173" si="545">N174/N176</f>
        <v>33.522428149341927</v>
      </c>
      <c r="O173" s="34">
        <f t="shared" si="545"/>
        <v>31.717597471022128</v>
      </c>
      <c r="P173" s="34">
        <f t="shared" si="545"/>
        <v>31.704108480064761</v>
      </c>
      <c r="Q173" s="34">
        <f t="shared" si="545"/>
        <v>26.653620352250488</v>
      </c>
      <c r="R173" s="34">
        <f t="shared" si="545"/>
        <v>26.824961948249619</v>
      </c>
      <c r="S173" s="34">
        <f t="shared" si="545"/>
        <v>27.050228310502284</v>
      </c>
      <c r="T173" s="34">
        <f t="shared" si="545"/>
        <v>26.742636278821809</v>
      </c>
      <c r="U173" s="34">
        <f>AVERAGE(CT173:CW173)</f>
        <v>29.567090083907097</v>
      </c>
      <c r="V173" s="34">
        <f>AVERAGE(CX173:DA173)</f>
        <v>33.548346279324548</v>
      </c>
      <c r="W173" s="34">
        <f>AVERAGE(DB173:DE173)</f>
        <v>25.084036086301037</v>
      </c>
      <c r="X173" s="34">
        <f>AVERAGE(DF173:DI173)</f>
        <v>25.716591548051294</v>
      </c>
      <c r="Y173" s="34">
        <f>AVERAGE(DJ173:DM173)</f>
        <v>29.930186028331807</v>
      </c>
      <c r="Z173" s="34">
        <f>AVERAGE(DN173:DQ173)</f>
        <v>30.496600149246653</v>
      </c>
      <c r="AA173" s="34">
        <f t="shared" ref="AA173:AF173" si="546">AVERAGEIF($AH$5:$ER$5,AA$5,$AH173:$ER173)</f>
        <v>39.03063120454425</v>
      </c>
      <c r="AB173" s="34">
        <f t="shared" si="546"/>
        <v>38.053804068892738</v>
      </c>
      <c r="AC173" s="34">
        <f t="shared" si="546"/>
        <v>35.59039124904065</v>
      </c>
      <c r="AD173" s="34">
        <f t="shared" si="546"/>
        <v>38.083333333333336</v>
      </c>
      <c r="AE173" s="34">
        <f t="shared" si="546"/>
        <v>38</v>
      </c>
      <c r="AF173" s="34">
        <f t="shared" si="546"/>
        <v>38</v>
      </c>
      <c r="AG173" s="210"/>
      <c r="AH173" s="34"/>
      <c r="AI173" s="202" t="str">
        <f t="shared" ref="AI173:BR173" si="547">IF(ISERROR(AVERAGE(AH171:AI171)),"NM",AVERAGE(AH171:AI171))</f>
        <v>NM</v>
      </c>
      <c r="AJ173" s="202" t="str">
        <f t="shared" si="547"/>
        <v>NM</v>
      </c>
      <c r="AK173" s="202">
        <f t="shared" si="547"/>
        <v>29</v>
      </c>
      <c r="AL173" s="202">
        <f t="shared" si="547"/>
        <v>29</v>
      </c>
      <c r="AM173" s="202" t="str">
        <f t="shared" si="547"/>
        <v>NM</v>
      </c>
      <c r="AN173" s="202" t="str">
        <f t="shared" si="547"/>
        <v>NM</v>
      </c>
      <c r="AO173" s="202">
        <f t="shared" si="547"/>
        <v>29</v>
      </c>
      <c r="AP173" s="202">
        <f t="shared" si="547"/>
        <v>29</v>
      </c>
      <c r="AQ173" s="202" t="str">
        <f t="shared" si="547"/>
        <v>NM</v>
      </c>
      <c r="AR173" s="202" t="str">
        <f t="shared" si="547"/>
        <v>NM</v>
      </c>
      <c r="AS173" s="202">
        <f t="shared" si="547"/>
        <v>35</v>
      </c>
      <c r="AT173" s="202">
        <f t="shared" si="547"/>
        <v>35</v>
      </c>
      <c r="AU173" s="202" t="str">
        <f t="shared" si="547"/>
        <v>NM</v>
      </c>
      <c r="AV173" s="202" t="str">
        <f t="shared" si="547"/>
        <v>NM</v>
      </c>
      <c r="AW173" s="202">
        <f t="shared" si="547"/>
        <v>36</v>
      </c>
      <c r="AX173" s="202">
        <f t="shared" si="547"/>
        <v>36</v>
      </c>
      <c r="AY173" s="202" t="str">
        <f t="shared" si="547"/>
        <v>NM</v>
      </c>
      <c r="AZ173" s="202" t="str">
        <f t="shared" si="547"/>
        <v>NM</v>
      </c>
      <c r="BA173" s="202">
        <f t="shared" si="547"/>
        <v>39</v>
      </c>
      <c r="BB173" s="202">
        <f t="shared" si="547"/>
        <v>39</v>
      </c>
      <c r="BC173" s="202" t="str">
        <f t="shared" si="547"/>
        <v>NM</v>
      </c>
      <c r="BD173" s="202" t="str">
        <f t="shared" si="547"/>
        <v>NM</v>
      </c>
      <c r="BE173" s="202">
        <f t="shared" si="547"/>
        <v>44</v>
      </c>
      <c r="BF173" s="202">
        <f t="shared" si="547"/>
        <v>44</v>
      </c>
      <c r="BG173" s="202" t="str">
        <f t="shared" si="547"/>
        <v>NM</v>
      </c>
      <c r="BH173" s="202" t="str">
        <f t="shared" si="547"/>
        <v>NM</v>
      </c>
      <c r="BI173" s="202">
        <f t="shared" si="547"/>
        <v>39</v>
      </c>
      <c r="BJ173" s="202">
        <f t="shared" si="547"/>
        <v>39</v>
      </c>
      <c r="BK173" s="202" t="str">
        <f t="shared" si="547"/>
        <v>NM</v>
      </c>
      <c r="BL173" s="202" t="str">
        <f t="shared" si="547"/>
        <v>NM</v>
      </c>
      <c r="BM173" s="202">
        <f t="shared" si="547"/>
        <v>40</v>
      </c>
      <c r="BN173" s="202">
        <f t="shared" si="547"/>
        <v>40</v>
      </c>
      <c r="BO173" s="202" t="str">
        <f t="shared" si="547"/>
        <v>NM</v>
      </c>
      <c r="BP173" s="202" t="str">
        <f t="shared" si="547"/>
        <v>NM</v>
      </c>
      <c r="BQ173" s="202">
        <f t="shared" si="547"/>
        <v>37</v>
      </c>
      <c r="BR173" s="202">
        <f t="shared" si="547"/>
        <v>37</v>
      </c>
      <c r="BS173" s="34">
        <f t="shared" ref="BS173:CX173" si="548">BS174/BS176</f>
        <v>31.858237547892724</v>
      </c>
      <c r="BT173" s="34">
        <f t="shared" si="548"/>
        <v>32.119963369963372</v>
      </c>
      <c r="BU173" s="34">
        <f t="shared" si="548"/>
        <v>32.912032355915066</v>
      </c>
      <c r="BV173" s="34">
        <f t="shared" si="548"/>
        <v>32.64163372859025</v>
      </c>
      <c r="BW173" s="34">
        <f t="shared" si="548"/>
        <v>32.655826558265588</v>
      </c>
      <c r="BX173" s="34">
        <f t="shared" si="548"/>
        <v>30.948121645796068</v>
      </c>
      <c r="BY173" s="34">
        <f t="shared" si="548"/>
        <v>31.693363844393591</v>
      </c>
      <c r="BZ173" s="34">
        <f t="shared" si="548"/>
        <v>31.460213289581624</v>
      </c>
      <c r="CA173" s="34">
        <f t="shared" si="548"/>
        <v>31.738849385908207</v>
      </c>
      <c r="CB173" s="34">
        <f t="shared" si="548"/>
        <v>32.490151358075885</v>
      </c>
      <c r="CC173" s="34">
        <f t="shared" si="548"/>
        <v>32.265446224256294</v>
      </c>
      <c r="CD173" s="34">
        <f t="shared" si="548"/>
        <v>27.908756889161054</v>
      </c>
      <c r="CE173" s="34">
        <f t="shared" si="548"/>
        <v>27.04225352112676</v>
      </c>
      <c r="CF173" s="34">
        <f t="shared" si="548"/>
        <v>26.318681318681318</v>
      </c>
      <c r="CG173" s="34">
        <f t="shared" si="548"/>
        <v>25.882352941176471</v>
      </c>
      <c r="CH173" s="34">
        <f t="shared" si="548"/>
        <v>26.558407543216347</v>
      </c>
      <c r="CI173" s="34">
        <f t="shared" si="548"/>
        <v>26.966292134831459</v>
      </c>
      <c r="CJ173" s="34">
        <f t="shared" si="548"/>
        <v>27.177123951317498</v>
      </c>
      <c r="CK173" s="34">
        <f t="shared" si="548"/>
        <v>26.590389016018307</v>
      </c>
      <c r="CL173" s="34">
        <f t="shared" si="548"/>
        <v>26.788949275362317</v>
      </c>
      <c r="CM173" s="34">
        <f t="shared" si="548"/>
        <v>27.025089605734767</v>
      </c>
      <c r="CN173" s="34">
        <f t="shared" si="548"/>
        <v>27.289377289377292</v>
      </c>
      <c r="CO173" s="34">
        <f t="shared" si="548"/>
        <v>27.147074610842726</v>
      </c>
      <c r="CP173" s="34">
        <f t="shared" si="548"/>
        <v>26.583467525496513</v>
      </c>
      <c r="CQ173" s="34">
        <f t="shared" si="548"/>
        <v>27.020924281198255</v>
      </c>
      <c r="CR173" s="34">
        <f t="shared" si="548"/>
        <v>27.138684100709416</v>
      </c>
      <c r="CS173" s="34">
        <f t="shared" si="548"/>
        <v>25.761990138951145</v>
      </c>
      <c r="CT173" s="34">
        <f t="shared" si="548"/>
        <v>26.430789707187223</v>
      </c>
      <c r="CU173" s="34">
        <f t="shared" si="548"/>
        <v>28.120713305898491</v>
      </c>
      <c r="CV173" s="34">
        <f t="shared" si="548"/>
        <v>28.748670684154558</v>
      </c>
      <c r="CW173" s="34">
        <f t="shared" si="548"/>
        <v>34.968186638388126</v>
      </c>
      <c r="CX173" s="34">
        <f t="shared" si="548"/>
        <v>41.724308300395258</v>
      </c>
      <c r="CY173" s="34">
        <f t="shared" ref="CY173:EA173" si="549">CY174/CY176</f>
        <v>37.73504273504274</v>
      </c>
      <c r="CZ173" s="34">
        <f t="shared" si="549"/>
        <v>27.197802197802201</v>
      </c>
      <c r="DA173" s="34">
        <f t="shared" si="549"/>
        <v>27.536231884057973</v>
      </c>
      <c r="DB173" s="34">
        <f t="shared" si="549"/>
        <v>27.502860411899309</v>
      </c>
      <c r="DC173" s="34">
        <f t="shared" si="549"/>
        <v>24.670138888888889</v>
      </c>
      <c r="DD173" s="34">
        <f t="shared" si="549"/>
        <v>24.294167371090449</v>
      </c>
      <c r="DE173" s="34">
        <f t="shared" si="549"/>
        <v>23.868977673325503</v>
      </c>
      <c r="DF173" s="34">
        <f t="shared" si="549"/>
        <v>24.094202898550726</v>
      </c>
      <c r="DG173" s="34">
        <f t="shared" si="549"/>
        <v>24.809805579036347</v>
      </c>
      <c r="DH173" s="34">
        <f t="shared" si="549"/>
        <v>26.430712144997859</v>
      </c>
      <c r="DI173" s="34">
        <f t="shared" si="549"/>
        <v>27.531645569620252</v>
      </c>
      <c r="DJ173" s="34">
        <f t="shared" si="549"/>
        <v>28.606138107416882</v>
      </c>
      <c r="DK173" s="34">
        <f t="shared" si="549"/>
        <v>28.817663817663817</v>
      </c>
      <c r="DL173" s="34">
        <f t="shared" si="549"/>
        <v>30.036630036630033</v>
      </c>
      <c r="DM173" s="34">
        <f t="shared" si="549"/>
        <v>32.260312151616503</v>
      </c>
      <c r="DN173" s="34">
        <f t="shared" si="549"/>
        <v>30.044593088071348</v>
      </c>
      <c r="DO173" s="34">
        <f t="shared" si="549"/>
        <v>28.945868945868948</v>
      </c>
      <c r="DP173" s="34">
        <f t="shared" si="549"/>
        <v>30.056430056430056</v>
      </c>
      <c r="DQ173" s="34">
        <f t="shared" si="549"/>
        <v>32.939508506616264</v>
      </c>
      <c r="DR173" s="34">
        <f t="shared" si="549"/>
        <v>35.886818495514149</v>
      </c>
      <c r="DS173" s="34">
        <f t="shared" si="549"/>
        <v>39.358974358974358</v>
      </c>
      <c r="DT173" s="34">
        <f t="shared" si="549"/>
        <v>40.659340659340657</v>
      </c>
      <c r="DU173" s="34">
        <f t="shared" si="549"/>
        <v>40.217391304347828</v>
      </c>
      <c r="DV173" s="34">
        <f t="shared" si="549"/>
        <v>38.342391304347828</v>
      </c>
      <c r="DW173" s="34">
        <f t="shared" si="549"/>
        <v>37.796414112203585</v>
      </c>
      <c r="DX173" s="34">
        <f t="shared" si="549"/>
        <v>37.837837837837839</v>
      </c>
      <c r="DY173" s="34">
        <f t="shared" si="549"/>
        <v>38.238573021181715</v>
      </c>
      <c r="DZ173" s="34">
        <f t="shared" si="549"/>
        <v>38.109354413702235</v>
      </c>
      <c r="EA173" s="34">
        <f t="shared" si="549"/>
        <v>38.666666666666664</v>
      </c>
      <c r="EB173" s="34">
        <f t="shared" ref="EB173:EC173" si="550">EB174/EB176</f>
        <v>27.659574468085108</v>
      </c>
      <c r="EC173" s="34">
        <f t="shared" si="550"/>
        <v>37.925969447708582</v>
      </c>
      <c r="ED173" s="34">
        <f t="shared" ref="ED173" si="551">ED174/ED176</f>
        <v>38.333333333333336</v>
      </c>
      <c r="EE173" s="34">
        <f t="shared" ref="EE173:EP173" si="552">AVERAGE(ED171:EE171)</f>
        <v>38</v>
      </c>
      <c r="EF173" s="34">
        <f t="shared" si="552"/>
        <v>38</v>
      </c>
      <c r="EG173" s="34">
        <f t="shared" si="552"/>
        <v>38</v>
      </c>
      <c r="EH173" s="34">
        <f t="shared" si="552"/>
        <v>38</v>
      </c>
      <c r="EI173" s="34">
        <f t="shared" si="552"/>
        <v>38</v>
      </c>
      <c r="EJ173" s="34">
        <f t="shared" si="552"/>
        <v>38</v>
      </c>
      <c r="EK173" s="34">
        <f t="shared" si="552"/>
        <v>38</v>
      </c>
      <c r="EL173" s="34">
        <f t="shared" si="552"/>
        <v>38</v>
      </c>
      <c r="EM173" s="34">
        <f t="shared" si="552"/>
        <v>38</v>
      </c>
      <c r="EN173" s="34">
        <f t="shared" si="552"/>
        <v>38</v>
      </c>
      <c r="EO173" s="34">
        <f t="shared" si="552"/>
        <v>38</v>
      </c>
      <c r="EP173" s="34">
        <f t="shared" si="552"/>
        <v>38</v>
      </c>
      <c r="ES173" s="355">
        <f t="shared" si="436"/>
        <v>168</v>
      </c>
      <c r="ET173"/>
      <c r="EU173"/>
      <c r="EV173"/>
      <c r="EW173"/>
      <c r="EX173"/>
      <c r="EY173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</row>
    <row r="174" spans="1:257" s="4" customFormat="1" hidden="1" outlineLevel="2">
      <c r="A174" s="15"/>
      <c r="B174" s="65" t="s">
        <v>170</v>
      </c>
      <c r="C174" s="34"/>
      <c r="D174" s="34"/>
      <c r="E174" s="34">
        <f t="shared" ref="E174:M174" si="553">E173*E176</f>
        <v>19.720000000000002</v>
      </c>
      <c r="F174" s="34">
        <f t="shared" si="553"/>
        <v>25.52</v>
      </c>
      <c r="G174" s="34">
        <f t="shared" si="553"/>
        <v>26.88</v>
      </c>
      <c r="H174" s="34">
        <f t="shared" si="553"/>
        <v>30.175000000000001</v>
      </c>
      <c r="I174" s="34">
        <f t="shared" si="553"/>
        <v>34.125</v>
      </c>
      <c r="J174" s="34">
        <f t="shared" si="553"/>
        <v>36.520000000000003</v>
      </c>
      <c r="K174" s="34">
        <f t="shared" si="553"/>
        <v>21.995000000000001</v>
      </c>
      <c r="L174" s="34">
        <f t="shared" si="553"/>
        <v>18.564999999999998</v>
      </c>
      <c r="M174" s="34">
        <f t="shared" si="553"/>
        <v>21.560000000000002</v>
      </c>
      <c r="N174" s="34">
        <f t="shared" ref="N174:AF174" si="554">N175/N3</f>
        <v>17.096438356164384</v>
      </c>
      <c r="O174" s="34">
        <f t="shared" si="554"/>
        <v>12.36986301369863</v>
      </c>
      <c r="P174" s="34">
        <f t="shared" si="554"/>
        <v>17.120218579234972</v>
      </c>
      <c r="Q174" s="34">
        <f t="shared" si="554"/>
        <v>20.523287671232875</v>
      </c>
      <c r="R174" s="34">
        <f t="shared" si="554"/>
        <v>24.142465753424659</v>
      </c>
      <c r="S174" s="34">
        <f t="shared" si="554"/>
        <v>24.345205479452055</v>
      </c>
      <c r="T174" s="34">
        <f t="shared" si="554"/>
        <v>21.928961748633881</v>
      </c>
      <c r="U174" s="34">
        <f t="shared" si="554"/>
        <v>20.202739726027396</v>
      </c>
      <c r="V174" s="34">
        <f t="shared" si="554"/>
        <v>20.032876712328768</v>
      </c>
      <c r="W174" s="34">
        <f t="shared" si="554"/>
        <v>17.550684931506851</v>
      </c>
      <c r="X174" s="34">
        <f t="shared" si="554"/>
        <v>20.062841530054644</v>
      </c>
      <c r="Y174" s="34">
        <f t="shared" si="554"/>
        <v>23.854794520547944</v>
      </c>
      <c r="Z174" s="34">
        <f t="shared" si="554"/>
        <v>22.747945205479454</v>
      </c>
      <c r="AA174" s="34">
        <f t="shared" si="554"/>
        <v>20.476712328767125</v>
      </c>
      <c r="AB174" s="34">
        <f t="shared" si="554"/>
        <v>14.655737704918034</v>
      </c>
      <c r="AC174" s="34">
        <f t="shared" si="554"/>
        <v>12.331506849315069</v>
      </c>
      <c r="AD174" s="34">
        <f t="shared" si="554"/>
        <v>17.540958904109587</v>
      </c>
      <c r="AE174" s="34">
        <f t="shared" si="554"/>
        <v>19.753424657534246</v>
      </c>
      <c r="AF174" s="34">
        <f t="shared" si="554"/>
        <v>22.06027397260274</v>
      </c>
      <c r="AG174" s="210"/>
      <c r="AH174" s="208"/>
      <c r="AI174" s="208" t="str">
        <f t="shared" ref="AI174:BR174" si="555">IF(ISERROR(AI173*AI176),"NM",(AI173*AI176))</f>
        <v>NM</v>
      </c>
      <c r="AJ174" s="208" t="str">
        <f t="shared" si="555"/>
        <v>NM</v>
      </c>
      <c r="AK174" s="208" t="str">
        <f t="shared" si="555"/>
        <v>NM</v>
      </c>
      <c r="AL174" s="208" t="str">
        <f t="shared" si="555"/>
        <v>NM</v>
      </c>
      <c r="AM174" s="208" t="str">
        <f t="shared" si="555"/>
        <v>NM</v>
      </c>
      <c r="AN174" s="208" t="str">
        <f t="shared" si="555"/>
        <v>NM</v>
      </c>
      <c r="AO174" s="208" t="str">
        <f t="shared" si="555"/>
        <v>NM</v>
      </c>
      <c r="AP174" s="209">
        <f t="shared" si="555"/>
        <v>24.36</v>
      </c>
      <c r="AQ174" s="208" t="str">
        <f t="shared" si="555"/>
        <v>NM</v>
      </c>
      <c r="AR174" s="208" t="str">
        <f t="shared" si="555"/>
        <v>NM</v>
      </c>
      <c r="AS174" s="208" t="str">
        <f t="shared" si="555"/>
        <v>NM</v>
      </c>
      <c r="AT174" s="209">
        <f t="shared" si="555"/>
        <v>31.5</v>
      </c>
      <c r="AU174" s="208" t="str">
        <f t="shared" si="555"/>
        <v>NM</v>
      </c>
      <c r="AV174" s="208" t="str">
        <f t="shared" si="555"/>
        <v>NM</v>
      </c>
      <c r="AW174" s="208" t="str">
        <f t="shared" si="555"/>
        <v>NM</v>
      </c>
      <c r="AX174" s="209">
        <f t="shared" si="555"/>
        <v>30.96</v>
      </c>
      <c r="AY174" s="208" t="str">
        <f t="shared" si="555"/>
        <v>NM</v>
      </c>
      <c r="AZ174" s="208" t="str">
        <f t="shared" si="555"/>
        <v>NM</v>
      </c>
      <c r="BA174" s="208" t="str">
        <f t="shared" si="555"/>
        <v>NM</v>
      </c>
      <c r="BB174" s="209">
        <f t="shared" si="555"/>
        <v>35.49</v>
      </c>
      <c r="BC174" s="208" t="str">
        <f t="shared" si="555"/>
        <v>NM</v>
      </c>
      <c r="BD174" s="208" t="str">
        <f t="shared" si="555"/>
        <v>NM</v>
      </c>
      <c r="BE174" s="208" t="str">
        <f t="shared" si="555"/>
        <v>NM</v>
      </c>
      <c r="BF174" s="202">
        <f t="shared" si="555"/>
        <v>28.6</v>
      </c>
      <c r="BG174" s="202" t="str">
        <f t="shared" si="555"/>
        <v>NM</v>
      </c>
      <c r="BH174" s="202" t="str">
        <f t="shared" si="555"/>
        <v>NM</v>
      </c>
      <c r="BI174" s="202" t="str">
        <f t="shared" si="555"/>
        <v>NM</v>
      </c>
      <c r="BJ174" s="202">
        <f t="shared" si="555"/>
        <v>18.329999999999998</v>
      </c>
      <c r="BK174" s="202" t="str">
        <f t="shared" si="555"/>
        <v>NM</v>
      </c>
      <c r="BL174" s="202" t="str">
        <f t="shared" si="555"/>
        <v>NM</v>
      </c>
      <c r="BM174" s="202">
        <f t="shared" si="555"/>
        <v>20</v>
      </c>
      <c r="BN174" s="202">
        <f t="shared" si="555"/>
        <v>21.200000000000003</v>
      </c>
      <c r="BO174" s="202" t="str">
        <f t="shared" si="555"/>
        <v>NM</v>
      </c>
      <c r="BP174" s="202" t="str">
        <f t="shared" si="555"/>
        <v>NM</v>
      </c>
      <c r="BQ174" s="202">
        <f t="shared" si="555"/>
        <v>22.94</v>
      </c>
      <c r="BR174" s="202">
        <f t="shared" si="555"/>
        <v>20.350000000000001</v>
      </c>
      <c r="BS174" s="34">
        <f t="shared" ref="BS174:CX174" si="556">BS175/BS3</f>
        <v>18.477777777777778</v>
      </c>
      <c r="BT174" s="34">
        <f t="shared" si="556"/>
        <v>15.417582417582418</v>
      </c>
      <c r="BU174" s="34">
        <f t="shared" si="556"/>
        <v>14.152173913043478</v>
      </c>
      <c r="BV174" s="34">
        <f t="shared" si="556"/>
        <v>10.771739130434783</v>
      </c>
      <c r="BW174" s="34">
        <f t="shared" si="556"/>
        <v>13.388888888888889</v>
      </c>
      <c r="BX174" s="34">
        <f t="shared" si="556"/>
        <v>13.307692307692308</v>
      </c>
      <c r="BY174" s="34">
        <f t="shared" si="556"/>
        <v>12.043478260869565</v>
      </c>
      <c r="BZ174" s="34">
        <f t="shared" si="556"/>
        <v>16.673913043478262</v>
      </c>
      <c r="CA174" s="34">
        <f t="shared" si="556"/>
        <v>16.186813186813186</v>
      </c>
      <c r="CB174" s="34">
        <f t="shared" si="556"/>
        <v>17.219780219780219</v>
      </c>
      <c r="CC174" s="34">
        <f t="shared" si="556"/>
        <v>18.391304347826086</v>
      </c>
      <c r="CD174" s="34">
        <f t="shared" si="556"/>
        <v>19.815217391304348</v>
      </c>
      <c r="CE174" s="34">
        <f t="shared" si="556"/>
        <v>19.2</v>
      </c>
      <c r="CF174" s="34">
        <f t="shared" si="556"/>
        <v>21.054945054945055</v>
      </c>
      <c r="CG174" s="34">
        <f t="shared" si="556"/>
        <v>22</v>
      </c>
      <c r="CH174" s="34">
        <f t="shared" si="556"/>
        <v>22.043478260869566</v>
      </c>
      <c r="CI174" s="34">
        <f t="shared" si="556"/>
        <v>24</v>
      </c>
      <c r="CJ174" s="34">
        <f t="shared" si="556"/>
        <v>25.274725274725274</v>
      </c>
      <c r="CK174" s="34">
        <f t="shared" si="556"/>
        <v>25.260869565217391</v>
      </c>
      <c r="CL174" s="34">
        <f t="shared" si="556"/>
        <v>25.717391304347824</v>
      </c>
      <c r="CM174" s="34">
        <f t="shared" si="556"/>
        <v>25.133333333333333</v>
      </c>
      <c r="CN174" s="34">
        <f t="shared" si="556"/>
        <v>24.560439560439562</v>
      </c>
      <c r="CO174" s="34">
        <f t="shared" si="556"/>
        <v>21.989130434782609</v>
      </c>
      <c r="CP174" s="34">
        <f t="shared" si="556"/>
        <v>21.532608695652176</v>
      </c>
      <c r="CQ174" s="34">
        <f t="shared" si="556"/>
        <v>19.725274725274726</v>
      </c>
      <c r="CR174" s="34">
        <f t="shared" si="556"/>
        <v>21.439560439560438</v>
      </c>
      <c r="CS174" s="34">
        <f t="shared" si="556"/>
        <v>24.989130434782609</v>
      </c>
      <c r="CT174" s="34">
        <f t="shared" si="556"/>
        <v>25.902173913043477</v>
      </c>
      <c r="CU174" s="34">
        <f t="shared" si="556"/>
        <v>22.777777777777779</v>
      </c>
      <c r="CV174" s="34">
        <f t="shared" si="556"/>
        <v>17.824175824175825</v>
      </c>
      <c r="CW174" s="34">
        <f t="shared" si="556"/>
        <v>14.336956521739131</v>
      </c>
      <c r="CX174" s="34">
        <f t="shared" si="556"/>
        <v>18.358695652173914</v>
      </c>
      <c r="CY174" s="34">
        <f t="shared" ref="CY174:EA174" si="557">CY175/CY3</f>
        <v>19.622222222222224</v>
      </c>
      <c r="CZ174" s="34">
        <f t="shared" si="557"/>
        <v>20.670329670329672</v>
      </c>
      <c r="DA174" s="34">
        <f t="shared" si="557"/>
        <v>21.478260869565219</v>
      </c>
      <c r="DB174" s="34">
        <f t="shared" si="557"/>
        <v>20.902173913043477</v>
      </c>
      <c r="DC174" s="34">
        <f t="shared" si="557"/>
        <v>15.78888888888889</v>
      </c>
      <c r="DD174" s="34">
        <f t="shared" si="557"/>
        <v>15.791208791208792</v>
      </c>
      <c r="DE174" s="34">
        <f t="shared" si="557"/>
        <v>17.663043478260871</v>
      </c>
      <c r="DF174" s="34">
        <f t="shared" si="557"/>
        <v>18.793478260869566</v>
      </c>
      <c r="DG174" s="34">
        <f t="shared" si="557"/>
        <v>19.35164835164835</v>
      </c>
      <c r="DH174" s="34">
        <f t="shared" si="557"/>
        <v>20.35164835164835</v>
      </c>
      <c r="DI174" s="34">
        <f t="shared" si="557"/>
        <v>21.75</v>
      </c>
      <c r="DJ174" s="34">
        <f t="shared" si="557"/>
        <v>24.315217391304348</v>
      </c>
      <c r="DK174" s="34">
        <f t="shared" si="557"/>
        <v>22.477777777777778</v>
      </c>
      <c r="DL174" s="34">
        <f t="shared" si="557"/>
        <v>23.428571428571427</v>
      </c>
      <c r="DM174" s="34">
        <f t="shared" si="557"/>
        <v>25.163043478260871</v>
      </c>
      <c r="DN174" s="34">
        <f t="shared" si="557"/>
        <v>23.434782608695652</v>
      </c>
      <c r="DO174" s="34">
        <f t="shared" si="557"/>
        <v>22.577777777777779</v>
      </c>
      <c r="DP174" s="34">
        <f t="shared" si="557"/>
        <v>22.241758241758241</v>
      </c>
      <c r="DQ174" s="34">
        <f t="shared" si="557"/>
        <v>22.728260869565219</v>
      </c>
      <c r="DR174" s="34">
        <f t="shared" si="557"/>
        <v>22.608695652173914</v>
      </c>
      <c r="DS174" s="34">
        <f t="shared" si="557"/>
        <v>20.466666666666665</v>
      </c>
      <c r="DT174" s="34">
        <f t="shared" si="557"/>
        <v>20.736263736263737</v>
      </c>
      <c r="DU174" s="34">
        <f t="shared" si="557"/>
        <v>18.097826086956523</v>
      </c>
      <c r="DV174" s="34">
        <f t="shared" si="557"/>
        <v>15.336956521739131</v>
      </c>
      <c r="DW174" s="34">
        <f t="shared" si="557"/>
        <v>14.362637362637363</v>
      </c>
      <c r="DX174" s="34">
        <f t="shared" si="557"/>
        <v>14</v>
      </c>
      <c r="DY174" s="34">
        <f t="shared" si="557"/>
        <v>14.913043478260869</v>
      </c>
      <c r="DZ174" s="34">
        <f t="shared" si="557"/>
        <v>12.576086956521738</v>
      </c>
      <c r="EA174" s="34">
        <f t="shared" si="557"/>
        <v>9.6666666666666661</v>
      </c>
      <c r="EB174" s="34">
        <f t="shared" ref="EB174:EC174" si="558">EB175/EB3</f>
        <v>13</v>
      </c>
      <c r="EC174" s="34">
        <f t="shared" si="558"/>
        <v>14.032608695652174</v>
      </c>
      <c r="ED174" s="34">
        <f t="shared" ref="ED174" si="559">ED175/ED3</f>
        <v>17.25</v>
      </c>
      <c r="EE174" s="207">
        <f t="shared" ref="EE174:EP174" si="560">EE74</f>
        <v>16.905000000000001</v>
      </c>
      <c r="EF174" s="207">
        <f t="shared" si="560"/>
        <v>18</v>
      </c>
      <c r="EG174" s="207">
        <f t="shared" si="560"/>
        <v>18</v>
      </c>
      <c r="EH174" s="207">
        <f t="shared" si="560"/>
        <v>19</v>
      </c>
      <c r="EI174" s="207">
        <f t="shared" si="560"/>
        <v>19</v>
      </c>
      <c r="EJ174" s="207">
        <f t="shared" si="560"/>
        <v>20</v>
      </c>
      <c r="EK174" s="207">
        <f t="shared" si="560"/>
        <v>21</v>
      </c>
      <c r="EL174" s="207">
        <f t="shared" si="560"/>
        <v>22</v>
      </c>
      <c r="EM174" s="207">
        <f t="shared" si="560"/>
        <v>22</v>
      </c>
      <c r="EN174" s="207">
        <f t="shared" si="560"/>
        <v>22</v>
      </c>
      <c r="EO174" s="207">
        <f t="shared" si="560"/>
        <v>22</v>
      </c>
      <c r="EP174" s="207">
        <f t="shared" si="560"/>
        <v>22</v>
      </c>
      <c r="ES174" s="355">
        <f t="shared" si="436"/>
        <v>169</v>
      </c>
      <c r="ET174"/>
      <c r="EU174"/>
      <c r="EV174"/>
      <c r="EW174"/>
      <c r="EX174"/>
      <c r="EY174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</row>
    <row r="175" spans="1:257" s="4" customFormat="1" hidden="1" outlineLevel="2">
      <c r="A175" s="15"/>
      <c r="B175" s="65" t="s">
        <v>169</v>
      </c>
      <c r="C175" s="33"/>
      <c r="D175" s="33"/>
      <c r="E175" s="34">
        <f t="shared" ref="E175:AF175" si="561">SUMIF($AH$5:$ER$5,E$5,$AH175:$ER175)</f>
        <v>0</v>
      </c>
      <c r="F175" s="34">
        <f t="shared" si="561"/>
        <v>0</v>
      </c>
      <c r="G175" s="34">
        <f t="shared" si="561"/>
        <v>2241.12</v>
      </c>
      <c r="H175" s="33">
        <f t="shared" si="561"/>
        <v>2898</v>
      </c>
      <c r="I175" s="33">
        <f t="shared" si="561"/>
        <v>2848.32</v>
      </c>
      <c r="J175" s="33">
        <f t="shared" si="561"/>
        <v>3265.0800000000004</v>
      </c>
      <c r="K175" s="33">
        <f t="shared" si="561"/>
        <v>2631.2000000000003</v>
      </c>
      <c r="L175" s="33">
        <f t="shared" si="561"/>
        <v>3526.3599999999997</v>
      </c>
      <c r="M175" s="33">
        <f t="shared" si="561"/>
        <v>4060.88</v>
      </c>
      <c r="N175" s="33">
        <f t="shared" si="561"/>
        <v>6240.2</v>
      </c>
      <c r="O175" s="33">
        <f t="shared" si="561"/>
        <v>4515</v>
      </c>
      <c r="P175" s="33">
        <f t="shared" si="561"/>
        <v>6266</v>
      </c>
      <c r="Q175" s="33">
        <f t="shared" si="561"/>
        <v>7491</v>
      </c>
      <c r="R175" s="33">
        <f t="shared" si="561"/>
        <v>8812</v>
      </c>
      <c r="S175" s="33">
        <f t="shared" si="561"/>
        <v>8886</v>
      </c>
      <c r="T175" s="33">
        <f t="shared" si="561"/>
        <v>8026</v>
      </c>
      <c r="U175" s="33">
        <f t="shared" si="561"/>
        <v>7374</v>
      </c>
      <c r="V175" s="33">
        <f t="shared" si="561"/>
        <v>7312</v>
      </c>
      <c r="W175" s="33">
        <f t="shared" si="561"/>
        <v>6406</v>
      </c>
      <c r="X175" s="33">
        <f t="shared" si="561"/>
        <v>7343</v>
      </c>
      <c r="Y175" s="33">
        <f t="shared" si="561"/>
        <v>8707</v>
      </c>
      <c r="Z175" s="33">
        <f t="shared" si="561"/>
        <v>8303</v>
      </c>
      <c r="AA175" s="33">
        <f t="shared" si="561"/>
        <v>7474</v>
      </c>
      <c r="AB175" s="34">
        <f t="shared" si="561"/>
        <v>5364</v>
      </c>
      <c r="AC175" s="34">
        <f t="shared" si="561"/>
        <v>4501</v>
      </c>
      <c r="AD175" s="34">
        <f t="shared" si="561"/>
        <v>6402.45</v>
      </c>
      <c r="AE175" s="34">
        <f t="shared" si="561"/>
        <v>7210</v>
      </c>
      <c r="AF175" s="34">
        <f t="shared" si="561"/>
        <v>8052</v>
      </c>
      <c r="AG175" s="32"/>
      <c r="AH175" s="33"/>
      <c r="AI175" s="202" t="str">
        <f t="shared" ref="AI175:BR175" si="562">IF(ISERROR(AI174*AI3),"NM",(AI174*AI3))</f>
        <v>NM</v>
      </c>
      <c r="AJ175" s="202" t="str">
        <f t="shared" si="562"/>
        <v>NM</v>
      </c>
      <c r="AK175" s="202" t="str">
        <f t="shared" si="562"/>
        <v>NM</v>
      </c>
      <c r="AL175" s="202" t="str">
        <f t="shared" si="562"/>
        <v>NM</v>
      </c>
      <c r="AM175" s="202" t="str">
        <f t="shared" si="562"/>
        <v>NM</v>
      </c>
      <c r="AN175" s="202" t="str">
        <f t="shared" si="562"/>
        <v>NM</v>
      </c>
      <c r="AO175" s="202" t="str">
        <f t="shared" si="562"/>
        <v>NM</v>
      </c>
      <c r="AP175" s="202">
        <f t="shared" si="562"/>
        <v>2241.12</v>
      </c>
      <c r="AQ175" s="202" t="str">
        <f t="shared" si="562"/>
        <v>NM</v>
      </c>
      <c r="AR175" s="202" t="str">
        <f t="shared" si="562"/>
        <v>NM</v>
      </c>
      <c r="AS175" s="202" t="str">
        <f t="shared" si="562"/>
        <v>NM</v>
      </c>
      <c r="AT175" s="202">
        <f t="shared" si="562"/>
        <v>2898</v>
      </c>
      <c r="AU175" s="202" t="str">
        <f t="shared" si="562"/>
        <v>NM</v>
      </c>
      <c r="AV175" s="202" t="str">
        <f t="shared" si="562"/>
        <v>NM</v>
      </c>
      <c r="AW175" s="202" t="str">
        <f t="shared" si="562"/>
        <v>NM</v>
      </c>
      <c r="AX175" s="202">
        <f t="shared" si="562"/>
        <v>2848.32</v>
      </c>
      <c r="AY175" s="202" t="str">
        <f t="shared" si="562"/>
        <v>NM</v>
      </c>
      <c r="AZ175" s="202" t="str">
        <f t="shared" si="562"/>
        <v>NM</v>
      </c>
      <c r="BA175" s="202" t="str">
        <f t="shared" si="562"/>
        <v>NM</v>
      </c>
      <c r="BB175" s="202">
        <f t="shared" si="562"/>
        <v>3265.0800000000004</v>
      </c>
      <c r="BC175" s="202" t="str">
        <f t="shared" si="562"/>
        <v>NM</v>
      </c>
      <c r="BD175" s="202" t="str">
        <f t="shared" si="562"/>
        <v>NM</v>
      </c>
      <c r="BE175" s="202" t="str">
        <f t="shared" si="562"/>
        <v>NM</v>
      </c>
      <c r="BF175" s="202">
        <f t="shared" si="562"/>
        <v>2631.2000000000003</v>
      </c>
      <c r="BG175" s="202" t="str">
        <f t="shared" si="562"/>
        <v>NM</v>
      </c>
      <c r="BH175" s="202" t="str">
        <f t="shared" si="562"/>
        <v>NM</v>
      </c>
      <c r="BI175" s="202" t="str">
        <f t="shared" si="562"/>
        <v>NM</v>
      </c>
      <c r="BJ175" s="202">
        <f t="shared" si="562"/>
        <v>1686.36</v>
      </c>
      <c r="BK175" s="202" t="str">
        <f t="shared" si="562"/>
        <v>NM</v>
      </c>
      <c r="BL175" s="202" t="str">
        <f t="shared" si="562"/>
        <v>NM</v>
      </c>
      <c r="BM175" s="202">
        <f t="shared" si="562"/>
        <v>1840</v>
      </c>
      <c r="BN175" s="202">
        <f t="shared" si="562"/>
        <v>1950.4000000000003</v>
      </c>
      <c r="BO175" s="202" t="str">
        <f t="shared" si="562"/>
        <v>NM</v>
      </c>
      <c r="BP175" s="202" t="str">
        <f t="shared" si="562"/>
        <v>NM</v>
      </c>
      <c r="BQ175" s="202">
        <f t="shared" si="562"/>
        <v>2110.48</v>
      </c>
      <c r="BR175" s="202">
        <f t="shared" si="562"/>
        <v>1872.2</v>
      </c>
      <c r="BS175" s="200">
        <v>1663</v>
      </c>
      <c r="BT175" s="200">
        <v>1403</v>
      </c>
      <c r="BU175" s="200">
        <v>1302</v>
      </c>
      <c r="BV175" s="200">
        <v>991</v>
      </c>
      <c r="BW175" s="200">
        <v>1205</v>
      </c>
      <c r="BX175" s="200">
        <v>1211</v>
      </c>
      <c r="BY175" s="200">
        <v>1108</v>
      </c>
      <c r="BZ175" s="200">
        <v>1534</v>
      </c>
      <c r="CA175" s="200">
        <v>1473</v>
      </c>
      <c r="CB175" s="200">
        <v>1567</v>
      </c>
      <c r="CC175" s="200">
        <v>1692</v>
      </c>
      <c r="CD175" s="200">
        <v>1823</v>
      </c>
      <c r="CE175" s="200">
        <v>1728</v>
      </c>
      <c r="CF175" s="200">
        <v>1916</v>
      </c>
      <c r="CG175" s="200">
        <v>2024</v>
      </c>
      <c r="CH175" s="200">
        <v>2028</v>
      </c>
      <c r="CI175" s="200">
        <v>2160</v>
      </c>
      <c r="CJ175" s="200">
        <v>2300</v>
      </c>
      <c r="CK175" s="200">
        <v>2324</v>
      </c>
      <c r="CL175" s="200">
        <v>2366</v>
      </c>
      <c r="CM175" s="200">
        <v>2262</v>
      </c>
      <c r="CN175" s="200">
        <v>2235</v>
      </c>
      <c r="CO175" s="200">
        <v>2023</v>
      </c>
      <c r="CP175" s="200">
        <v>1981</v>
      </c>
      <c r="CQ175" s="200">
        <v>1795</v>
      </c>
      <c r="CR175" s="200">
        <v>1951</v>
      </c>
      <c r="CS175" s="200">
        <v>2299</v>
      </c>
      <c r="CT175" s="200">
        <v>2383</v>
      </c>
      <c r="CU175" s="200">
        <v>2050</v>
      </c>
      <c r="CV175" s="200">
        <v>1622</v>
      </c>
      <c r="CW175" s="200">
        <v>1319</v>
      </c>
      <c r="CX175" s="200">
        <v>1689</v>
      </c>
      <c r="CY175" s="200">
        <v>1766</v>
      </c>
      <c r="CZ175" s="200">
        <v>1881</v>
      </c>
      <c r="DA175" s="200">
        <v>1976</v>
      </c>
      <c r="DB175" s="200">
        <v>1923</v>
      </c>
      <c r="DC175" s="200">
        <v>1421</v>
      </c>
      <c r="DD175" s="200">
        <v>1437</v>
      </c>
      <c r="DE175" s="200">
        <v>1625</v>
      </c>
      <c r="DF175" s="200">
        <v>1729</v>
      </c>
      <c r="DG175" s="200">
        <v>1761</v>
      </c>
      <c r="DH175" s="200">
        <v>1852</v>
      </c>
      <c r="DI175" s="200">
        <v>2001</v>
      </c>
      <c r="DJ175" s="200">
        <v>2237</v>
      </c>
      <c r="DK175" s="200">
        <v>2023</v>
      </c>
      <c r="DL175" s="200">
        <v>2132</v>
      </c>
      <c r="DM175" s="200">
        <v>2315</v>
      </c>
      <c r="DN175" s="200">
        <v>2156</v>
      </c>
      <c r="DO175" s="200">
        <v>2032</v>
      </c>
      <c r="DP175" s="200">
        <v>2024</v>
      </c>
      <c r="DQ175" s="200">
        <v>2091</v>
      </c>
      <c r="DR175" s="200">
        <v>2080</v>
      </c>
      <c r="DS175" s="200">
        <v>1842</v>
      </c>
      <c r="DT175" s="200">
        <v>1887</v>
      </c>
      <c r="DU175" s="200">
        <v>1665</v>
      </c>
      <c r="DV175" s="200">
        <v>1411</v>
      </c>
      <c r="DW175" s="200">
        <v>1307</v>
      </c>
      <c r="DX175" s="200">
        <v>1274</v>
      </c>
      <c r="DY175" s="200">
        <v>1372</v>
      </c>
      <c r="DZ175" s="200">
        <v>1157</v>
      </c>
      <c r="EA175" s="200">
        <v>870</v>
      </c>
      <c r="EB175" s="200">
        <v>1183</v>
      </c>
      <c r="EC175" s="200">
        <v>1291</v>
      </c>
      <c r="ED175" s="200">
        <v>1587</v>
      </c>
      <c r="EE175" s="201">
        <f t="shared" ref="EE175:EP175" si="563">EE3*EE174</f>
        <v>1521.45</v>
      </c>
      <c r="EF175" s="201">
        <f t="shared" si="563"/>
        <v>1638</v>
      </c>
      <c r="EG175" s="201">
        <f t="shared" si="563"/>
        <v>1656</v>
      </c>
      <c r="EH175" s="201">
        <f t="shared" si="563"/>
        <v>1748</v>
      </c>
      <c r="EI175" s="201">
        <f t="shared" si="563"/>
        <v>1710</v>
      </c>
      <c r="EJ175" s="201">
        <f t="shared" si="563"/>
        <v>1820</v>
      </c>
      <c r="EK175" s="201">
        <f t="shared" si="563"/>
        <v>1932</v>
      </c>
      <c r="EL175" s="201">
        <f t="shared" si="563"/>
        <v>2024</v>
      </c>
      <c r="EM175" s="201">
        <f t="shared" si="563"/>
        <v>2002</v>
      </c>
      <c r="EN175" s="201">
        <f t="shared" si="563"/>
        <v>2002</v>
      </c>
      <c r="EO175" s="201">
        <f t="shared" si="563"/>
        <v>2024</v>
      </c>
      <c r="EP175" s="201">
        <f t="shared" si="563"/>
        <v>2024</v>
      </c>
      <c r="ES175" s="355">
        <f t="shared" si="436"/>
        <v>170</v>
      </c>
      <c r="ET175"/>
      <c r="EU175"/>
      <c r="EV175"/>
      <c r="EW175"/>
      <c r="EX175"/>
      <c r="EY175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</row>
    <row r="176" spans="1:257" s="4" customFormat="1" hidden="1" outlineLevel="2">
      <c r="A176" s="15"/>
      <c r="B176" s="65" t="s">
        <v>168</v>
      </c>
      <c r="C176" s="193"/>
      <c r="D176" s="193"/>
      <c r="E176" s="30">
        <v>0.68</v>
      </c>
      <c r="F176" s="30">
        <v>0.88</v>
      </c>
      <c r="G176" s="30">
        <v>0.84</v>
      </c>
      <c r="H176" s="30">
        <v>0.85</v>
      </c>
      <c r="I176" s="30">
        <v>0.91</v>
      </c>
      <c r="J176" s="30">
        <v>0.88</v>
      </c>
      <c r="K176" s="30">
        <v>0.53</v>
      </c>
      <c r="L176" s="30">
        <v>0.47</v>
      </c>
      <c r="M176" s="30">
        <v>0.56000000000000005</v>
      </c>
      <c r="N176" s="30">
        <v>0.51</v>
      </c>
      <c r="O176" s="30">
        <v>0.39</v>
      </c>
      <c r="P176" s="30">
        <v>0.54</v>
      </c>
      <c r="Q176" s="30">
        <v>0.77</v>
      </c>
      <c r="R176" s="30">
        <v>0.9</v>
      </c>
      <c r="S176" s="30">
        <v>0.9</v>
      </c>
      <c r="T176" s="30">
        <v>0.82</v>
      </c>
      <c r="U176" s="23">
        <f t="shared" ref="U176:AF176" si="564">U174/U173</f>
        <v>0.68328468133641029</v>
      </c>
      <c r="V176" s="23">
        <f t="shared" si="564"/>
        <v>0.59713455159710194</v>
      </c>
      <c r="W176" s="23">
        <f t="shared" si="564"/>
        <v>0.69967547770718119</v>
      </c>
      <c r="X176" s="23">
        <f t="shared" si="564"/>
        <v>0.7801516578341009</v>
      </c>
      <c r="Y176" s="23">
        <f t="shared" si="564"/>
        <v>0.79701457578536539</v>
      </c>
      <c r="Z176" s="23">
        <f t="shared" si="564"/>
        <v>0.74591741683183621</v>
      </c>
      <c r="AA176" s="23">
        <f t="shared" si="564"/>
        <v>0.52463185187697059</v>
      </c>
      <c r="AB176" s="23">
        <f t="shared" si="564"/>
        <v>0.38513200095278871</v>
      </c>
      <c r="AC176" s="23">
        <f t="shared" si="564"/>
        <v>0.34648416093620404</v>
      </c>
      <c r="AD176" s="23">
        <f t="shared" si="564"/>
        <v>0.46059410689128016</v>
      </c>
      <c r="AE176" s="23">
        <f t="shared" si="564"/>
        <v>0.51982696467195388</v>
      </c>
      <c r="AF176" s="23">
        <f t="shared" si="564"/>
        <v>0.58053352559480897</v>
      </c>
      <c r="AG176" s="206"/>
      <c r="AH176" s="204" t="s">
        <v>167</v>
      </c>
      <c r="AI176" s="204" t="s">
        <v>167</v>
      </c>
      <c r="AJ176" s="204" t="s">
        <v>167</v>
      </c>
      <c r="AK176" s="204" t="s">
        <v>167</v>
      </c>
      <c r="AL176" s="204" t="s">
        <v>167</v>
      </c>
      <c r="AM176" s="204" t="s">
        <v>167</v>
      </c>
      <c r="AN176" s="204" t="s">
        <v>167</v>
      </c>
      <c r="AO176" s="204" t="s">
        <v>167</v>
      </c>
      <c r="AP176" s="205">
        <v>0.84</v>
      </c>
      <c r="AQ176" s="204" t="s">
        <v>167</v>
      </c>
      <c r="AR176" s="204" t="s">
        <v>167</v>
      </c>
      <c r="AS176" s="204" t="s">
        <v>167</v>
      </c>
      <c r="AT176" s="203">
        <v>0.9</v>
      </c>
      <c r="AU176" s="203">
        <v>0.86</v>
      </c>
      <c r="AV176" s="203">
        <v>0.81</v>
      </c>
      <c r="AW176" s="204" t="s">
        <v>167</v>
      </c>
      <c r="AX176" s="203">
        <v>0.86</v>
      </c>
      <c r="AY176" s="203">
        <v>0.9</v>
      </c>
      <c r="AZ176" s="203">
        <v>0.92</v>
      </c>
      <c r="BA176" s="204" t="s">
        <v>167</v>
      </c>
      <c r="BB176" s="203">
        <v>0.91</v>
      </c>
      <c r="BC176" s="203">
        <v>0.95</v>
      </c>
      <c r="BD176" s="203">
        <v>0.91</v>
      </c>
      <c r="BE176" s="204" t="s">
        <v>167</v>
      </c>
      <c r="BF176" s="30">
        <v>0.65</v>
      </c>
      <c r="BG176" s="30">
        <v>0.56000000000000005</v>
      </c>
      <c r="BH176" s="30">
        <v>0.49</v>
      </c>
      <c r="BI176" s="203" t="s">
        <v>167</v>
      </c>
      <c r="BJ176" s="30">
        <v>0.47</v>
      </c>
      <c r="BK176" s="30">
        <v>0.45</v>
      </c>
      <c r="BL176" s="30">
        <v>0.47</v>
      </c>
      <c r="BM176" s="30">
        <v>0.5</v>
      </c>
      <c r="BN176" s="30">
        <v>0.53</v>
      </c>
      <c r="BO176" s="30">
        <v>0.49</v>
      </c>
      <c r="BP176" s="30">
        <v>0.6</v>
      </c>
      <c r="BQ176" s="30">
        <v>0.62</v>
      </c>
      <c r="BR176" s="30">
        <v>0.55000000000000004</v>
      </c>
      <c r="BS176" s="30">
        <v>0.57999999999999996</v>
      </c>
      <c r="BT176" s="30">
        <v>0.48</v>
      </c>
      <c r="BU176" s="30">
        <v>0.43</v>
      </c>
      <c r="BV176" s="30">
        <v>0.33</v>
      </c>
      <c r="BW176" s="30">
        <v>0.41</v>
      </c>
      <c r="BX176" s="30">
        <v>0.43</v>
      </c>
      <c r="BY176" s="30">
        <v>0.38</v>
      </c>
      <c r="BZ176" s="30">
        <v>0.53</v>
      </c>
      <c r="CA176" s="30">
        <v>0.51</v>
      </c>
      <c r="CB176" s="30">
        <v>0.53</v>
      </c>
      <c r="CC176" s="30">
        <v>0.56999999999999995</v>
      </c>
      <c r="CD176" s="30">
        <v>0.71</v>
      </c>
      <c r="CE176" s="30">
        <v>0.71</v>
      </c>
      <c r="CF176" s="30">
        <v>0.8</v>
      </c>
      <c r="CG176" s="30">
        <v>0.85</v>
      </c>
      <c r="CH176" s="30">
        <v>0.83</v>
      </c>
      <c r="CI176" s="30">
        <v>0.89</v>
      </c>
      <c r="CJ176" s="30">
        <v>0.93</v>
      </c>
      <c r="CK176" s="30">
        <v>0.95</v>
      </c>
      <c r="CL176" s="30">
        <v>0.96</v>
      </c>
      <c r="CM176" s="30">
        <v>0.93</v>
      </c>
      <c r="CN176" s="30">
        <v>0.9</v>
      </c>
      <c r="CO176" s="30">
        <v>0.81</v>
      </c>
      <c r="CP176" s="30">
        <v>0.81</v>
      </c>
      <c r="CQ176" s="30">
        <v>0.73</v>
      </c>
      <c r="CR176" s="30">
        <v>0.79</v>
      </c>
      <c r="CS176" s="30">
        <v>0.97</v>
      </c>
      <c r="CT176" s="30">
        <v>0.98</v>
      </c>
      <c r="CU176" s="30">
        <v>0.81</v>
      </c>
      <c r="CV176" s="30">
        <v>0.62</v>
      </c>
      <c r="CW176" s="30">
        <v>0.41</v>
      </c>
      <c r="CX176" s="30">
        <v>0.44</v>
      </c>
      <c r="CY176" s="30">
        <v>0.52</v>
      </c>
      <c r="CZ176" s="30">
        <v>0.76</v>
      </c>
      <c r="DA176" s="30">
        <v>0.78</v>
      </c>
      <c r="DB176" s="30">
        <v>0.76</v>
      </c>
      <c r="DC176" s="30">
        <v>0.64</v>
      </c>
      <c r="DD176" s="30">
        <v>0.65</v>
      </c>
      <c r="DE176" s="30">
        <v>0.74</v>
      </c>
      <c r="DF176" s="30">
        <v>0.78</v>
      </c>
      <c r="DG176" s="30">
        <v>0.78</v>
      </c>
      <c r="DH176" s="30">
        <v>0.77</v>
      </c>
      <c r="DI176" s="30">
        <v>0.79</v>
      </c>
      <c r="DJ176" s="30">
        <v>0.85</v>
      </c>
      <c r="DK176" s="30">
        <v>0.78</v>
      </c>
      <c r="DL176" s="30">
        <v>0.78</v>
      </c>
      <c r="DM176" s="30">
        <v>0.78</v>
      </c>
      <c r="DN176" s="30">
        <v>0.78</v>
      </c>
      <c r="DO176" s="30">
        <v>0.78</v>
      </c>
      <c r="DP176" s="30">
        <v>0.74</v>
      </c>
      <c r="DQ176" s="30">
        <v>0.69</v>
      </c>
      <c r="DR176" s="30">
        <v>0.63</v>
      </c>
      <c r="DS176" s="30">
        <v>0.52</v>
      </c>
      <c r="DT176" s="30">
        <v>0.51</v>
      </c>
      <c r="DU176" s="30">
        <v>0.45</v>
      </c>
      <c r="DV176" s="30">
        <v>0.4</v>
      </c>
      <c r="DW176" s="30">
        <v>0.38</v>
      </c>
      <c r="DX176" s="30">
        <v>0.37</v>
      </c>
      <c r="DY176" s="30">
        <v>0.39</v>
      </c>
      <c r="DZ176" s="30">
        <v>0.33</v>
      </c>
      <c r="EA176" s="30">
        <v>0.25</v>
      </c>
      <c r="EB176" s="30">
        <v>0.47</v>
      </c>
      <c r="EC176" s="30">
        <v>0.37</v>
      </c>
      <c r="ED176" s="30">
        <v>0.45</v>
      </c>
      <c r="EE176" s="23">
        <f t="shared" ref="EE176:EP176" si="565">EE174/EE173</f>
        <v>0.44486842105263164</v>
      </c>
      <c r="EF176" s="23">
        <f t="shared" si="565"/>
        <v>0.47368421052631576</v>
      </c>
      <c r="EG176" s="23">
        <f t="shared" si="565"/>
        <v>0.47368421052631576</v>
      </c>
      <c r="EH176" s="23">
        <f t="shared" si="565"/>
        <v>0.5</v>
      </c>
      <c r="EI176" s="23">
        <f t="shared" si="565"/>
        <v>0.5</v>
      </c>
      <c r="EJ176" s="23">
        <f t="shared" si="565"/>
        <v>0.52631578947368418</v>
      </c>
      <c r="EK176" s="23">
        <f t="shared" si="565"/>
        <v>0.55263157894736847</v>
      </c>
      <c r="EL176" s="23">
        <f t="shared" si="565"/>
        <v>0.57894736842105265</v>
      </c>
      <c r="EM176" s="23">
        <f t="shared" si="565"/>
        <v>0.57894736842105265</v>
      </c>
      <c r="EN176" s="23">
        <f t="shared" si="565"/>
        <v>0.57894736842105265</v>
      </c>
      <c r="EO176" s="23">
        <f t="shared" si="565"/>
        <v>0.57894736842105265</v>
      </c>
      <c r="EP176" s="23">
        <f t="shared" si="565"/>
        <v>0.57894736842105265</v>
      </c>
      <c r="ES176" s="355">
        <f t="shared" si="436"/>
        <v>171</v>
      </c>
      <c r="ET176"/>
      <c r="EU176"/>
      <c r="EV176"/>
      <c r="EW176"/>
      <c r="EX176"/>
      <c r="EY176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</row>
    <row r="177" spans="1:257" s="4" customFormat="1" hidden="1" outlineLevel="2">
      <c r="A177" s="15"/>
      <c r="B177" s="65"/>
      <c r="C177" s="33"/>
      <c r="D177" s="33"/>
      <c r="E177" s="34"/>
      <c r="F177" s="34"/>
      <c r="G177" s="34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4"/>
      <c r="AC177" s="34"/>
      <c r="AD177" s="34"/>
      <c r="AE177" s="34"/>
      <c r="AF177" s="34"/>
      <c r="AG177" s="32"/>
      <c r="AH177" s="33"/>
      <c r="AI177" s="202"/>
      <c r="AJ177" s="202"/>
      <c r="AK177" s="202"/>
      <c r="AL177" s="202"/>
      <c r="AM177" s="202"/>
      <c r="AN177" s="202"/>
      <c r="AO177" s="202"/>
      <c r="AP177" s="202"/>
      <c r="AQ177" s="202"/>
      <c r="AR177" s="202"/>
      <c r="AS177" s="202"/>
      <c r="AT177" s="202"/>
      <c r="AU177" s="202"/>
      <c r="AV177" s="202"/>
      <c r="AW177" s="202"/>
      <c r="AX177" s="202"/>
      <c r="AY177" s="202"/>
      <c r="AZ177" s="202"/>
      <c r="BA177" s="202"/>
      <c r="BB177" s="202"/>
      <c r="BC177" s="202"/>
      <c r="BD177" s="202"/>
      <c r="BE177" s="202"/>
      <c r="BF177" s="202"/>
      <c r="BG177" s="202"/>
      <c r="BH177" s="202"/>
      <c r="BI177" s="202"/>
      <c r="BJ177" s="202"/>
      <c r="BK177" s="202"/>
      <c r="BL177" s="202"/>
      <c r="BM177" s="202"/>
      <c r="BN177" s="202"/>
      <c r="BO177" s="202"/>
      <c r="BP177" s="202"/>
      <c r="BQ177" s="202"/>
      <c r="BR177" s="202"/>
      <c r="BS177" s="200"/>
      <c r="BT177" s="200"/>
      <c r="BU177" s="200"/>
      <c r="BV177" s="200"/>
      <c r="BW177" s="200"/>
      <c r="BX177" s="200"/>
      <c r="BY177" s="200"/>
      <c r="BZ177" s="200"/>
      <c r="CA177" s="200"/>
      <c r="CB177" s="200"/>
      <c r="CC177" s="200"/>
      <c r="CD177" s="200"/>
      <c r="CE177" s="200"/>
      <c r="CF177" s="200"/>
      <c r="CG177" s="200"/>
      <c r="CH177" s="200"/>
      <c r="CI177" s="200"/>
      <c r="CJ177" s="200"/>
      <c r="CK177" s="200"/>
      <c r="CL177" s="200"/>
      <c r="CM177" s="200"/>
      <c r="CN177" s="200"/>
      <c r="CO177" s="200"/>
      <c r="CP177" s="200"/>
      <c r="CQ177" s="200"/>
      <c r="CR177" s="200"/>
      <c r="CS177" s="200"/>
      <c r="CT177" s="200"/>
      <c r="CU177" s="200"/>
      <c r="CV177" s="200"/>
      <c r="CW177" s="200"/>
      <c r="CX177" s="200"/>
      <c r="CY177" s="200"/>
      <c r="CZ177" s="200"/>
      <c r="DA177" s="200"/>
      <c r="DB177" s="200"/>
      <c r="DC177" s="200"/>
      <c r="DD177" s="200"/>
      <c r="DE177" s="200"/>
      <c r="DF177" s="200"/>
      <c r="DG177" s="200"/>
      <c r="DH177" s="200"/>
      <c r="DI177" s="200"/>
      <c r="DJ177" s="200"/>
      <c r="DK177" s="200"/>
      <c r="DL177" s="200"/>
      <c r="DM177" s="200"/>
      <c r="DN177" s="200"/>
      <c r="DO177" s="200"/>
      <c r="DP177" s="200"/>
      <c r="DQ177" s="200"/>
      <c r="DR177" s="200"/>
      <c r="DS177" s="200"/>
      <c r="DT177" s="200"/>
      <c r="DU177" s="200"/>
      <c r="DV177" s="200"/>
      <c r="DW177" s="200"/>
      <c r="DX177" s="200"/>
      <c r="DY177" s="200"/>
      <c r="DZ177" s="200"/>
      <c r="EA177" s="200"/>
      <c r="EB177" s="200"/>
      <c r="EC177" s="200"/>
      <c r="ED177" s="200"/>
      <c r="EE177" s="201"/>
      <c r="EF177" s="201"/>
      <c r="EG177" s="201"/>
      <c r="EH177" s="201"/>
      <c r="EI177" s="201"/>
      <c r="EJ177" s="201"/>
      <c r="EK177" s="201"/>
      <c r="EL177" s="201"/>
      <c r="EM177" s="201"/>
      <c r="EN177" s="201"/>
      <c r="EO177" s="201"/>
      <c r="EP177" s="201"/>
      <c r="ES177" s="355">
        <f t="shared" si="436"/>
        <v>172</v>
      </c>
      <c r="ET177"/>
      <c r="EU177"/>
      <c r="EV177"/>
      <c r="EW177"/>
      <c r="EX177"/>
      <c r="EY177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</row>
    <row r="178" spans="1:257" s="4" customFormat="1" hidden="1" outlineLevel="2">
      <c r="A178" s="15"/>
      <c r="B178" s="65" t="s">
        <v>166</v>
      </c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200">
        <v>21161</v>
      </c>
      <c r="O178" s="200">
        <v>19603</v>
      </c>
      <c r="P178" s="200">
        <v>19580</v>
      </c>
      <c r="Q178" s="200">
        <v>19332</v>
      </c>
      <c r="R178" s="200">
        <v>23404</v>
      </c>
      <c r="S178" s="200">
        <v>31465</v>
      </c>
      <c r="T178" s="200">
        <v>37604</v>
      </c>
      <c r="U178" s="33">
        <f t="shared" ref="U178:AF178" si="566">+U182*1000000/U175</f>
        <v>29650.137645782474</v>
      </c>
      <c r="V178" s="33">
        <f t="shared" si="566"/>
        <v>32295.997401531728</v>
      </c>
      <c r="W178" s="33">
        <f t="shared" si="566"/>
        <v>30830.137995629098</v>
      </c>
      <c r="X178" s="33">
        <f t="shared" si="566"/>
        <v>32998.339234645238</v>
      </c>
      <c r="Y178" s="33">
        <f t="shared" si="566"/>
        <v>37245.932353278971</v>
      </c>
      <c r="Z178" s="33">
        <f t="shared" si="566"/>
        <v>37117.205347464769</v>
      </c>
      <c r="AA178" s="33">
        <f t="shared" si="566"/>
        <v>44183.057934171789</v>
      </c>
      <c r="AB178" s="33">
        <f t="shared" si="566"/>
        <v>39043.984526472785</v>
      </c>
      <c r="AC178" s="33">
        <f t="shared" si="566"/>
        <v>41926.810042212841</v>
      </c>
      <c r="AD178" s="33">
        <f t="shared" si="566"/>
        <v>36526.430194691093</v>
      </c>
      <c r="AE178" s="33">
        <f t="shared" si="566"/>
        <v>39277.947295423015</v>
      </c>
      <c r="AF178" s="33">
        <f t="shared" si="566"/>
        <v>40000</v>
      </c>
      <c r="AG178" s="32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200">
        <v>21777</v>
      </c>
      <c r="BT178" s="200">
        <v>19911</v>
      </c>
      <c r="BU178" s="200">
        <v>19683</v>
      </c>
      <c r="BV178" s="200">
        <v>18669</v>
      </c>
      <c r="BW178" s="200">
        <v>19439</v>
      </c>
      <c r="BX178" s="200">
        <v>20332</v>
      </c>
      <c r="BY178" s="200">
        <v>19820</v>
      </c>
      <c r="BZ178" s="200">
        <v>19089</v>
      </c>
      <c r="CA178" s="200">
        <v>21849</v>
      </c>
      <c r="CB178" s="200">
        <v>18827</v>
      </c>
      <c r="CC178" s="200">
        <v>18746</v>
      </c>
      <c r="CD178" s="200">
        <v>19208</v>
      </c>
      <c r="CE178" s="200">
        <v>19430</v>
      </c>
      <c r="CF178" s="200">
        <v>19536</v>
      </c>
      <c r="CG178" s="200">
        <v>19168</v>
      </c>
      <c r="CH178" s="200">
        <v>20285</v>
      </c>
      <c r="CI178" s="200">
        <v>22979</v>
      </c>
      <c r="CJ178" s="200">
        <v>24698</v>
      </c>
      <c r="CK178" s="200">
        <v>25242</v>
      </c>
      <c r="CL178" s="200">
        <v>27690</v>
      </c>
      <c r="CM178" s="200">
        <v>27001</v>
      </c>
      <c r="CN178" s="200">
        <v>34200</v>
      </c>
      <c r="CO178" s="200">
        <v>37847</v>
      </c>
      <c r="CP178" s="200">
        <v>34522</v>
      </c>
      <c r="CQ178" s="200">
        <v>39695</v>
      </c>
      <c r="CR178" s="200">
        <v>38709</v>
      </c>
      <c r="CS178" s="200">
        <v>37691</v>
      </c>
      <c r="CT178" s="200">
        <v>36737</v>
      </c>
      <c r="CU178" s="200">
        <v>23397</v>
      </c>
      <c r="CV178" s="200">
        <v>27340</v>
      </c>
      <c r="CW178" s="200">
        <v>29406</v>
      </c>
      <c r="CX178" s="200">
        <v>33714</v>
      </c>
      <c r="CY178" s="200">
        <v>35065</v>
      </c>
      <c r="CZ178" s="200">
        <v>30669</v>
      </c>
      <c r="DA178" s="200">
        <f>33194-3036</f>
        <v>30158</v>
      </c>
      <c r="DB178" s="200">
        <f>33789-2676</f>
        <v>31113</v>
      </c>
      <c r="DC178" s="200">
        <v>33043</v>
      </c>
      <c r="DD178" s="200">
        <v>29201</v>
      </c>
      <c r="DE178" s="200">
        <v>30001</v>
      </c>
      <c r="DF178" s="200">
        <v>31072</v>
      </c>
      <c r="DG178" s="200">
        <v>31401</v>
      </c>
      <c r="DH178" s="200">
        <v>33362</v>
      </c>
      <c r="DI178" s="200">
        <v>35732</v>
      </c>
      <c r="DJ178" s="200">
        <v>35511</v>
      </c>
      <c r="DK178" s="200">
        <v>40677</v>
      </c>
      <c r="DL178" s="200">
        <v>35955</v>
      </c>
      <c r="DM178" s="200">
        <v>37113</v>
      </c>
      <c r="DN178" s="200">
        <v>38433</v>
      </c>
      <c r="DO178" s="200">
        <v>37095</v>
      </c>
      <c r="DP178" s="200">
        <v>35454</v>
      </c>
      <c r="DQ178" s="200">
        <v>37392</v>
      </c>
      <c r="DR178" s="200">
        <v>39987</v>
      </c>
      <c r="DS178" s="200">
        <f>47063-373</f>
        <v>46690</v>
      </c>
      <c r="DT178" s="200">
        <f>51673-4658</f>
        <v>47015</v>
      </c>
      <c r="DU178" s="200">
        <f>48977-5535</f>
        <v>43442</v>
      </c>
      <c r="DV178" s="200">
        <v>46031</v>
      </c>
      <c r="DW178" s="200">
        <v>36774</v>
      </c>
      <c r="DX178" s="200">
        <v>34693</v>
      </c>
      <c r="DY178" s="200">
        <v>38061</v>
      </c>
      <c r="DZ178" s="200">
        <f>55880-4086</f>
        <v>51794</v>
      </c>
      <c r="EA178" s="200">
        <v>37340</v>
      </c>
      <c r="EB178" s="33">
        <f>(EB13-EB184)*1000000/EB175</f>
        <v>37163.122569737963</v>
      </c>
      <c r="EC178" s="200">
        <v>40540</v>
      </c>
      <c r="ED178" s="200">
        <v>38039</v>
      </c>
      <c r="EE178" s="199">
        <f t="shared" ref="EE178:EP178" si="567">EE75</f>
        <v>35000</v>
      </c>
      <c r="EF178" s="199">
        <f t="shared" si="567"/>
        <v>36000</v>
      </c>
      <c r="EG178" s="199">
        <f t="shared" si="567"/>
        <v>37000</v>
      </c>
      <c r="EH178" s="199">
        <f t="shared" si="567"/>
        <v>38000</v>
      </c>
      <c r="EI178" s="199">
        <f t="shared" si="567"/>
        <v>39000</v>
      </c>
      <c r="EJ178" s="199">
        <f t="shared" si="567"/>
        <v>40000</v>
      </c>
      <c r="EK178" s="199">
        <f t="shared" si="567"/>
        <v>40000</v>
      </c>
      <c r="EL178" s="199">
        <f t="shared" si="567"/>
        <v>40000</v>
      </c>
      <c r="EM178" s="199">
        <f t="shared" si="567"/>
        <v>40000</v>
      </c>
      <c r="EN178" s="199">
        <f t="shared" si="567"/>
        <v>40000</v>
      </c>
      <c r="EO178" s="199">
        <f t="shared" si="567"/>
        <v>40000</v>
      </c>
      <c r="EP178" s="199">
        <f t="shared" si="567"/>
        <v>40000</v>
      </c>
      <c r="ES178" s="355">
        <f t="shared" si="436"/>
        <v>173</v>
      </c>
      <c r="ET178"/>
      <c r="EU178"/>
      <c r="EV178"/>
      <c r="EW178"/>
      <c r="EX178"/>
      <c r="EY178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</row>
    <row r="179" spans="1:257" s="4" customFormat="1" hidden="1" outlineLevel="2">
      <c r="A179" s="15"/>
      <c r="B179" s="63" t="s">
        <v>165</v>
      </c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198">
        <v>14599</v>
      </c>
      <c r="O179" s="198">
        <v>14140</v>
      </c>
      <c r="P179" s="198">
        <v>14279</v>
      </c>
      <c r="Q179" s="198">
        <v>14039</v>
      </c>
      <c r="R179" s="198">
        <v>14806</v>
      </c>
      <c r="S179" s="198">
        <v>16708</v>
      </c>
      <c r="T179" s="198">
        <v>24489</v>
      </c>
      <c r="U179" s="32">
        <f t="shared" ref="U179:AF179" si="568">(U186-U184)*1000000/U175</f>
        <v>26416.734472470849</v>
      </c>
      <c r="V179" s="32">
        <f t="shared" si="568"/>
        <v>22104.896061269148</v>
      </c>
      <c r="W179" s="32">
        <f t="shared" si="568"/>
        <v>23652.98157976897</v>
      </c>
      <c r="X179" s="32">
        <f t="shared" si="568"/>
        <v>25591.992373689227</v>
      </c>
      <c r="Y179" s="32">
        <f t="shared" si="568"/>
        <v>27540.254967267712</v>
      </c>
      <c r="Z179" s="32">
        <f t="shared" si="568"/>
        <v>27125.255931590993</v>
      </c>
      <c r="AA179" s="32">
        <f t="shared" si="568"/>
        <v>33847.471233609846</v>
      </c>
      <c r="AB179" s="32">
        <f t="shared" si="568"/>
        <v>28627.28187919463</v>
      </c>
      <c r="AC179" s="32">
        <f t="shared" si="568"/>
        <v>34083.981337480553</v>
      </c>
      <c r="AD179" s="32">
        <f t="shared" si="568"/>
        <v>27160.407344063606</v>
      </c>
      <c r="AE179" s="32">
        <f t="shared" si="568"/>
        <v>27000.000000000004</v>
      </c>
      <c r="AF179" s="32">
        <f t="shared" si="568"/>
        <v>27000.000000000004</v>
      </c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>
        <f>BS178-BS180</f>
        <v>14668</v>
      </c>
      <c r="BT179" s="32">
        <f>BT178-BT180</f>
        <v>13154</v>
      </c>
      <c r="BU179" s="198">
        <v>13475</v>
      </c>
      <c r="BV179" s="198">
        <v>14812</v>
      </c>
      <c r="BW179" s="198">
        <v>14146</v>
      </c>
      <c r="BX179" s="198">
        <v>13970</v>
      </c>
      <c r="BY179" s="198">
        <v>13717</v>
      </c>
      <c r="BZ179" s="198">
        <v>13399</v>
      </c>
      <c r="CA179" s="198">
        <v>16645</v>
      </c>
      <c r="CB179" s="198">
        <v>14577</v>
      </c>
      <c r="CC179" s="198">
        <v>12739</v>
      </c>
      <c r="CD179" s="198">
        <v>13346</v>
      </c>
      <c r="CE179" s="198">
        <v>13672</v>
      </c>
      <c r="CF179" s="198">
        <v>14633</v>
      </c>
      <c r="CG179" s="198">
        <v>14416</v>
      </c>
      <c r="CH179" s="198">
        <v>13512</v>
      </c>
      <c r="CI179" s="198">
        <v>15003</v>
      </c>
      <c r="CJ179" s="198">
        <v>15096</v>
      </c>
      <c r="CK179" s="198">
        <v>15465</v>
      </c>
      <c r="CL179" s="198">
        <v>14878</v>
      </c>
      <c r="CM179" s="198">
        <v>15722</v>
      </c>
      <c r="CN179" s="198">
        <v>18246</v>
      </c>
      <c r="CO179" s="198">
        <v>18250</v>
      </c>
      <c r="CP179" s="198">
        <v>20353</v>
      </c>
      <c r="CQ179" s="198">
        <v>25299</v>
      </c>
      <c r="CR179" s="198">
        <v>25638</v>
      </c>
      <c r="CS179" s="198">
        <v>26447</v>
      </c>
      <c r="CT179" s="198">
        <v>24320</v>
      </c>
      <c r="CU179" s="198">
        <v>27483</v>
      </c>
      <c r="CV179" s="198">
        <v>26433</v>
      </c>
      <c r="CW179" s="198">
        <v>26162</v>
      </c>
      <c r="CX179" s="198">
        <v>23138</v>
      </c>
      <c r="CY179" s="198">
        <v>24027</v>
      </c>
      <c r="CZ179" s="198">
        <v>20477</v>
      </c>
      <c r="DA179" s="198">
        <v>20621</v>
      </c>
      <c r="DB179" s="198">
        <v>22164</v>
      </c>
      <c r="DC179" s="198">
        <v>25937</v>
      </c>
      <c r="DD179" s="198">
        <v>23848</v>
      </c>
      <c r="DE179" s="198">
        <v>22311</v>
      </c>
      <c r="DF179" s="198">
        <v>22057</v>
      </c>
      <c r="DG179" s="198">
        <v>26517</v>
      </c>
      <c r="DH179" s="198">
        <v>25658</v>
      </c>
      <c r="DI179" s="198">
        <v>27522</v>
      </c>
      <c r="DJ179" s="198">
        <v>27111</v>
      </c>
      <c r="DK179" s="198">
        <v>29624</v>
      </c>
      <c r="DL179" s="198">
        <v>27364</v>
      </c>
      <c r="DM179" s="198">
        <v>26479</v>
      </c>
      <c r="DN179" s="198">
        <v>28091</v>
      </c>
      <c r="DO179" s="198">
        <v>26177</v>
      </c>
      <c r="DP179" s="198">
        <v>26130</v>
      </c>
      <c r="DQ179" s="198">
        <v>28623</v>
      </c>
      <c r="DR179" s="198">
        <v>29217</v>
      </c>
      <c r="DS179" s="198">
        <v>36166</v>
      </c>
      <c r="DT179" s="198">
        <v>33929</v>
      </c>
      <c r="DU179" s="198">
        <f>38607-3021</f>
        <v>35586</v>
      </c>
      <c r="DV179" s="198">
        <f>34220</f>
        <v>34220</v>
      </c>
      <c r="DW179" s="198">
        <f>26287-212</f>
        <v>26075</v>
      </c>
      <c r="DX179" s="198">
        <f>26156-924</f>
        <v>25232</v>
      </c>
      <c r="DY179" s="198">
        <v>27442</v>
      </c>
      <c r="DZ179" s="198">
        <v>42911</v>
      </c>
      <c r="EA179" s="198">
        <v>33649</v>
      </c>
      <c r="EB179" s="32">
        <f>+EB178-EB180</f>
        <v>28185.122569737963</v>
      </c>
      <c r="EC179" s="198">
        <v>28154</v>
      </c>
      <c r="ED179" s="198">
        <v>26688</v>
      </c>
      <c r="EE179" s="197">
        <f t="shared" ref="EE179:EP179" si="569">EE76</f>
        <v>27000</v>
      </c>
      <c r="EF179" s="197">
        <f t="shared" si="569"/>
        <v>27000</v>
      </c>
      <c r="EG179" s="197">
        <f t="shared" si="569"/>
        <v>27000</v>
      </c>
      <c r="EH179" s="197">
        <f t="shared" si="569"/>
        <v>27000</v>
      </c>
      <c r="EI179" s="197">
        <f t="shared" si="569"/>
        <v>27000</v>
      </c>
      <c r="EJ179" s="197">
        <f t="shared" si="569"/>
        <v>27000</v>
      </c>
      <c r="EK179" s="197">
        <f t="shared" si="569"/>
        <v>27000</v>
      </c>
      <c r="EL179" s="197">
        <f t="shared" si="569"/>
        <v>27000</v>
      </c>
      <c r="EM179" s="197">
        <f t="shared" si="569"/>
        <v>27000</v>
      </c>
      <c r="EN179" s="197">
        <f t="shared" si="569"/>
        <v>27000</v>
      </c>
      <c r="EO179" s="197">
        <f t="shared" si="569"/>
        <v>27000</v>
      </c>
      <c r="EP179" s="197">
        <f t="shared" si="569"/>
        <v>27000</v>
      </c>
      <c r="ES179" s="355">
        <f t="shared" si="436"/>
        <v>174</v>
      </c>
      <c r="ET179"/>
      <c r="EU179"/>
      <c r="EV179"/>
      <c r="EW179"/>
      <c r="EX179"/>
      <c r="EY179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</row>
    <row r="180" spans="1:257" s="4" customFormat="1" hidden="1" outlineLevel="2">
      <c r="A180" s="15"/>
      <c r="B180" s="196" t="s">
        <v>164</v>
      </c>
      <c r="C180" s="195"/>
      <c r="D180" s="195"/>
      <c r="E180" s="195"/>
      <c r="F180" s="195"/>
      <c r="G180" s="195"/>
      <c r="H180" s="195"/>
      <c r="I180" s="195"/>
      <c r="J180" s="195"/>
      <c r="K180" s="195"/>
      <c r="L180" s="195"/>
      <c r="M180" s="195"/>
      <c r="N180" s="195">
        <f t="shared" ref="N180:AF180" si="570">N178-N179</f>
        <v>6562</v>
      </c>
      <c r="O180" s="195">
        <f t="shared" si="570"/>
        <v>5463</v>
      </c>
      <c r="P180" s="195">
        <f t="shared" si="570"/>
        <v>5301</v>
      </c>
      <c r="Q180" s="195">
        <f t="shared" si="570"/>
        <v>5293</v>
      </c>
      <c r="R180" s="195">
        <f t="shared" si="570"/>
        <v>8598</v>
      </c>
      <c r="S180" s="195">
        <f t="shared" si="570"/>
        <v>14757</v>
      </c>
      <c r="T180" s="195">
        <f t="shared" si="570"/>
        <v>13115</v>
      </c>
      <c r="U180" s="195">
        <f t="shared" si="570"/>
        <v>3233.4031733116244</v>
      </c>
      <c r="V180" s="195">
        <f t="shared" si="570"/>
        <v>10191.101340262579</v>
      </c>
      <c r="W180" s="195">
        <f t="shared" si="570"/>
        <v>7177.1564158601286</v>
      </c>
      <c r="X180" s="195">
        <f t="shared" si="570"/>
        <v>7406.3468609560114</v>
      </c>
      <c r="Y180" s="195">
        <f t="shared" si="570"/>
        <v>9705.6773860112589</v>
      </c>
      <c r="Z180" s="195">
        <f t="shared" si="570"/>
        <v>9991.9494158737762</v>
      </c>
      <c r="AA180" s="195">
        <f t="shared" si="570"/>
        <v>10335.586700561944</v>
      </c>
      <c r="AB180" s="195">
        <f t="shared" si="570"/>
        <v>10416.702647278154</v>
      </c>
      <c r="AC180" s="195">
        <f t="shared" si="570"/>
        <v>7842.8287047322883</v>
      </c>
      <c r="AD180" s="195">
        <f t="shared" si="570"/>
        <v>9366.0228506274871</v>
      </c>
      <c r="AE180" s="195">
        <f t="shared" si="570"/>
        <v>12277.947295423011</v>
      </c>
      <c r="AF180" s="195">
        <f t="shared" si="570"/>
        <v>12999.999999999996</v>
      </c>
      <c r="AG180" s="32"/>
      <c r="AH180" s="195"/>
      <c r="AI180" s="195"/>
      <c r="AJ180" s="195"/>
      <c r="AK180" s="195"/>
      <c r="AL180" s="195"/>
      <c r="AM180" s="195"/>
      <c r="AN180" s="195"/>
      <c r="AO180" s="195"/>
      <c r="AP180" s="195"/>
      <c r="AQ180" s="195"/>
      <c r="AR180" s="195"/>
      <c r="AS180" s="195"/>
      <c r="AT180" s="195"/>
      <c r="AU180" s="195"/>
      <c r="AV180" s="195"/>
      <c r="AW180" s="195"/>
      <c r="AX180" s="195"/>
      <c r="AY180" s="195"/>
      <c r="AZ180" s="195"/>
      <c r="BA180" s="195"/>
      <c r="BB180" s="195"/>
      <c r="BC180" s="195"/>
      <c r="BD180" s="195"/>
      <c r="BE180" s="195"/>
      <c r="BF180" s="195"/>
      <c r="BG180" s="195"/>
      <c r="BH180" s="195"/>
      <c r="BI180" s="195"/>
      <c r="BJ180" s="195"/>
      <c r="BK180" s="195"/>
      <c r="BL180" s="195"/>
      <c r="BM180" s="195"/>
      <c r="BN180" s="195"/>
      <c r="BO180" s="195"/>
      <c r="BP180" s="195"/>
      <c r="BQ180" s="195"/>
      <c r="BR180" s="195"/>
      <c r="BS180" s="195">
        <v>7109</v>
      </c>
      <c r="BT180" s="195">
        <v>6757</v>
      </c>
      <c r="BU180" s="195">
        <f t="shared" ref="BU180:CZ180" si="571">BU178-BU179</f>
        <v>6208</v>
      </c>
      <c r="BV180" s="195">
        <f t="shared" si="571"/>
        <v>3857</v>
      </c>
      <c r="BW180" s="195">
        <f t="shared" si="571"/>
        <v>5293</v>
      </c>
      <c r="BX180" s="195">
        <f t="shared" si="571"/>
        <v>6362</v>
      </c>
      <c r="BY180" s="195">
        <f t="shared" si="571"/>
        <v>6103</v>
      </c>
      <c r="BZ180" s="195">
        <f t="shared" si="571"/>
        <v>5690</v>
      </c>
      <c r="CA180" s="195">
        <f t="shared" si="571"/>
        <v>5204</v>
      </c>
      <c r="CB180" s="195">
        <f t="shared" si="571"/>
        <v>4250</v>
      </c>
      <c r="CC180" s="195">
        <f t="shared" si="571"/>
        <v>6007</v>
      </c>
      <c r="CD180" s="195">
        <f t="shared" si="571"/>
        <v>5862</v>
      </c>
      <c r="CE180" s="195">
        <f t="shared" si="571"/>
        <v>5758</v>
      </c>
      <c r="CF180" s="195">
        <f t="shared" si="571"/>
        <v>4903</v>
      </c>
      <c r="CG180" s="195">
        <f t="shared" si="571"/>
        <v>4752</v>
      </c>
      <c r="CH180" s="195">
        <f t="shared" si="571"/>
        <v>6773</v>
      </c>
      <c r="CI180" s="195">
        <f t="shared" si="571"/>
        <v>7976</v>
      </c>
      <c r="CJ180" s="195">
        <f t="shared" si="571"/>
        <v>9602</v>
      </c>
      <c r="CK180" s="195">
        <f t="shared" si="571"/>
        <v>9777</v>
      </c>
      <c r="CL180" s="195">
        <f t="shared" si="571"/>
        <v>12812</v>
      </c>
      <c r="CM180" s="195">
        <f t="shared" si="571"/>
        <v>11279</v>
      </c>
      <c r="CN180" s="195">
        <f t="shared" si="571"/>
        <v>15954</v>
      </c>
      <c r="CO180" s="195">
        <f t="shared" si="571"/>
        <v>19597</v>
      </c>
      <c r="CP180" s="195">
        <f t="shared" si="571"/>
        <v>14169</v>
      </c>
      <c r="CQ180" s="195">
        <f t="shared" si="571"/>
        <v>14396</v>
      </c>
      <c r="CR180" s="195">
        <f t="shared" si="571"/>
        <v>13071</v>
      </c>
      <c r="CS180" s="195">
        <f t="shared" si="571"/>
        <v>11244</v>
      </c>
      <c r="CT180" s="195">
        <f t="shared" si="571"/>
        <v>12417</v>
      </c>
      <c r="CU180" s="195">
        <f t="shared" si="571"/>
        <v>-4086</v>
      </c>
      <c r="CV180" s="195">
        <f t="shared" si="571"/>
        <v>907</v>
      </c>
      <c r="CW180" s="195">
        <f t="shared" si="571"/>
        <v>3244</v>
      </c>
      <c r="CX180" s="195">
        <f t="shared" si="571"/>
        <v>10576</v>
      </c>
      <c r="CY180" s="195">
        <f t="shared" si="571"/>
        <v>11038</v>
      </c>
      <c r="CZ180" s="195">
        <f t="shared" si="571"/>
        <v>10192</v>
      </c>
      <c r="DA180" s="195">
        <f t="shared" ref="DA180:EF180" si="572">DA178-DA179</f>
        <v>9537</v>
      </c>
      <c r="DB180" s="195">
        <f t="shared" si="572"/>
        <v>8949</v>
      </c>
      <c r="DC180" s="195">
        <f t="shared" si="572"/>
        <v>7106</v>
      </c>
      <c r="DD180" s="195">
        <f t="shared" si="572"/>
        <v>5353</v>
      </c>
      <c r="DE180" s="195">
        <f t="shared" si="572"/>
        <v>7690</v>
      </c>
      <c r="DF180" s="195">
        <f t="shared" si="572"/>
        <v>9015</v>
      </c>
      <c r="DG180" s="195">
        <f t="shared" si="572"/>
        <v>4884</v>
      </c>
      <c r="DH180" s="195">
        <f t="shared" si="572"/>
        <v>7704</v>
      </c>
      <c r="DI180" s="195">
        <f t="shared" si="572"/>
        <v>8210</v>
      </c>
      <c r="DJ180" s="195">
        <f t="shared" si="572"/>
        <v>8400</v>
      </c>
      <c r="DK180" s="195">
        <f t="shared" si="572"/>
        <v>11053</v>
      </c>
      <c r="DL180" s="195">
        <f t="shared" si="572"/>
        <v>8591</v>
      </c>
      <c r="DM180" s="195">
        <f t="shared" si="572"/>
        <v>10634</v>
      </c>
      <c r="DN180" s="195">
        <f t="shared" si="572"/>
        <v>10342</v>
      </c>
      <c r="DO180" s="195">
        <f t="shared" si="572"/>
        <v>10918</v>
      </c>
      <c r="DP180" s="195">
        <f t="shared" si="572"/>
        <v>9324</v>
      </c>
      <c r="DQ180" s="195">
        <f t="shared" si="572"/>
        <v>8769</v>
      </c>
      <c r="DR180" s="195">
        <f t="shared" si="572"/>
        <v>10770</v>
      </c>
      <c r="DS180" s="195">
        <f t="shared" si="572"/>
        <v>10524</v>
      </c>
      <c r="DT180" s="195">
        <f t="shared" si="572"/>
        <v>13086</v>
      </c>
      <c r="DU180" s="195">
        <f t="shared" si="572"/>
        <v>7856</v>
      </c>
      <c r="DV180" s="195">
        <f t="shared" si="572"/>
        <v>11811</v>
      </c>
      <c r="DW180" s="195">
        <f t="shared" si="572"/>
        <v>10699</v>
      </c>
      <c r="DX180" s="195">
        <f t="shared" si="572"/>
        <v>9461</v>
      </c>
      <c r="DY180" s="195">
        <f t="shared" si="572"/>
        <v>10619</v>
      </c>
      <c r="DZ180" s="195">
        <f t="shared" si="572"/>
        <v>8883</v>
      </c>
      <c r="EA180" s="195">
        <f t="shared" si="572"/>
        <v>3691</v>
      </c>
      <c r="EB180" s="359">
        <v>8978</v>
      </c>
      <c r="EC180" s="195">
        <f t="shared" si="572"/>
        <v>12386</v>
      </c>
      <c r="ED180" s="195">
        <f t="shared" si="572"/>
        <v>11351</v>
      </c>
      <c r="EE180" s="195">
        <f t="shared" si="572"/>
        <v>8000</v>
      </c>
      <c r="EF180" s="195">
        <f t="shared" si="572"/>
        <v>9000</v>
      </c>
      <c r="EG180" s="195">
        <f t="shared" ref="EG180:EP180" si="573">EG178-EG179</f>
        <v>10000</v>
      </c>
      <c r="EH180" s="195">
        <f t="shared" si="573"/>
        <v>11000</v>
      </c>
      <c r="EI180" s="195">
        <f t="shared" si="573"/>
        <v>12000</v>
      </c>
      <c r="EJ180" s="195">
        <f t="shared" si="573"/>
        <v>13000</v>
      </c>
      <c r="EK180" s="195">
        <f t="shared" si="573"/>
        <v>13000</v>
      </c>
      <c r="EL180" s="195">
        <f t="shared" si="573"/>
        <v>13000</v>
      </c>
      <c r="EM180" s="195">
        <f t="shared" si="573"/>
        <v>13000</v>
      </c>
      <c r="EN180" s="195">
        <f t="shared" si="573"/>
        <v>13000</v>
      </c>
      <c r="EO180" s="195">
        <f t="shared" si="573"/>
        <v>13000</v>
      </c>
      <c r="EP180" s="195">
        <f t="shared" si="573"/>
        <v>13000</v>
      </c>
      <c r="ES180" s="355">
        <f t="shared" si="436"/>
        <v>175</v>
      </c>
      <c r="ET180"/>
      <c r="EU180"/>
      <c r="EV180"/>
      <c r="EW180"/>
      <c r="EX180"/>
      <c r="EY180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</row>
    <row r="181" spans="1:257" s="4" customFormat="1" hidden="1" outlineLevel="2">
      <c r="A181" s="15"/>
      <c r="B181" s="65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93"/>
      <c r="Z181" s="193"/>
      <c r="AA181" s="193"/>
      <c r="AB181" s="193"/>
      <c r="AC181" s="193"/>
      <c r="AD181" s="193"/>
      <c r="AE181" s="193"/>
      <c r="AF181" s="193"/>
      <c r="AG181" s="5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33"/>
      <c r="DA181" s="194"/>
      <c r="DB181" s="194"/>
      <c r="DC181" s="194"/>
      <c r="DD181" s="194"/>
      <c r="DE181" s="10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33"/>
      <c r="DV181" s="33"/>
      <c r="DW181" s="33"/>
      <c r="DX181" s="33"/>
      <c r="DY181" s="33"/>
      <c r="DZ181" s="33"/>
      <c r="EA181" s="33"/>
      <c r="EB181" s="357"/>
      <c r="EC181" s="357"/>
      <c r="ED181" s="357"/>
      <c r="EE181" s="193"/>
      <c r="EF181" s="193"/>
      <c r="EG181" s="193"/>
      <c r="EH181" s="193"/>
      <c r="EI181" s="193"/>
      <c r="EJ181" s="193"/>
      <c r="EK181" s="193"/>
      <c r="EL181" s="193"/>
      <c r="EM181" s="193"/>
      <c r="EN181" s="193"/>
      <c r="EO181" s="193"/>
      <c r="EP181" s="193"/>
      <c r="ES181" s="355">
        <f t="shared" si="436"/>
        <v>176</v>
      </c>
      <c r="ET181"/>
      <c r="EU181"/>
      <c r="EV181"/>
      <c r="EW181"/>
      <c r="EX181"/>
      <c r="EY18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</row>
    <row r="182" spans="1:257" s="10" customFormat="1" hidden="1" outlineLevel="2">
      <c r="A182" s="9"/>
      <c r="B182" s="65" t="s">
        <v>163</v>
      </c>
      <c r="C182" s="33"/>
      <c r="D182" s="33"/>
      <c r="E182" s="184"/>
      <c r="F182" s="184"/>
      <c r="G182" s="184"/>
      <c r="H182" s="184"/>
      <c r="I182" s="184"/>
      <c r="J182" s="184"/>
      <c r="K182" s="184"/>
      <c r="L182" s="184"/>
      <c r="M182" s="184"/>
      <c r="N182" s="184"/>
      <c r="O182" s="185">
        <f t="shared" ref="O182:X184" si="574">SUMIF($AH$5:$ER$5,O$5,$AH182:$ER182)</f>
        <v>88.507586000000003</v>
      </c>
      <c r="P182" s="185">
        <f t="shared" si="574"/>
        <v>122.686244</v>
      </c>
      <c r="Q182" s="185">
        <f t="shared" si="574"/>
        <v>144.81823200000002</v>
      </c>
      <c r="R182" s="185">
        <f t="shared" si="574"/>
        <v>206.24042799999998</v>
      </c>
      <c r="S182" s="185">
        <f t="shared" si="574"/>
        <v>279.59228300000001</v>
      </c>
      <c r="T182" s="185">
        <f t="shared" si="574"/>
        <v>301.81347499999998</v>
      </c>
      <c r="U182" s="185">
        <f t="shared" si="574"/>
        <v>218.64011499999998</v>
      </c>
      <c r="V182" s="185">
        <f t="shared" si="574"/>
        <v>236.14833300000001</v>
      </c>
      <c r="W182" s="185">
        <f t="shared" si="574"/>
        <v>197.49786399999999</v>
      </c>
      <c r="X182" s="185">
        <f t="shared" si="574"/>
        <v>242.306805</v>
      </c>
      <c r="Y182" s="185">
        <f t="shared" ref="Y182:AF184" si="575">SUMIF($AH$5:$ER$5,Y$5,$AH182:$ER182)</f>
        <v>324.30033300000002</v>
      </c>
      <c r="Z182" s="185">
        <f t="shared" si="575"/>
        <v>308.18415599999997</v>
      </c>
      <c r="AA182" s="185">
        <f t="shared" si="575"/>
        <v>330.22417499999995</v>
      </c>
      <c r="AB182" s="184">
        <f t="shared" si="575"/>
        <v>209.43193300000001</v>
      </c>
      <c r="AC182" s="184">
        <f t="shared" si="575"/>
        <v>188.71257199999999</v>
      </c>
      <c r="AD182" s="184">
        <f t="shared" si="575"/>
        <v>233.85864299999997</v>
      </c>
      <c r="AE182" s="184">
        <f t="shared" si="575"/>
        <v>283.19399999999996</v>
      </c>
      <c r="AF182" s="184">
        <f t="shared" si="575"/>
        <v>322.08</v>
      </c>
      <c r="AG182" s="192"/>
      <c r="AH182" s="191"/>
      <c r="AI182" s="191"/>
      <c r="AJ182" s="191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1"/>
      <c r="AZ182" s="191"/>
      <c r="BA182" s="191"/>
      <c r="BB182" s="191"/>
      <c r="BC182" s="191"/>
      <c r="BD182" s="191"/>
      <c r="BE182" s="191"/>
      <c r="BF182" s="191"/>
      <c r="BG182" s="191"/>
      <c r="BH182" s="191"/>
      <c r="BI182" s="191"/>
      <c r="BJ182" s="191"/>
      <c r="BK182" s="191"/>
      <c r="BL182" s="191"/>
      <c r="BM182" s="191"/>
      <c r="BN182" s="191"/>
      <c r="BO182" s="191"/>
      <c r="BP182" s="191"/>
      <c r="BQ182" s="191"/>
      <c r="BR182" s="191"/>
      <c r="BS182" s="191"/>
      <c r="BT182" s="191"/>
      <c r="BU182" s="191">
        <f t="shared" ref="BU182:CZ182" si="576">BU175*BU178/1000000</f>
        <v>25.627265999999999</v>
      </c>
      <c r="BV182" s="191">
        <f t="shared" si="576"/>
        <v>18.500979000000001</v>
      </c>
      <c r="BW182" s="191">
        <f t="shared" si="576"/>
        <v>23.423995000000001</v>
      </c>
      <c r="BX182" s="191">
        <f t="shared" si="576"/>
        <v>24.622052</v>
      </c>
      <c r="BY182" s="191">
        <f t="shared" si="576"/>
        <v>21.960560000000001</v>
      </c>
      <c r="BZ182" s="191">
        <f t="shared" si="576"/>
        <v>29.282526000000001</v>
      </c>
      <c r="CA182" s="191">
        <f t="shared" si="576"/>
        <v>32.183577</v>
      </c>
      <c r="CB182" s="191">
        <f t="shared" si="576"/>
        <v>29.501909000000001</v>
      </c>
      <c r="CC182" s="191">
        <f t="shared" si="576"/>
        <v>31.718232</v>
      </c>
      <c r="CD182" s="191">
        <f t="shared" si="576"/>
        <v>35.016184000000003</v>
      </c>
      <c r="CE182" s="191">
        <f t="shared" si="576"/>
        <v>33.575040000000001</v>
      </c>
      <c r="CF182" s="191">
        <f t="shared" si="576"/>
        <v>37.430976000000001</v>
      </c>
      <c r="CG182" s="191">
        <f t="shared" si="576"/>
        <v>38.796031999999997</v>
      </c>
      <c r="CH182" s="191">
        <f t="shared" si="576"/>
        <v>41.137979999999999</v>
      </c>
      <c r="CI182" s="191">
        <f t="shared" si="576"/>
        <v>49.634639999999997</v>
      </c>
      <c r="CJ182" s="191">
        <f t="shared" si="576"/>
        <v>56.805399999999999</v>
      </c>
      <c r="CK182" s="191">
        <f t="shared" si="576"/>
        <v>58.662407999999999</v>
      </c>
      <c r="CL182" s="191">
        <f t="shared" si="576"/>
        <v>65.514539999999997</v>
      </c>
      <c r="CM182" s="191">
        <f t="shared" si="576"/>
        <v>61.076262</v>
      </c>
      <c r="CN182" s="191">
        <f t="shared" si="576"/>
        <v>76.436999999999998</v>
      </c>
      <c r="CO182" s="191">
        <f t="shared" si="576"/>
        <v>76.564481000000001</v>
      </c>
      <c r="CP182" s="191">
        <f t="shared" si="576"/>
        <v>68.388081999999997</v>
      </c>
      <c r="CQ182" s="191">
        <f t="shared" si="576"/>
        <v>71.252525000000006</v>
      </c>
      <c r="CR182" s="191">
        <f t="shared" si="576"/>
        <v>75.521259000000001</v>
      </c>
      <c r="CS182" s="191">
        <f t="shared" si="576"/>
        <v>86.651608999999993</v>
      </c>
      <c r="CT182" s="191">
        <f t="shared" si="576"/>
        <v>87.544270999999995</v>
      </c>
      <c r="CU182" s="191">
        <f t="shared" si="576"/>
        <v>47.963850000000001</v>
      </c>
      <c r="CV182" s="191">
        <f t="shared" si="576"/>
        <v>44.345480000000002</v>
      </c>
      <c r="CW182" s="191">
        <f t="shared" si="576"/>
        <v>38.786513999999997</v>
      </c>
      <c r="CX182" s="191">
        <f t="shared" si="576"/>
        <v>56.942945999999999</v>
      </c>
      <c r="CY182" s="191">
        <f t="shared" si="576"/>
        <v>61.924790000000002</v>
      </c>
      <c r="CZ182" s="191">
        <f t="shared" si="576"/>
        <v>57.688389000000001</v>
      </c>
      <c r="DA182" s="191">
        <f t="shared" ref="DA182:EF182" si="577">DA175*DA178/1000000</f>
        <v>59.592207999999999</v>
      </c>
      <c r="DB182" s="191">
        <f t="shared" si="577"/>
        <v>59.830298999999997</v>
      </c>
      <c r="DC182" s="191">
        <f t="shared" si="577"/>
        <v>46.954103000000003</v>
      </c>
      <c r="DD182" s="191">
        <f t="shared" si="577"/>
        <v>41.961837000000003</v>
      </c>
      <c r="DE182" s="191">
        <f t="shared" si="577"/>
        <v>48.751624999999997</v>
      </c>
      <c r="DF182" s="191">
        <f t="shared" si="577"/>
        <v>53.723488000000003</v>
      </c>
      <c r="DG182" s="191">
        <f t="shared" si="577"/>
        <v>55.297161000000003</v>
      </c>
      <c r="DH182" s="191">
        <f t="shared" si="577"/>
        <v>61.786423999999997</v>
      </c>
      <c r="DI182" s="191">
        <f t="shared" si="577"/>
        <v>71.499731999999995</v>
      </c>
      <c r="DJ182" s="191">
        <f t="shared" si="577"/>
        <v>79.438107000000002</v>
      </c>
      <c r="DK182" s="191">
        <f t="shared" si="577"/>
        <v>82.289570999999995</v>
      </c>
      <c r="DL182" s="191">
        <f t="shared" si="577"/>
        <v>76.656059999999997</v>
      </c>
      <c r="DM182" s="191">
        <f t="shared" si="577"/>
        <v>85.916595000000001</v>
      </c>
      <c r="DN182" s="191">
        <f t="shared" si="577"/>
        <v>82.861547999999999</v>
      </c>
      <c r="DO182" s="191">
        <f t="shared" si="577"/>
        <v>75.377039999999994</v>
      </c>
      <c r="DP182" s="191">
        <f t="shared" si="577"/>
        <v>71.758895999999993</v>
      </c>
      <c r="DQ182" s="191">
        <f t="shared" si="577"/>
        <v>78.186672000000002</v>
      </c>
      <c r="DR182" s="191">
        <f t="shared" si="577"/>
        <v>83.172960000000003</v>
      </c>
      <c r="DS182" s="191">
        <f t="shared" si="577"/>
        <v>86.002979999999994</v>
      </c>
      <c r="DT182" s="191">
        <f t="shared" si="577"/>
        <v>88.717304999999996</v>
      </c>
      <c r="DU182" s="191">
        <f t="shared" si="577"/>
        <v>72.330929999999995</v>
      </c>
      <c r="DV182" s="191">
        <f t="shared" si="577"/>
        <v>64.949741000000003</v>
      </c>
      <c r="DW182" s="191">
        <f t="shared" si="577"/>
        <v>48.063617999999998</v>
      </c>
      <c r="DX182" s="191">
        <f t="shared" si="577"/>
        <v>44.198881999999998</v>
      </c>
      <c r="DY182" s="191">
        <f t="shared" si="577"/>
        <v>52.219692000000002</v>
      </c>
      <c r="DZ182" s="191">
        <f t="shared" si="577"/>
        <v>59.925657999999999</v>
      </c>
      <c r="EA182" s="191">
        <f t="shared" si="577"/>
        <v>32.485799999999998</v>
      </c>
      <c r="EB182" s="191">
        <f t="shared" si="577"/>
        <v>43.963974000000007</v>
      </c>
      <c r="EC182" s="191">
        <f t="shared" si="577"/>
        <v>52.337139999999998</v>
      </c>
      <c r="ED182" s="191">
        <f t="shared" si="577"/>
        <v>60.367893000000002</v>
      </c>
      <c r="EE182" s="191">
        <f t="shared" si="577"/>
        <v>53.250749999999996</v>
      </c>
      <c r="EF182" s="191">
        <f t="shared" si="577"/>
        <v>58.968000000000004</v>
      </c>
      <c r="EG182" s="191">
        <f t="shared" ref="EG182:EP182" si="578">EG175*EG178/1000000</f>
        <v>61.271999999999998</v>
      </c>
      <c r="EH182" s="191">
        <f t="shared" si="578"/>
        <v>66.424000000000007</v>
      </c>
      <c r="EI182" s="191">
        <f t="shared" si="578"/>
        <v>66.69</v>
      </c>
      <c r="EJ182" s="191">
        <f t="shared" si="578"/>
        <v>72.8</v>
      </c>
      <c r="EK182" s="191">
        <f t="shared" si="578"/>
        <v>77.28</v>
      </c>
      <c r="EL182" s="191">
        <f t="shared" si="578"/>
        <v>80.959999999999994</v>
      </c>
      <c r="EM182" s="191">
        <f t="shared" si="578"/>
        <v>80.08</v>
      </c>
      <c r="EN182" s="191">
        <f t="shared" si="578"/>
        <v>80.08</v>
      </c>
      <c r="EO182" s="191">
        <f t="shared" si="578"/>
        <v>80.959999999999994</v>
      </c>
      <c r="EP182" s="191">
        <f t="shared" si="578"/>
        <v>80.959999999999994</v>
      </c>
      <c r="ES182" s="355">
        <f t="shared" si="436"/>
        <v>177</v>
      </c>
      <c r="ET182"/>
      <c r="EU182"/>
      <c r="EV182"/>
      <c r="EW182"/>
      <c r="EX182"/>
      <c r="EY182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</row>
    <row r="183" spans="1:257" s="10" customFormat="1" hidden="1" outlineLevel="2">
      <c r="A183" s="9"/>
      <c r="B183" s="65" t="s">
        <v>162</v>
      </c>
      <c r="C183" s="33"/>
      <c r="D183" s="33"/>
      <c r="E183" s="184"/>
      <c r="F183" s="184"/>
      <c r="G183" s="184"/>
      <c r="H183" s="184"/>
      <c r="I183" s="184"/>
      <c r="J183" s="184"/>
      <c r="K183" s="184"/>
      <c r="L183" s="184"/>
      <c r="M183" s="184"/>
      <c r="N183" s="184"/>
      <c r="O183" s="185">
        <f t="shared" si="574"/>
        <v>0</v>
      </c>
      <c r="P183" s="185">
        <f t="shared" si="574"/>
        <v>0</v>
      </c>
      <c r="Q183" s="185">
        <f t="shared" si="574"/>
        <v>0</v>
      </c>
      <c r="R183" s="185">
        <f t="shared" si="574"/>
        <v>0</v>
      </c>
      <c r="S183" s="185">
        <f t="shared" si="574"/>
        <v>0</v>
      </c>
      <c r="T183" s="185">
        <f t="shared" si="574"/>
        <v>0</v>
      </c>
      <c r="U183" s="185">
        <f t="shared" si="574"/>
        <v>0</v>
      </c>
      <c r="V183" s="185">
        <f t="shared" si="574"/>
        <v>0</v>
      </c>
      <c r="W183" s="185">
        <f t="shared" si="574"/>
        <v>0</v>
      </c>
      <c r="X183" s="185">
        <f t="shared" si="574"/>
        <v>0</v>
      </c>
      <c r="Y183" s="185">
        <f t="shared" si="575"/>
        <v>0</v>
      </c>
      <c r="Z183" s="185">
        <f t="shared" si="575"/>
        <v>0</v>
      </c>
      <c r="AA183" s="185">
        <f t="shared" si="575"/>
        <v>18.692487</v>
      </c>
      <c r="AB183" s="184">
        <f t="shared" si="575"/>
        <v>0</v>
      </c>
      <c r="AC183" s="184">
        <f t="shared" si="575"/>
        <v>14.175528000000003</v>
      </c>
      <c r="AD183" s="184">
        <f t="shared" si="575"/>
        <v>0</v>
      </c>
      <c r="AE183" s="184">
        <f t="shared" si="575"/>
        <v>0</v>
      </c>
      <c r="AF183" s="184">
        <f t="shared" si="575"/>
        <v>0</v>
      </c>
      <c r="AG183" s="192"/>
      <c r="AH183" s="191"/>
      <c r="AI183" s="191"/>
      <c r="AJ183" s="191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1"/>
      <c r="AZ183" s="191"/>
      <c r="BA183" s="191"/>
      <c r="BB183" s="191"/>
      <c r="BC183" s="191"/>
      <c r="BD183" s="191"/>
      <c r="BE183" s="191"/>
      <c r="BF183" s="191"/>
      <c r="BG183" s="191"/>
      <c r="BH183" s="191"/>
      <c r="BI183" s="191"/>
      <c r="BJ183" s="191"/>
      <c r="BK183" s="191"/>
      <c r="BL183" s="191"/>
      <c r="BM183" s="191"/>
      <c r="BN183" s="191"/>
      <c r="BO183" s="191"/>
      <c r="BP183" s="191"/>
      <c r="BQ183" s="191"/>
      <c r="BR183" s="191"/>
      <c r="BS183" s="191"/>
      <c r="BT183" s="191"/>
      <c r="BU183" s="191"/>
      <c r="BV183" s="191"/>
      <c r="BW183" s="191"/>
      <c r="BX183" s="191"/>
      <c r="BY183" s="191"/>
      <c r="BZ183" s="191"/>
      <c r="CA183" s="191"/>
      <c r="CB183" s="191"/>
      <c r="CC183" s="191"/>
      <c r="CD183" s="191"/>
      <c r="CE183" s="191"/>
      <c r="CF183" s="191"/>
      <c r="CG183" s="191"/>
      <c r="CH183" s="191"/>
      <c r="CI183" s="191"/>
      <c r="CJ183" s="191"/>
      <c r="CK183" s="191"/>
      <c r="CL183" s="191"/>
      <c r="CM183" s="191"/>
      <c r="CN183" s="191"/>
      <c r="CO183" s="191"/>
      <c r="CP183" s="191"/>
      <c r="CQ183" s="191"/>
      <c r="CR183" s="191"/>
      <c r="CS183" s="191"/>
      <c r="CT183" s="191"/>
      <c r="CU183" s="191"/>
      <c r="CV183" s="191"/>
      <c r="CW183" s="191"/>
      <c r="CX183" s="191"/>
      <c r="CY183" s="191"/>
      <c r="CZ183" s="191"/>
      <c r="DA183" s="191"/>
      <c r="DB183" s="191"/>
      <c r="DC183" s="191"/>
      <c r="DD183" s="191"/>
      <c r="DE183" s="191"/>
      <c r="DF183" s="191"/>
      <c r="DG183" s="191"/>
      <c r="DH183" s="191"/>
      <c r="DI183" s="191"/>
      <c r="DJ183" s="191"/>
      <c r="DK183" s="191"/>
      <c r="DL183" s="191"/>
      <c r="DM183" s="191"/>
      <c r="DN183" s="191"/>
      <c r="DO183" s="190">
        <v>0</v>
      </c>
      <c r="DP183" s="190">
        <v>0</v>
      </c>
      <c r="DQ183" s="190">
        <v>0</v>
      </c>
      <c r="DR183" s="190">
        <v>0</v>
      </c>
      <c r="DS183" s="190">
        <f>(373*DS175)/1000000</f>
        <v>0.68706599999999995</v>
      </c>
      <c r="DT183" s="190">
        <f>(4658*DT175)/1000000</f>
        <v>8.7896459999999994</v>
      </c>
      <c r="DU183" s="190">
        <f>(5535*DU175)/1000000</f>
        <v>9.2157750000000007</v>
      </c>
      <c r="DV183" s="190">
        <v>0</v>
      </c>
      <c r="DW183" s="190">
        <v>0</v>
      </c>
      <c r="DX183" s="190">
        <v>0</v>
      </c>
      <c r="DY183" s="190">
        <v>0</v>
      </c>
      <c r="DZ183" s="190">
        <f>4086*DZ175/1000000</f>
        <v>4.7275020000000003</v>
      </c>
      <c r="EA183" s="190">
        <v>0</v>
      </c>
      <c r="EB183" s="190">
        <v>9.4480260000000023</v>
      </c>
      <c r="EC183" s="190">
        <v>0</v>
      </c>
      <c r="ED183" s="190">
        <v>0</v>
      </c>
      <c r="EE183" s="190">
        <v>0</v>
      </c>
      <c r="EF183" s="190">
        <v>0</v>
      </c>
      <c r="EG183" s="190">
        <v>0</v>
      </c>
      <c r="EH183" s="190">
        <v>0</v>
      </c>
      <c r="EI183" s="190">
        <v>0</v>
      </c>
      <c r="EJ183" s="190">
        <v>0</v>
      </c>
      <c r="EK183" s="190">
        <v>0</v>
      </c>
      <c r="EL183" s="190">
        <v>0</v>
      </c>
      <c r="EM183" s="190">
        <v>0</v>
      </c>
      <c r="EN183" s="190">
        <v>0</v>
      </c>
      <c r="EO183" s="190">
        <v>0</v>
      </c>
      <c r="EP183" s="190">
        <v>0</v>
      </c>
      <c r="ES183" s="355">
        <f t="shared" si="436"/>
        <v>178</v>
      </c>
      <c r="ET183"/>
      <c r="EU183"/>
      <c r="EV183"/>
      <c r="EW183"/>
      <c r="EX183"/>
      <c r="EY183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</row>
    <row r="184" spans="1:257" s="10" customFormat="1" hidden="1" outlineLevel="2">
      <c r="A184" s="9"/>
      <c r="B184" s="189" t="s">
        <v>161</v>
      </c>
      <c r="C184" s="188"/>
      <c r="D184" s="188"/>
      <c r="E184" s="187" t="s">
        <v>160</v>
      </c>
      <c r="F184" s="187" t="s">
        <v>160</v>
      </c>
      <c r="G184" s="187" t="s">
        <v>160</v>
      </c>
      <c r="H184" s="187" t="s">
        <v>160</v>
      </c>
      <c r="I184" s="187" t="s">
        <v>160</v>
      </c>
      <c r="J184" s="187" t="s">
        <v>160</v>
      </c>
      <c r="K184" s="187" t="s">
        <v>160</v>
      </c>
      <c r="L184" s="187" t="s">
        <v>160</v>
      </c>
      <c r="M184" s="187" t="s">
        <v>160</v>
      </c>
      <c r="N184" s="186">
        <v>12.769</v>
      </c>
      <c r="O184" s="185">
        <f t="shared" si="574"/>
        <v>7.9959999999999996</v>
      </c>
      <c r="P184" s="185">
        <f t="shared" si="574"/>
        <v>11.731</v>
      </c>
      <c r="Q184" s="185">
        <f t="shared" si="574"/>
        <v>15.215</v>
      </c>
      <c r="R184" s="185">
        <f t="shared" si="574"/>
        <v>23.992000000000001</v>
      </c>
      <c r="S184" s="185">
        <f t="shared" si="574"/>
        <v>40.113</v>
      </c>
      <c r="T184" s="185">
        <f t="shared" si="574"/>
        <v>26.430999999999997</v>
      </c>
      <c r="U184" s="185">
        <f t="shared" si="574"/>
        <v>18.755000000000003</v>
      </c>
      <c r="V184" s="185">
        <f t="shared" si="574"/>
        <v>11.779</v>
      </c>
      <c r="W184" s="185">
        <f t="shared" si="574"/>
        <v>24.207000000000001</v>
      </c>
      <c r="X184" s="185">
        <f t="shared" si="574"/>
        <v>27.720000000000002</v>
      </c>
      <c r="Y184" s="185">
        <f t="shared" si="575"/>
        <v>42.542000000000002</v>
      </c>
      <c r="Z184" s="185">
        <f t="shared" si="575"/>
        <v>49.673000000000002</v>
      </c>
      <c r="AA184" s="185">
        <f t="shared" si="575"/>
        <v>37.775999999999996</v>
      </c>
      <c r="AB184" s="184">
        <f t="shared" si="575"/>
        <v>20.457999999999998</v>
      </c>
      <c r="AC184" s="184">
        <f t="shared" si="575"/>
        <v>10.074</v>
      </c>
      <c r="AD184" s="184">
        <f t="shared" si="575"/>
        <v>11.444000000000001</v>
      </c>
      <c r="AE184" s="184">
        <f t="shared" si="575"/>
        <v>11.444000000000001</v>
      </c>
      <c r="AF184" s="184">
        <f t="shared" si="575"/>
        <v>11.444000000000001</v>
      </c>
      <c r="AG184" s="183"/>
      <c r="AH184" s="182"/>
      <c r="AI184" s="182"/>
      <c r="AJ184" s="182"/>
      <c r="AK184" s="182"/>
      <c r="AL184" s="182"/>
      <c r="AM184" s="182"/>
      <c r="AN184" s="182"/>
      <c r="AO184" s="182"/>
      <c r="AP184" s="182"/>
      <c r="AQ184" s="182"/>
      <c r="AR184" s="182"/>
      <c r="AS184" s="182"/>
      <c r="AT184" s="182"/>
      <c r="AU184" s="182"/>
      <c r="AV184" s="182"/>
      <c r="AW184" s="182"/>
      <c r="AX184" s="182"/>
      <c r="AY184" s="182"/>
      <c r="AZ184" s="182"/>
      <c r="BA184" s="182"/>
      <c r="BB184" s="182"/>
      <c r="BC184" s="182"/>
      <c r="BD184" s="182"/>
      <c r="BE184" s="182"/>
      <c r="BF184" s="182"/>
      <c r="BG184" s="182"/>
      <c r="BH184" s="182"/>
      <c r="BI184" s="182"/>
      <c r="BJ184" s="182"/>
      <c r="BK184" s="182"/>
      <c r="BL184" s="182"/>
      <c r="BM184" s="182"/>
      <c r="BN184" s="182"/>
      <c r="BO184" s="182"/>
      <c r="BP184" s="182"/>
      <c r="BQ184" s="182"/>
      <c r="BR184" s="182"/>
      <c r="BS184" s="182"/>
      <c r="BT184" s="182"/>
      <c r="BU184" s="181">
        <v>2.1970000000000001</v>
      </c>
      <c r="BV184" s="181">
        <v>1.72</v>
      </c>
      <c r="BW184" s="181">
        <v>2.7480000000000002</v>
      </c>
      <c r="BX184" s="181">
        <v>1.9910000000000001</v>
      </c>
      <c r="BY184" s="181">
        <v>1.5369999999999999</v>
      </c>
      <c r="BZ184" s="181">
        <v>3.2610000000000001</v>
      </c>
      <c r="CA184" s="181">
        <v>3.51</v>
      </c>
      <c r="CB184" s="181">
        <v>2.4790000000000001</v>
      </c>
      <c r="CC184" s="181">
        <v>2.4809999999999999</v>
      </c>
      <c r="CD184" s="181">
        <v>3.0990000000000002</v>
      </c>
      <c r="CE184" s="181">
        <v>3.794</v>
      </c>
      <c r="CF184" s="181">
        <v>4.1150000000000002</v>
      </c>
      <c r="CG184" s="181">
        <v>4.2069999999999999</v>
      </c>
      <c r="CH184" s="181">
        <v>5.125</v>
      </c>
      <c r="CI184" s="181">
        <v>6.7960000000000003</v>
      </c>
      <c r="CJ184" s="181">
        <v>6.5750000000000002</v>
      </c>
      <c r="CK184" s="181">
        <f>23.992-SUM(CH184:CJ184)</f>
        <v>5.4960000000000022</v>
      </c>
      <c r="CL184" s="181">
        <v>12.156000000000001</v>
      </c>
      <c r="CM184" s="181">
        <v>10.824</v>
      </c>
      <c r="CN184" s="181">
        <v>8.57</v>
      </c>
      <c r="CO184" s="181">
        <v>8.5630000000000006</v>
      </c>
      <c r="CP184" s="181">
        <v>10.212999999999999</v>
      </c>
      <c r="CQ184" s="181">
        <v>4.5049999999999999</v>
      </c>
      <c r="CR184" s="181">
        <v>5.0659999999999998</v>
      </c>
      <c r="CS184" s="181">
        <v>6.6470000000000002</v>
      </c>
      <c r="CT184" s="181">
        <v>7.633</v>
      </c>
      <c r="CU184" s="181">
        <v>3.8650000000000002</v>
      </c>
      <c r="CV184" s="181">
        <v>2.9449999999999998</v>
      </c>
      <c r="CW184" s="181">
        <v>4.3120000000000003</v>
      </c>
      <c r="CX184" s="181">
        <v>2.4540000000000002</v>
      </c>
      <c r="CY184" s="181">
        <v>2.758</v>
      </c>
      <c r="CZ184" s="181">
        <v>2.3570000000000002</v>
      </c>
      <c r="DA184" s="181">
        <v>4.21</v>
      </c>
      <c r="DB184" s="181">
        <v>3.9790000000000001</v>
      </c>
      <c r="DC184" s="181">
        <v>7.73</v>
      </c>
      <c r="DD184" s="181">
        <v>4.0890000000000004</v>
      </c>
      <c r="DE184" s="181">
        <v>8.4090000000000007</v>
      </c>
      <c r="DF184" s="181">
        <v>7.0119999999999996</v>
      </c>
      <c r="DG184" s="181">
        <v>8.7910000000000004</v>
      </c>
      <c r="DH184" s="181">
        <v>5.6959999999999997</v>
      </c>
      <c r="DI184" s="181">
        <v>6.2210000000000001</v>
      </c>
      <c r="DJ184" s="181">
        <v>7.8280000000000003</v>
      </c>
      <c r="DK184" s="181">
        <v>11.804</v>
      </c>
      <c r="DL184" s="181">
        <v>10.323</v>
      </c>
      <c r="DM184" s="181">
        <v>12.587</v>
      </c>
      <c r="DN184" s="181">
        <v>12.48</v>
      </c>
      <c r="DO184" s="181">
        <v>12.48</v>
      </c>
      <c r="DP184" s="181">
        <v>9.5079999999999991</v>
      </c>
      <c r="DQ184" s="181">
        <v>15.205</v>
      </c>
      <c r="DR184" s="181">
        <v>9.7129999999999992</v>
      </c>
      <c r="DS184" s="137">
        <v>11.532</v>
      </c>
      <c r="DT184" s="137">
        <v>8.6910000000000007</v>
      </c>
      <c r="DU184" s="137">
        <v>7.84</v>
      </c>
      <c r="DV184" s="137">
        <v>7.2439999999999998</v>
      </c>
      <c r="DW184" s="137">
        <v>3.2879999999999998</v>
      </c>
      <c r="DX184" s="137">
        <v>3.7839999999999998</v>
      </c>
      <c r="DY184" s="137">
        <v>6.1420000000000003</v>
      </c>
      <c r="DZ184" s="137">
        <v>3.3769999999999998</v>
      </c>
      <c r="EA184" s="137">
        <v>2.2719999999999998</v>
      </c>
      <c r="EB184" s="137">
        <v>1.663</v>
      </c>
      <c r="EC184" s="137">
        <v>2.762</v>
      </c>
      <c r="ED184" s="137">
        <v>2.8610000000000002</v>
      </c>
      <c r="EE184" s="180">
        <f t="shared" ref="EE184:EP184" si="579">ED184</f>
        <v>2.8610000000000002</v>
      </c>
      <c r="EF184" s="180">
        <f t="shared" si="579"/>
        <v>2.8610000000000002</v>
      </c>
      <c r="EG184" s="180">
        <f t="shared" si="579"/>
        <v>2.8610000000000002</v>
      </c>
      <c r="EH184" s="180">
        <f t="shared" si="579"/>
        <v>2.8610000000000002</v>
      </c>
      <c r="EI184" s="180">
        <f t="shared" si="579"/>
        <v>2.8610000000000002</v>
      </c>
      <c r="EJ184" s="180">
        <f t="shared" si="579"/>
        <v>2.8610000000000002</v>
      </c>
      <c r="EK184" s="180">
        <f t="shared" si="579"/>
        <v>2.8610000000000002</v>
      </c>
      <c r="EL184" s="180">
        <f t="shared" si="579"/>
        <v>2.8610000000000002</v>
      </c>
      <c r="EM184" s="180">
        <f t="shared" si="579"/>
        <v>2.8610000000000002</v>
      </c>
      <c r="EN184" s="180">
        <f t="shared" si="579"/>
        <v>2.8610000000000002</v>
      </c>
      <c r="EO184" s="180">
        <f t="shared" si="579"/>
        <v>2.8610000000000002</v>
      </c>
      <c r="EP184" s="180">
        <f t="shared" si="579"/>
        <v>2.8610000000000002</v>
      </c>
      <c r="ES184" s="355">
        <f t="shared" si="436"/>
        <v>179</v>
      </c>
      <c r="ET184"/>
      <c r="EU184"/>
      <c r="EV184"/>
      <c r="EW184"/>
      <c r="EX184"/>
      <c r="EY184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</row>
    <row r="185" spans="1:257" s="4" customFormat="1" hidden="1" outlineLevel="2">
      <c r="A185" s="15"/>
      <c r="B185" s="54" t="s">
        <v>159</v>
      </c>
      <c r="C185" s="161"/>
      <c r="D185" s="161"/>
      <c r="E185" s="179">
        <v>89.617999999999995</v>
      </c>
      <c r="F185" s="179">
        <v>98.111000000000004</v>
      </c>
      <c r="G185" s="179">
        <v>110.69499999999999</v>
      </c>
      <c r="H185" s="179">
        <v>135.69499999999999</v>
      </c>
      <c r="I185" s="179">
        <v>176.65100000000001</v>
      </c>
      <c r="J185" s="179">
        <v>253.072</v>
      </c>
      <c r="K185" s="179">
        <v>182.98699999999999</v>
      </c>
      <c r="L185" s="179">
        <v>136.54900000000001</v>
      </c>
      <c r="M185" s="179">
        <v>154.88999999999999</v>
      </c>
      <c r="N185" s="161">
        <f t="shared" ref="N185:AF185" si="580">N13</f>
        <v>151.392</v>
      </c>
      <c r="O185" s="161">
        <f t="shared" si="580"/>
        <v>109.81200000000001</v>
      </c>
      <c r="P185" s="161">
        <f t="shared" si="580"/>
        <v>148.78799999999998</v>
      </c>
      <c r="Q185" s="161">
        <f t="shared" si="580"/>
        <v>177.48000000000002</v>
      </c>
      <c r="R185" s="161">
        <f t="shared" si="580"/>
        <v>247.09299999999999</v>
      </c>
      <c r="S185" s="161">
        <f t="shared" si="580"/>
        <v>320.28300000000002</v>
      </c>
      <c r="T185" s="161">
        <f t="shared" si="580"/>
        <v>328.24400000000003</v>
      </c>
      <c r="U185" s="161">
        <f t="shared" si="580"/>
        <v>237.39699999999999</v>
      </c>
      <c r="V185" s="161">
        <f t="shared" si="580"/>
        <v>253.92600000000004</v>
      </c>
      <c r="W185" s="161">
        <f t="shared" si="580"/>
        <v>226.84899999999999</v>
      </c>
      <c r="X185" s="161">
        <f t="shared" si="580"/>
        <v>270.02699999999999</v>
      </c>
      <c r="Y185" s="161">
        <f t="shared" si="580"/>
        <v>366.84100000000001</v>
      </c>
      <c r="Z185" s="161">
        <f t="shared" si="580"/>
        <v>355.53199999999998</v>
      </c>
      <c r="AA185" s="161">
        <f t="shared" si="580"/>
        <v>368.00051299999996</v>
      </c>
      <c r="AB185" s="161">
        <f t="shared" si="580"/>
        <v>229.89400000000001</v>
      </c>
      <c r="AC185" s="161">
        <f t="shared" si="580"/>
        <v>198.79647200000002</v>
      </c>
      <c r="AD185" s="161">
        <f t="shared" si="580"/>
        <v>245.28775000000002</v>
      </c>
      <c r="AE185" s="161">
        <f t="shared" si="580"/>
        <v>294.63800000000003</v>
      </c>
      <c r="AF185" s="161">
        <f t="shared" si="580"/>
        <v>333.524</v>
      </c>
      <c r="AG185" s="178"/>
      <c r="AH185" s="176">
        <v>20.242000000000001</v>
      </c>
      <c r="AI185" s="176">
        <v>23.745000000000001</v>
      </c>
      <c r="AJ185" s="176">
        <v>22.251999999999999</v>
      </c>
      <c r="AK185" s="176">
        <f>89.618-SUM(AH185:AJ185)</f>
        <v>23.378999999999991</v>
      </c>
      <c r="AL185" s="176">
        <v>22.318999999999999</v>
      </c>
      <c r="AM185" s="176">
        <v>23.128</v>
      </c>
      <c r="AN185" s="176">
        <v>25.890999999999998</v>
      </c>
      <c r="AO185" s="176">
        <f>98.111-SUM(AL185:AN185)</f>
        <v>26.77300000000001</v>
      </c>
      <c r="AP185" s="176">
        <v>22.15</v>
      </c>
      <c r="AQ185" s="176">
        <v>24.609000000000002</v>
      </c>
      <c r="AR185" s="176">
        <v>28.888999999999999</v>
      </c>
      <c r="AS185" s="176">
        <f>110.695-SUM(AP185:AR185)</f>
        <v>35.046999999999997</v>
      </c>
      <c r="AT185" s="176">
        <v>33.935000000000002</v>
      </c>
      <c r="AU185" s="176">
        <v>33.585000000000001</v>
      </c>
      <c r="AV185" s="176">
        <v>31.533999999999999</v>
      </c>
      <c r="AW185" s="176">
        <f>135.695-SUM(AT185:AV185)</f>
        <v>36.640999999999991</v>
      </c>
      <c r="AX185" s="176">
        <v>35.630000000000003</v>
      </c>
      <c r="AY185" s="176">
        <v>42.686999999999998</v>
      </c>
      <c r="AZ185" s="176">
        <v>47.204000000000001</v>
      </c>
      <c r="BA185" s="176">
        <f>176.651-SUM(AX185:AZ185)</f>
        <v>51.129999999999995</v>
      </c>
      <c r="BB185" s="176">
        <v>51.994</v>
      </c>
      <c r="BC185" s="176">
        <v>61.677</v>
      </c>
      <c r="BD185" s="176">
        <v>69.201999999999998</v>
      </c>
      <c r="BE185" s="176">
        <f>253.072-SUM(BB185:BD185)</f>
        <v>70.199000000000012</v>
      </c>
      <c r="BF185" s="176">
        <v>54.685000000000002</v>
      </c>
      <c r="BG185" s="176">
        <v>49.853000000000002</v>
      </c>
      <c r="BH185" s="176">
        <v>42.527999999999999</v>
      </c>
      <c r="BI185" s="176">
        <f>182.987-SUM(BF185:BH185)</f>
        <v>35.920999999999992</v>
      </c>
      <c r="BJ185" s="176">
        <v>34.201000000000001</v>
      </c>
      <c r="BK185" s="176">
        <v>32.167000000000002</v>
      </c>
      <c r="BL185" s="176">
        <v>32.976999999999997</v>
      </c>
      <c r="BM185" s="176">
        <v>37.204000000000001</v>
      </c>
      <c r="BN185" s="176">
        <v>38.691000000000003</v>
      </c>
      <c r="BO185" s="176">
        <v>35.128</v>
      </c>
      <c r="BP185" s="176">
        <v>40.527000000000001</v>
      </c>
      <c r="BQ185" s="176">
        <v>40.543999999999997</v>
      </c>
      <c r="BR185" s="176">
        <v>42.408999999999999</v>
      </c>
      <c r="BS185" s="176">
        <v>43.545999999999999</v>
      </c>
      <c r="BT185" s="176">
        <v>34.26</v>
      </c>
      <c r="BU185" s="176">
        <f t="shared" ref="BU185:CZ185" si="581">BU13</f>
        <v>31.177</v>
      </c>
      <c r="BV185" s="176">
        <f t="shared" si="581"/>
        <v>23.524000000000001</v>
      </c>
      <c r="BW185" s="176">
        <f t="shared" si="581"/>
        <v>29.451000000000001</v>
      </c>
      <c r="BX185" s="176">
        <f t="shared" si="581"/>
        <v>29.981000000000002</v>
      </c>
      <c r="BY185" s="176">
        <f t="shared" si="581"/>
        <v>26.856000000000002</v>
      </c>
      <c r="BZ185" s="176">
        <f t="shared" si="581"/>
        <v>35.960999999999999</v>
      </c>
      <c r="CA185" s="176">
        <f t="shared" si="581"/>
        <v>39.311</v>
      </c>
      <c r="CB185" s="176">
        <f t="shared" si="581"/>
        <v>35.487000000000002</v>
      </c>
      <c r="CC185" s="176">
        <f t="shared" si="581"/>
        <v>38.029000000000003</v>
      </c>
      <c r="CD185" s="176">
        <f t="shared" si="581"/>
        <v>42.470999999999997</v>
      </c>
      <c r="CE185" s="176">
        <f t="shared" si="581"/>
        <v>41.798999999999999</v>
      </c>
      <c r="CF185" s="176">
        <f t="shared" si="581"/>
        <v>46.03</v>
      </c>
      <c r="CG185" s="176">
        <f t="shared" si="581"/>
        <v>47.18</v>
      </c>
      <c r="CH185" s="176">
        <f t="shared" si="581"/>
        <v>50.256999999999998</v>
      </c>
      <c r="CI185" s="176">
        <f t="shared" si="581"/>
        <v>61.116999999999997</v>
      </c>
      <c r="CJ185" s="176">
        <f t="shared" si="581"/>
        <v>67.831000000000003</v>
      </c>
      <c r="CK185" s="176">
        <f t="shared" si="581"/>
        <v>67.888000000000005</v>
      </c>
      <c r="CL185" s="176">
        <f t="shared" si="581"/>
        <v>77.846000000000004</v>
      </c>
      <c r="CM185" s="176">
        <f t="shared" si="581"/>
        <v>71.95</v>
      </c>
      <c r="CN185" s="176">
        <f t="shared" si="581"/>
        <v>85.356999999999999</v>
      </c>
      <c r="CO185" s="176">
        <f t="shared" si="581"/>
        <v>85.13</v>
      </c>
      <c r="CP185" s="176">
        <f t="shared" si="581"/>
        <v>78.602000000000004</v>
      </c>
      <c r="CQ185" s="176">
        <f t="shared" si="581"/>
        <v>75.757000000000005</v>
      </c>
      <c r="CR185" s="176">
        <f t="shared" si="581"/>
        <v>80.584999999999994</v>
      </c>
      <c r="CS185" s="176">
        <f t="shared" si="581"/>
        <v>93.3</v>
      </c>
      <c r="CT185" s="176">
        <f t="shared" si="581"/>
        <v>95.177999999999997</v>
      </c>
      <c r="CU185" s="176">
        <f t="shared" si="581"/>
        <v>51.829000000000001</v>
      </c>
      <c r="CV185" s="176">
        <f t="shared" si="581"/>
        <v>47.29</v>
      </c>
      <c r="CW185" s="176">
        <f t="shared" si="581"/>
        <v>43.1</v>
      </c>
      <c r="CX185" s="176">
        <f t="shared" si="581"/>
        <v>59.398000000000003</v>
      </c>
      <c r="CY185" s="176">
        <f t="shared" si="581"/>
        <v>64.680999999999997</v>
      </c>
      <c r="CZ185" s="176">
        <f t="shared" si="581"/>
        <v>60.045000000000002</v>
      </c>
      <c r="DA185" s="176">
        <f t="shared" ref="DA185:ED185" si="582">DA13</f>
        <v>69.802000000000007</v>
      </c>
      <c r="DB185" s="176">
        <f t="shared" si="582"/>
        <v>68.953999999999994</v>
      </c>
      <c r="DC185" s="176">
        <f t="shared" si="582"/>
        <v>54.683999999999997</v>
      </c>
      <c r="DD185" s="176">
        <f t="shared" si="582"/>
        <v>46.051000000000002</v>
      </c>
      <c r="DE185" s="176">
        <f t="shared" si="582"/>
        <v>57.16</v>
      </c>
      <c r="DF185" s="176">
        <f t="shared" si="582"/>
        <v>60.734999999999999</v>
      </c>
      <c r="DG185" s="176">
        <f t="shared" si="582"/>
        <v>64.087999999999994</v>
      </c>
      <c r="DH185" s="176">
        <f t="shared" si="582"/>
        <v>67.481999999999999</v>
      </c>
      <c r="DI185" s="176">
        <f t="shared" si="582"/>
        <v>77.721999999999994</v>
      </c>
      <c r="DJ185" s="176">
        <f t="shared" si="582"/>
        <v>87.266999999999996</v>
      </c>
      <c r="DK185" s="176">
        <f t="shared" si="582"/>
        <v>94.091999999999999</v>
      </c>
      <c r="DL185" s="176">
        <f t="shared" si="582"/>
        <v>86.977999999999994</v>
      </c>
      <c r="DM185" s="176">
        <f t="shared" si="582"/>
        <v>98.504000000000005</v>
      </c>
      <c r="DN185" s="176">
        <f t="shared" si="582"/>
        <v>95.340999999999994</v>
      </c>
      <c r="DO185" s="176">
        <f t="shared" si="582"/>
        <v>85.533000000000001</v>
      </c>
      <c r="DP185" s="176">
        <f t="shared" si="582"/>
        <v>81.266999999999996</v>
      </c>
      <c r="DQ185" s="176">
        <f t="shared" si="582"/>
        <v>93.391000000000005</v>
      </c>
      <c r="DR185" s="176">
        <f t="shared" si="582"/>
        <v>92.885000000000005</v>
      </c>
      <c r="DS185" s="176">
        <f t="shared" si="582"/>
        <v>97.534933999999993</v>
      </c>
      <c r="DT185" s="176">
        <f t="shared" si="582"/>
        <v>97.408353999999989</v>
      </c>
      <c r="DU185" s="176">
        <f t="shared" si="582"/>
        <v>80.172224999999997</v>
      </c>
      <c r="DV185" s="176">
        <f t="shared" si="582"/>
        <v>72.194000000000003</v>
      </c>
      <c r="DW185" s="176">
        <f t="shared" si="582"/>
        <v>51.351999999999997</v>
      </c>
      <c r="DX185" s="176">
        <f t="shared" si="582"/>
        <v>47.982999999999997</v>
      </c>
      <c r="DY185" s="176">
        <f t="shared" si="582"/>
        <v>58.365000000000002</v>
      </c>
      <c r="DZ185" s="176">
        <f t="shared" si="582"/>
        <v>63.303498000000005</v>
      </c>
      <c r="EA185" s="176">
        <f t="shared" si="582"/>
        <v>34.756999999999998</v>
      </c>
      <c r="EB185" s="176">
        <f t="shared" si="582"/>
        <v>45.626974000000004</v>
      </c>
      <c r="EC185" s="176">
        <f t="shared" si="582"/>
        <v>55.109000000000002</v>
      </c>
      <c r="ED185" s="176">
        <f t="shared" si="582"/>
        <v>63.213999999999999</v>
      </c>
      <c r="EE185" s="176">
        <f t="shared" ref="EE185:EP185" si="583">SUM(EE182:EE184)</f>
        <v>56.111749999999994</v>
      </c>
      <c r="EF185" s="176">
        <f t="shared" si="583"/>
        <v>61.829000000000001</v>
      </c>
      <c r="EG185" s="176">
        <f t="shared" si="583"/>
        <v>64.132999999999996</v>
      </c>
      <c r="EH185" s="176">
        <f t="shared" si="583"/>
        <v>69.285000000000011</v>
      </c>
      <c r="EI185" s="176">
        <f t="shared" si="583"/>
        <v>69.551000000000002</v>
      </c>
      <c r="EJ185" s="176">
        <f t="shared" si="583"/>
        <v>75.661000000000001</v>
      </c>
      <c r="EK185" s="176">
        <f t="shared" si="583"/>
        <v>80.141000000000005</v>
      </c>
      <c r="EL185" s="176">
        <f t="shared" si="583"/>
        <v>83.820999999999998</v>
      </c>
      <c r="EM185" s="176">
        <f t="shared" si="583"/>
        <v>82.941000000000003</v>
      </c>
      <c r="EN185" s="176">
        <f t="shared" si="583"/>
        <v>82.941000000000003</v>
      </c>
      <c r="EO185" s="176">
        <f t="shared" si="583"/>
        <v>83.820999999999998</v>
      </c>
      <c r="EP185" s="176">
        <f t="shared" si="583"/>
        <v>83.820999999999998</v>
      </c>
      <c r="ES185" s="355">
        <f t="shared" si="436"/>
        <v>180</v>
      </c>
      <c r="ET185"/>
      <c r="EU185"/>
      <c r="EV185"/>
      <c r="EW185"/>
      <c r="EX185"/>
      <c r="EY185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</row>
    <row r="186" spans="1:257" s="4" customFormat="1" hidden="1" outlineLevel="2">
      <c r="A186" s="15"/>
      <c r="B186" s="54" t="s">
        <v>158</v>
      </c>
      <c r="C186" s="161"/>
      <c r="D186" s="161"/>
      <c r="E186" s="161"/>
      <c r="F186" s="161"/>
      <c r="G186" s="161"/>
      <c r="H186" s="161"/>
      <c r="I186" s="161"/>
      <c r="J186" s="161"/>
      <c r="K186" s="161"/>
      <c r="L186" s="161"/>
      <c r="M186" s="161"/>
      <c r="N186" s="161">
        <f t="shared" ref="N186:AF186" si="584">-N20</f>
        <v>115.294</v>
      </c>
      <c r="O186" s="161">
        <f t="shared" si="584"/>
        <v>81.460999999999999</v>
      </c>
      <c r="P186" s="161">
        <f t="shared" si="584"/>
        <v>113.98799999999999</v>
      </c>
      <c r="Q186" s="161">
        <f t="shared" si="584"/>
        <v>135.83700000000002</v>
      </c>
      <c r="R186" s="161">
        <f t="shared" si="584"/>
        <v>167.94200000000001</v>
      </c>
      <c r="S186" s="161">
        <f t="shared" si="584"/>
        <v>188.08600000000001</v>
      </c>
      <c r="T186" s="161">
        <f t="shared" si="584"/>
        <v>224.68300000000002</v>
      </c>
      <c r="U186" s="161">
        <f t="shared" si="584"/>
        <v>213.55200000000002</v>
      </c>
      <c r="V186" s="161">
        <f t="shared" si="584"/>
        <v>173.41</v>
      </c>
      <c r="W186" s="161">
        <f t="shared" si="584"/>
        <v>175.72800000000001</v>
      </c>
      <c r="X186" s="161">
        <f t="shared" si="584"/>
        <v>215.642</v>
      </c>
      <c r="Y186" s="161">
        <f t="shared" si="584"/>
        <v>282.33499999999998</v>
      </c>
      <c r="Z186" s="161">
        <f t="shared" si="584"/>
        <v>274.89400000000001</v>
      </c>
      <c r="AA186" s="161">
        <f t="shared" si="584"/>
        <v>290.75200000000001</v>
      </c>
      <c r="AB186" s="161">
        <f t="shared" si="584"/>
        <v>174.01473999999999</v>
      </c>
      <c r="AC186" s="161">
        <f t="shared" si="584"/>
        <v>163.48599999999999</v>
      </c>
      <c r="AD186" s="161">
        <f t="shared" si="584"/>
        <v>185.33715000000001</v>
      </c>
      <c r="AE186" s="161">
        <f t="shared" si="584"/>
        <v>206.114</v>
      </c>
      <c r="AF186" s="161">
        <f t="shared" si="584"/>
        <v>228.84800000000001</v>
      </c>
      <c r="AG186" s="178"/>
      <c r="AH186" s="176"/>
      <c r="AI186" s="176"/>
      <c r="AJ186" s="176"/>
      <c r="AK186" s="176"/>
      <c r="AL186" s="176"/>
      <c r="AM186" s="176"/>
      <c r="AN186" s="176"/>
      <c r="AO186" s="176"/>
      <c r="AP186" s="176"/>
      <c r="AQ186" s="176"/>
      <c r="AR186" s="176"/>
      <c r="AS186" s="176"/>
      <c r="AT186" s="176"/>
      <c r="AU186" s="176"/>
      <c r="AV186" s="176"/>
      <c r="AW186" s="176"/>
      <c r="AX186" s="176"/>
      <c r="AY186" s="176"/>
      <c r="AZ186" s="176"/>
      <c r="BA186" s="176"/>
      <c r="BB186" s="176"/>
      <c r="BC186" s="176"/>
      <c r="BD186" s="176"/>
      <c r="BE186" s="176"/>
      <c r="BF186" s="176"/>
      <c r="BG186" s="176"/>
      <c r="BH186" s="176"/>
      <c r="BI186" s="176"/>
      <c r="BJ186" s="176"/>
      <c r="BK186" s="176"/>
      <c r="BL186" s="176"/>
      <c r="BM186" s="176"/>
      <c r="BN186" s="176"/>
      <c r="BO186" s="176"/>
      <c r="BP186" s="176"/>
      <c r="BQ186" s="176"/>
      <c r="BR186" s="176"/>
      <c r="BS186" s="176"/>
      <c r="BT186" s="176"/>
      <c r="BU186" s="176">
        <f t="shared" ref="BU186:CZ186" si="585">-BU20</f>
        <v>23.561</v>
      </c>
      <c r="BV186" s="176">
        <f t="shared" si="585"/>
        <v>18.495000000000001</v>
      </c>
      <c r="BW186" s="176">
        <f t="shared" si="585"/>
        <v>22.257000000000001</v>
      </c>
      <c r="BX186" s="176">
        <f t="shared" si="585"/>
        <v>20.28</v>
      </c>
      <c r="BY186" s="176">
        <f t="shared" si="585"/>
        <v>20.428999999999998</v>
      </c>
      <c r="BZ186" s="176">
        <f t="shared" si="585"/>
        <v>26.672000000000001</v>
      </c>
      <c r="CA186" s="176">
        <f t="shared" si="585"/>
        <v>32.055999999999997</v>
      </c>
      <c r="CB186" s="176">
        <f t="shared" si="585"/>
        <v>28.21</v>
      </c>
      <c r="CC186" s="176">
        <f t="shared" si="585"/>
        <v>27.05</v>
      </c>
      <c r="CD186" s="176">
        <f t="shared" si="585"/>
        <v>30.855</v>
      </c>
      <c r="CE186" s="176">
        <f t="shared" si="585"/>
        <v>32.92</v>
      </c>
      <c r="CF186" s="176">
        <f t="shared" si="585"/>
        <v>35.192</v>
      </c>
      <c r="CG186" s="176">
        <f t="shared" si="585"/>
        <v>36.869999999999997</v>
      </c>
      <c r="CH186" s="176">
        <f t="shared" si="585"/>
        <v>35.692999999999998</v>
      </c>
      <c r="CI186" s="176">
        <f t="shared" si="585"/>
        <v>42.398000000000003</v>
      </c>
      <c r="CJ186" s="176">
        <f t="shared" si="585"/>
        <v>44.258000000000003</v>
      </c>
      <c r="CK186" s="176">
        <f t="shared" si="585"/>
        <v>45.593000000000004</v>
      </c>
      <c r="CL186" s="176">
        <f t="shared" si="585"/>
        <v>47.66</v>
      </c>
      <c r="CM186" s="176">
        <f t="shared" si="585"/>
        <v>45.704000000000001</v>
      </c>
      <c r="CN186" s="176">
        <f t="shared" si="585"/>
        <v>49.165999999999997</v>
      </c>
      <c r="CO186" s="176">
        <f t="shared" si="585"/>
        <v>45.555999999999997</v>
      </c>
      <c r="CP186" s="176">
        <f t="shared" si="585"/>
        <v>50.781999999999996</v>
      </c>
      <c r="CQ186" s="176">
        <f t="shared" si="585"/>
        <v>50.128999999999998</v>
      </c>
      <c r="CR186" s="176">
        <f t="shared" si="585"/>
        <v>55.093000000000004</v>
      </c>
      <c r="CS186" s="176">
        <f t="shared" si="585"/>
        <v>68.679000000000002</v>
      </c>
      <c r="CT186" s="176">
        <f t="shared" si="585"/>
        <v>65.647999999999996</v>
      </c>
      <c r="CU186" s="176">
        <f t="shared" si="585"/>
        <v>59.786999999999999</v>
      </c>
      <c r="CV186" s="176">
        <f t="shared" si="585"/>
        <v>47.912999999999997</v>
      </c>
      <c r="CW186" s="176">
        <f t="shared" si="585"/>
        <v>40.204000000000001</v>
      </c>
      <c r="CX186" s="176">
        <f t="shared" si="585"/>
        <v>41.296999999999997</v>
      </c>
      <c r="CY186" s="176">
        <f t="shared" si="585"/>
        <v>45.353000000000002</v>
      </c>
      <c r="CZ186" s="176">
        <f t="shared" si="585"/>
        <v>41.113</v>
      </c>
      <c r="DA186" s="176">
        <f t="shared" ref="DA186:ED186" si="586">-DA20</f>
        <v>45.646999999999998</v>
      </c>
      <c r="DB186" s="176">
        <f t="shared" si="586"/>
        <v>46.534999999999997</v>
      </c>
      <c r="DC186" s="176">
        <f t="shared" si="586"/>
        <v>44.792999999999999</v>
      </c>
      <c r="DD186" s="176">
        <f t="shared" si="586"/>
        <v>39.131</v>
      </c>
      <c r="DE186" s="176">
        <f t="shared" si="586"/>
        <v>45.268999999999998</v>
      </c>
      <c r="DF186" s="176">
        <f t="shared" si="586"/>
        <v>45.164000000000001</v>
      </c>
      <c r="DG186" s="176">
        <f t="shared" si="586"/>
        <v>56.637</v>
      </c>
      <c r="DH186" s="176">
        <f t="shared" si="586"/>
        <v>52.494999999999997</v>
      </c>
      <c r="DI186" s="176">
        <f t="shared" si="586"/>
        <v>61.345999999999997</v>
      </c>
      <c r="DJ186" s="176">
        <f t="shared" si="586"/>
        <v>68.638999999999996</v>
      </c>
      <c r="DK186" s="176">
        <f t="shared" si="586"/>
        <v>71.691999999999993</v>
      </c>
      <c r="DL186" s="176">
        <f t="shared" si="586"/>
        <v>68.31</v>
      </c>
      <c r="DM186" s="176">
        <f t="shared" si="586"/>
        <v>73.694000000000003</v>
      </c>
      <c r="DN186" s="176">
        <f t="shared" si="586"/>
        <v>71.930000000000007</v>
      </c>
      <c r="DO186" s="176">
        <f t="shared" si="586"/>
        <v>63.688000000000002</v>
      </c>
      <c r="DP186" s="176">
        <f t="shared" si="586"/>
        <v>63.95</v>
      </c>
      <c r="DQ186" s="176">
        <f t="shared" si="586"/>
        <v>75.325999999999993</v>
      </c>
      <c r="DR186" s="176">
        <f t="shared" si="586"/>
        <v>68.936999999999998</v>
      </c>
      <c r="DS186" s="176">
        <f t="shared" si="586"/>
        <v>77.451999999999998</v>
      </c>
      <c r="DT186" s="176">
        <f t="shared" si="586"/>
        <v>73.096000000000004</v>
      </c>
      <c r="DU186" s="176">
        <f t="shared" si="586"/>
        <v>71.266999999999996</v>
      </c>
      <c r="DV186" s="176">
        <f t="shared" si="586"/>
        <v>55.507999999999996</v>
      </c>
      <c r="DW186" s="176">
        <f t="shared" si="586"/>
        <v>37.835915999999997</v>
      </c>
      <c r="DX186" s="176">
        <f t="shared" si="586"/>
        <v>37.052823999999994</v>
      </c>
      <c r="DY186" s="176">
        <f t="shared" si="586"/>
        <v>43.618000000000002</v>
      </c>
      <c r="DZ186" s="176">
        <f t="shared" si="586"/>
        <v>53.35</v>
      </c>
      <c r="EA186" s="176">
        <f t="shared" si="586"/>
        <v>32.180999999999997</v>
      </c>
      <c r="EB186" s="176">
        <f t="shared" si="586"/>
        <v>35.006</v>
      </c>
      <c r="EC186" s="176">
        <f t="shared" si="586"/>
        <v>42.948999999999998</v>
      </c>
      <c r="ED186" s="176">
        <f t="shared" si="586"/>
        <v>46.737000000000002</v>
      </c>
      <c r="EE186" s="176">
        <f t="shared" ref="EE186:EP186" si="587">EE175*EE179/1000000+EE184</f>
        <v>43.940149999999996</v>
      </c>
      <c r="EF186" s="176">
        <f t="shared" si="587"/>
        <v>47.086999999999996</v>
      </c>
      <c r="EG186" s="176">
        <f t="shared" si="587"/>
        <v>47.573</v>
      </c>
      <c r="EH186" s="176">
        <f t="shared" si="587"/>
        <v>50.056999999999995</v>
      </c>
      <c r="EI186" s="176">
        <f t="shared" si="587"/>
        <v>49.030999999999999</v>
      </c>
      <c r="EJ186" s="176">
        <f t="shared" si="587"/>
        <v>52.000999999999998</v>
      </c>
      <c r="EK186" s="176">
        <f t="shared" si="587"/>
        <v>55.024999999999999</v>
      </c>
      <c r="EL186" s="176">
        <f t="shared" si="587"/>
        <v>57.509</v>
      </c>
      <c r="EM186" s="176">
        <f t="shared" si="587"/>
        <v>56.914999999999999</v>
      </c>
      <c r="EN186" s="176">
        <f t="shared" si="587"/>
        <v>56.914999999999999</v>
      </c>
      <c r="EO186" s="176">
        <f t="shared" si="587"/>
        <v>57.509</v>
      </c>
      <c r="EP186" s="176">
        <f t="shared" si="587"/>
        <v>57.509</v>
      </c>
      <c r="ES186" s="355">
        <f t="shared" si="436"/>
        <v>181</v>
      </c>
      <c r="ET186"/>
      <c r="EU186"/>
      <c r="EV186"/>
      <c r="EW186"/>
      <c r="EX186"/>
      <c r="EY186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</row>
    <row r="187" spans="1:257" s="4" customFormat="1" hidden="1" outlineLevel="2">
      <c r="A187" s="15"/>
      <c r="B187" s="37" t="s">
        <v>157</v>
      </c>
      <c r="C187" s="161"/>
      <c r="D187" s="161"/>
      <c r="E187" s="161"/>
      <c r="F187" s="161"/>
      <c r="G187" s="161"/>
      <c r="H187" s="161"/>
      <c r="I187" s="161"/>
      <c r="J187" s="161"/>
      <c r="K187" s="161"/>
      <c r="L187" s="161"/>
      <c r="M187" s="161"/>
      <c r="N187" s="161">
        <f t="shared" ref="N187:W188" si="588">SUMIF($AH$5:$ER$5,N$5,$AH187:$ER187)</f>
        <v>0.84199999999999997</v>
      </c>
      <c r="O187" s="161">
        <f t="shared" si="588"/>
        <v>3.11</v>
      </c>
      <c r="P187" s="161">
        <f t="shared" si="588"/>
        <v>2.1440000000000001</v>
      </c>
      <c r="Q187" s="161">
        <f t="shared" si="588"/>
        <v>2.5629999999999997</v>
      </c>
      <c r="R187" s="161">
        <f t="shared" si="588"/>
        <v>3.4360000000000004</v>
      </c>
      <c r="S187" s="161">
        <f t="shared" si="588"/>
        <v>3.2359999999999998</v>
      </c>
      <c r="T187" s="161">
        <f t="shared" si="588"/>
        <v>3.9740000000000002</v>
      </c>
      <c r="U187" s="161">
        <f t="shared" si="588"/>
        <v>2.8920000000000003</v>
      </c>
      <c r="V187" s="161">
        <f t="shared" si="588"/>
        <v>3.2549999999999999</v>
      </c>
      <c r="W187" s="161">
        <f t="shared" si="588"/>
        <v>3.3919999999999999</v>
      </c>
      <c r="X187" s="176">
        <f t="shared" ref="X187:AF188" si="589">SUMIF($AH$5:$ER$5,X$5,$AH187:$ER187)</f>
        <v>3.3180000000000001</v>
      </c>
      <c r="Y187" s="176">
        <f t="shared" si="589"/>
        <v>3.9109999999999996</v>
      </c>
      <c r="Z187" s="176">
        <f t="shared" si="589"/>
        <v>4.3250000000000002</v>
      </c>
      <c r="AA187" s="176">
        <f t="shared" si="589"/>
        <v>3.3420000000000001</v>
      </c>
      <c r="AB187" s="176">
        <f t="shared" si="589"/>
        <v>2.9089999999999998</v>
      </c>
      <c r="AC187" s="176">
        <f t="shared" si="589"/>
        <v>3.0880000000000001</v>
      </c>
      <c r="AD187" s="176">
        <f t="shared" si="589"/>
        <v>4.4150626450116004</v>
      </c>
      <c r="AE187" s="176">
        <f t="shared" si="589"/>
        <v>4.4879521184454756</v>
      </c>
      <c r="AF187" s="176">
        <f t="shared" si="589"/>
        <v>4.670180971142357</v>
      </c>
      <c r="AG187" s="178"/>
      <c r="AH187" s="176"/>
      <c r="AI187" s="176"/>
      <c r="AJ187" s="176"/>
      <c r="AK187" s="176"/>
      <c r="AL187" s="176"/>
      <c r="AM187" s="176"/>
      <c r="AN187" s="176"/>
      <c r="AO187" s="176"/>
      <c r="AP187" s="176"/>
      <c r="AQ187" s="176"/>
      <c r="AR187" s="176"/>
      <c r="AS187" s="176"/>
      <c r="AT187" s="176"/>
      <c r="AU187" s="176"/>
      <c r="AV187" s="176"/>
      <c r="AW187" s="176"/>
      <c r="AX187" s="176"/>
      <c r="AY187" s="176"/>
      <c r="AZ187" s="176"/>
      <c r="BA187" s="176"/>
      <c r="BB187" s="176"/>
      <c r="BC187" s="176"/>
      <c r="BD187" s="176"/>
      <c r="BE187" s="176"/>
      <c r="BF187" s="176"/>
      <c r="BG187" s="176"/>
      <c r="BH187" s="176"/>
      <c r="BI187" s="176"/>
      <c r="BJ187" s="176"/>
      <c r="BK187" s="176"/>
      <c r="BL187" s="176"/>
      <c r="BM187" s="176"/>
      <c r="BN187" s="176"/>
      <c r="BO187" s="176"/>
      <c r="BP187" s="176"/>
      <c r="BQ187" s="176"/>
      <c r="BR187" s="176"/>
      <c r="BS187" s="176"/>
      <c r="BT187" s="176"/>
      <c r="BU187" s="177">
        <v>0.84199999999999997</v>
      </c>
      <c r="BV187" s="177">
        <v>0.71799999999999997</v>
      </c>
      <c r="BW187" s="177">
        <v>0.96399999999999997</v>
      </c>
      <c r="BX187" s="177">
        <v>0.70499999999999996</v>
      </c>
      <c r="BY187" s="177">
        <v>0.72299999999999998</v>
      </c>
      <c r="BZ187" s="177">
        <v>0.628</v>
      </c>
      <c r="CA187" s="177">
        <v>0.56100000000000005</v>
      </c>
      <c r="CB187" s="177">
        <v>0.42799999999999999</v>
      </c>
      <c r="CC187" s="177">
        <v>0.52700000000000002</v>
      </c>
      <c r="CD187" s="177">
        <v>0.65300000000000002</v>
      </c>
      <c r="CE187" s="177">
        <v>0.497</v>
      </c>
      <c r="CF187" s="177">
        <v>0.61899999999999999</v>
      </c>
      <c r="CG187" s="177">
        <v>0.79400000000000004</v>
      </c>
      <c r="CH187" s="177">
        <v>0.60599999999999998</v>
      </c>
      <c r="CI187" s="177">
        <v>0.872</v>
      </c>
      <c r="CJ187" s="177">
        <v>1.028</v>
      </c>
      <c r="CK187" s="177">
        <v>0.93</v>
      </c>
      <c r="CL187" s="177">
        <v>0.56299999999999994</v>
      </c>
      <c r="CM187" s="177">
        <v>1.0309999999999999</v>
      </c>
      <c r="CN187" s="177">
        <v>0.67</v>
      </c>
      <c r="CO187" s="177">
        <v>0.97199999999999998</v>
      </c>
      <c r="CP187" s="177">
        <v>0.93799999999999994</v>
      </c>
      <c r="CQ187" s="177">
        <v>1.3</v>
      </c>
      <c r="CR187" s="177">
        <v>1.1819999999999999</v>
      </c>
      <c r="CS187" s="177">
        <v>0.55400000000000005</v>
      </c>
      <c r="CT187" s="177">
        <v>0.69599999999999995</v>
      </c>
      <c r="CU187" s="177">
        <v>0.78400000000000003</v>
      </c>
      <c r="CV187" s="177">
        <v>0.55500000000000005</v>
      </c>
      <c r="CW187" s="177">
        <v>0.85699999999999998</v>
      </c>
      <c r="CX187" s="177">
        <v>0.69599999999999995</v>
      </c>
      <c r="CY187" s="177">
        <v>1.0169999999999999</v>
      </c>
      <c r="CZ187" s="177">
        <v>0.77100000000000002</v>
      </c>
      <c r="DA187" s="177">
        <v>0.77100000000000002</v>
      </c>
      <c r="DB187" s="177">
        <v>0.86799999999999999</v>
      </c>
      <c r="DC187" s="177">
        <v>0.94</v>
      </c>
      <c r="DD187" s="177">
        <v>0.82499999999999996</v>
      </c>
      <c r="DE187" s="137">
        <v>0.75900000000000001</v>
      </c>
      <c r="DF187" s="137">
        <v>0.77800000000000002</v>
      </c>
      <c r="DG187" s="137">
        <v>0.79500000000000004</v>
      </c>
      <c r="DH187" s="137">
        <v>0.93899999999999995</v>
      </c>
      <c r="DI187" s="137">
        <v>0.80600000000000005</v>
      </c>
      <c r="DJ187" s="137">
        <v>1.0389999999999999</v>
      </c>
      <c r="DK187" s="137">
        <v>0.91</v>
      </c>
      <c r="DL187" s="137">
        <v>0.97599999999999998</v>
      </c>
      <c r="DM187" s="137">
        <v>0.98599999999999999</v>
      </c>
      <c r="DN187" s="137">
        <v>1</v>
      </c>
      <c r="DO187" s="137">
        <v>1</v>
      </c>
      <c r="DP187" s="137">
        <v>1.169</v>
      </c>
      <c r="DQ187" s="137">
        <v>1.1559999999999999</v>
      </c>
      <c r="DR187" s="137">
        <v>0.68700000000000006</v>
      </c>
      <c r="DS187" s="137">
        <v>1.0189999999999999</v>
      </c>
      <c r="DT187" s="137">
        <v>0.78100000000000003</v>
      </c>
      <c r="DU187" s="137">
        <v>0.85499999999999998</v>
      </c>
      <c r="DV187" s="137">
        <v>0.71799999999999997</v>
      </c>
      <c r="DW187" s="137">
        <v>0.88700000000000001</v>
      </c>
      <c r="DX187" s="137">
        <v>0.77200000000000002</v>
      </c>
      <c r="DY187" s="137">
        <v>0.53200000000000003</v>
      </c>
      <c r="DZ187" s="137">
        <v>0.66900000000000004</v>
      </c>
      <c r="EA187" s="137">
        <v>0.92</v>
      </c>
      <c r="EB187" s="137">
        <v>0.71399999999999997</v>
      </c>
      <c r="EC187" s="137">
        <v>0.78500000000000003</v>
      </c>
      <c r="ED187" s="137">
        <v>1.1319999999999999</v>
      </c>
      <c r="EE187" s="137">
        <f t="shared" ref="EE187:EP187" si="590">EE202</f>
        <v>1.0943542150038668</v>
      </c>
      <c r="EF187" s="137">
        <f t="shared" si="590"/>
        <v>1.0943542150038668</v>
      </c>
      <c r="EG187" s="137">
        <f t="shared" si="590"/>
        <v>1.0943542150038668</v>
      </c>
      <c r="EH187" s="137">
        <f t="shared" si="590"/>
        <v>1.1052977571539055</v>
      </c>
      <c r="EI187" s="137">
        <f t="shared" si="590"/>
        <v>1.1163507347254447</v>
      </c>
      <c r="EJ187" s="137">
        <f t="shared" si="590"/>
        <v>1.1275142420726991</v>
      </c>
      <c r="EK187" s="137">
        <f t="shared" si="590"/>
        <v>1.138789384493426</v>
      </c>
      <c r="EL187" s="137">
        <f t="shared" si="590"/>
        <v>1.1501772783383604</v>
      </c>
      <c r="EM187" s="137">
        <f t="shared" si="590"/>
        <v>1.1616790511217441</v>
      </c>
      <c r="EN187" s="137">
        <f t="shared" si="590"/>
        <v>1.1732958416329615</v>
      </c>
      <c r="EO187" s="137">
        <f t="shared" si="590"/>
        <v>1.185028800049291</v>
      </c>
      <c r="EP187" s="137">
        <f t="shared" si="590"/>
        <v>1.1968790880497837</v>
      </c>
      <c r="ES187" s="355">
        <f t="shared" si="436"/>
        <v>182</v>
      </c>
      <c r="ET187"/>
      <c r="EU187"/>
      <c r="EV187"/>
      <c r="EW187"/>
      <c r="EX187"/>
      <c r="EY187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</row>
    <row r="188" spans="1:257" s="4" customFormat="1" hidden="1" outlineLevel="2">
      <c r="A188" s="15"/>
      <c r="B188" s="37" t="s">
        <v>138</v>
      </c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>
        <f t="shared" si="588"/>
        <v>5.4859999999999998</v>
      </c>
      <c r="O188" s="62">
        <f t="shared" si="588"/>
        <v>20.091999999999999</v>
      </c>
      <c r="P188" s="62">
        <f t="shared" si="588"/>
        <v>20.53</v>
      </c>
      <c r="Q188" s="62">
        <f t="shared" si="588"/>
        <v>20.106999999999999</v>
      </c>
      <c r="R188" s="62">
        <f t="shared" si="588"/>
        <v>19.5</v>
      </c>
      <c r="S188" s="62">
        <f t="shared" si="588"/>
        <v>23.782</v>
      </c>
      <c r="T188" s="62">
        <f t="shared" si="588"/>
        <v>29.613999999999997</v>
      </c>
      <c r="U188" s="62">
        <f t="shared" si="588"/>
        <v>28.18</v>
      </c>
      <c r="V188" s="62">
        <f t="shared" si="588"/>
        <v>34.326000000000001</v>
      </c>
      <c r="W188" s="62">
        <f t="shared" si="588"/>
        <v>28.018000000000001</v>
      </c>
      <c r="X188" s="174">
        <f t="shared" si="589"/>
        <v>30.701000000000001</v>
      </c>
      <c r="Y188" s="174">
        <f t="shared" si="589"/>
        <v>36</v>
      </c>
      <c r="Z188" s="176">
        <f t="shared" si="589"/>
        <v>39.878999999999998</v>
      </c>
      <c r="AA188" s="176">
        <f t="shared" si="589"/>
        <v>56.286999999999992</v>
      </c>
      <c r="AB188" s="176">
        <f t="shared" si="589"/>
        <v>57.102000000000004</v>
      </c>
      <c r="AC188" s="176">
        <f t="shared" si="589"/>
        <v>53.622000000000007</v>
      </c>
      <c r="AD188" s="176">
        <f t="shared" si="589"/>
        <v>47.254210250440117</v>
      </c>
      <c r="AE188" s="176">
        <f t="shared" si="589"/>
        <v>47.43498167232984</v>
      </c>
      <c r="AF188" s="176">
        <f t="shared" si="589"/>
        <v>46.663213307359861</v>
      </c>
      <c r="AG188" s="175"/>
      <c r="AH188" s="174"/>
      <c r="AI188" s="174"/>
      <c r="AJ188" s="174"/>
      <c r="AK188" s="174"/>
      <c r="AL188" s="174"/>
      <c r="AM188" s="174"/>
      <c r="AN188" s="174"/>
      <c r="AO188" s="174"/>
      <c r="AP188" s="174"/>
      <c r="AQ188" s="174"/>
      <c r="AR188" s="174"/>
      <c r="AS188" s="174"/>
      <c r="AT188" s="174"/>
      <c r="AU188" s="174"/>
      <c r="AV188" s="174"/>
      <c r="AW188" s="174"/>
      <c r="AX188" s="174"/>
      <c r="AY188" s="174"/>
      <c r="AZ188" s="174"/>
      <c r="BA188" s="174"/>
      <c r="BB188" s="174"/>
      <c r="BC188" s="174"/>
      <c r="BD188" s="174"/>
      <c r="BE188" s="174"/>
      <c r="BF188" s="174"/>
      <c r="BG188" s="174"/>
      <c r="BH188" s="174"/>
      <c r="BI188" s="174"/>
      <c r="BJ188" s="174"/>
      <c r="BK188" s="174"/>
      <c r="BL188" s="174"/>
      <c r="BM188" s="174"/>
      <c r="BN188" s="174"/>
      <c r="BO188" s="174"/>
      <c r="BP188" s="174"/>
      <c r="BQ188" s="174"/>
      <c r="BR188" s="174"/>
      <c r="BS188" s="174"/>
      <c r="BT188" s="174"/>
      <c r="BU188" s="137">
        <v>5.4859999999999998</v>
      </c>
      <c r="BV188" s="137">
        <v>4.9029999999999996</v>
      </c>
      <c r="BW188" s="137">
        <v>4.9820000000000002</v>
      </c>
      <c r="BX188" s="137">
        <v>5.1120000000000001</v>
      </c>
      <c r="BY188" s="137">
        <v>5.0949999999999998</v>
      </c>
      <c r="BZ188" s="137">
        <v>5.0209999999999999</v>
      </c>
      <c r="CA188" s="137">
        <v>5.1390000000000002</v>
      </c>
      <c r="CB188" s="137">
        <v>5.1029999999999998</v>
      </c>
      <c r="CC188" s="137">
        <v>5.2670000000000003</v>
      </c>
      <c r="CD188" s="137">
        <v>4.766</v>
      </c>
      <c r="CE188" s="137">
        <v>4.8</v>
      </c>
      <c r="CF188" s="137">
        <v>4.9349999999999996</v>
      </c>
      <c r="CG188" s="137">
        <v>5.6059999999999999</v>
      </c>
      <c r="CH188" s="137">
        <v>4.6559999999999997</v>
      </c>
      <c r="CI188" s="137">
        <v>4.7350000000000003</v>
      </c>
      <c r="CJ188" s="137">
        <v>4.8600000000000003</v>
      </c>
      <c r="CK188" s="137">
        <v>5.2489999999999997</v>
      </c>
      <c r="CL188" s="137">
        <v>5.5490000000000004</v>
      </c>
      <c r="CM188" s="137">
        <v>5.3410000000000002</v>
      </c>
      <c r="CN188" s="137">
        <v>6.6479999999999997</v>
      </c>
      <c r="CO188" s="137">
        <v>6.2439999999999998</v>
      </c>
      <c r="CP188" s="137">
        <v>5.726</v>
      </c>
      <c r="CQ188" s="137">
        <v>11.576000000000001</v>
      </c>
      <c r="CR188" s="137">
        <v>6.8179999999999996</v>
      </c>
      <c r="CS188" s="137">
        <v>5.4939999999999998</v>
      </c>
      <c r="CT188" s="137">
        <v>6.2060000000000004</v>
      </c>
      <c r="CU188" s="137">
        <v>6.54</v>
      </c>
      <c r="CV188" s="137">
        <v>7.1429999999999998</v>
      </c>
      <c r="CW188" s="137">
        <v>8.2910000000000004</v>
      </c>
      <c r="CX188" s="137">
        <v>9.0020000000000007</v>
      </c>
      <c r="CY188" s="137">
        <v>9.3569999999999993</v>
      </c>
      <c r="CZ188" s="137">
        <v>8.2680000000000007</v>
      </c>
      <c r="DA188" s="137">
        <v>7.6989999999999998</v>
      </c>
      <c r="DB188" s="137">
        <v>7.1840000000000002</v>
      </c>
      <c r="DC188" s="137">
        <v>6.508</v>
      </c>
      <c r="DD188" s="137">
        <v>6.7190000000000003</v>
      </c>
      <c r="DE188" s="137">
        <v>7.6070000000000002</v>
      </c>
      <c r="DF188" s="137">
        <v>6.8540000000000001</v>
      </c>
      <c r="DG188" s="137">
        <v>7.63</v>
      </c>
      <c r="DH188" s="137">
        <v>7.7729999999999997</v>
      </c>
      <c r="DI188" s="137">
        <v>8.4440000000000008</v>
      </c>
      <c r="DJ188" s="137">
        <v>8.4779999999999998</v>
      </c>
      <c r="DK188" s="137">
        <v>8.3209999999999997</v>
      </c>
      <c r="DL188" s="137">
        <v>9.234</v>
      </c>
      <c r="DM188" s="137">
        <v>9.9670000000000005</v>
      </c>
      <c r="DN188" s="137">
        <v>9.66</v>
      </c>
      <c r="DO188" s="137">
        <v>9.66</v>
      </c>
      <c r="DP188" s="137">
        <v>9.5779999999999994</v>
      </c>
      <c r="DQ188" s="137">
        <v>10.981</v>
      </c>
      <c r="DR188" s="137">
        <v>11.047000000000001</v>
      </c>
      <c r="DS188" s="137">
        <v>13.423</v>
      </c>
      <c r="DT188" s="137">
        <v>15.651</v>
      </c>
      <c r="DU188" s="137">
        <v>16.166</v>
      </c>
      <c r="DV188" s="137">
        <v>14.132999999999999</v>
      </c>
      <c r="DW188" s="137">
        <v>14.62</v>
      </c>
      <c r="DX188" s="137">
        <v>13.972</v>
      </c>
      <c r="DY188" s="137">
        <v>14.377000000000001</v>
      </c>
      <c r="DZ188" s="137">
        <v>13.186999999999999</v>
      </c>
      <c r="EA188" s="137">
        <v>12.632999999999999</v>
      </c>
      <c r="EB188" s="137">
        <v>14.428000000000001</v>
      </c>
      <c r="EC188" s="137">
        <v>13.374000000000001</v>
      </c>
      <c r="ED188" s="137">
        <v>11.811</v>
      </c>
      <c r="EE188" s="137">
        <f t="shared" ref="EE188:EP188" si="591">EE209</f>
        <v>11.816989394930438</v>
      </c>
      <c r="EF188" s="137">
        <f t="shared" si="591"/>
        <v>11.778471509329961</v>
      </c>
      <c r="EG188" s="137">
        <f t="shared" si="591"/>
        <v>11.847749346179716</v>
      </c>
      <c r="EH188" s="137">
        <f t="shared" si="591"/>
        <v>11.914406337347737</v>
      </c>
      <c r="EI188" s="137">
        <f t="shared" si="591"/>
        <v>11.880377371007835</v>
      </c>
      <c r="EJ188" s="137">
        <f t="shared" si="591"/>
        <v>11.844833140043097</v>
      </c>
      <c r="EK188" s="137">
        <f t="shared" si="591"/>
        <v>11.795364823931164</v>
      </c>
      <c r="EL188" s="137">
        <f t="shared" si="591"/>
        <v>11.744663778356911</v>
      </c>
      <c r="EM188" s="137">
        <f t="shared" si="591"/>
        <v>11.692803161894194</v>
      </c>
      <c r="EN188" s="137">
        <f t="shared" si="591"/>
        <v>11.639855207668409</v>
      </c>
      <c r="EO188" s="137">
        <f t="shared" si="591"/>
        <v>11.585891159440346</v>
      </c>
      <c r="EP188" s="137">
        <f t="shared" si="591"/>
        <v>11.530981210995744</v>
      </c>
      <c r="ES188" s="355">
        <f t="shared" si="436"/>
        <v>183</v>
      </c>
      <c r="ET188"/>
      <c r="EU188"/>
      <c r="EV188"/>
      <c r="EW188"/>
      <c r="EX188"/>
      <c r="EY188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</row>
    <row r="189" spans="1:257" s="4" customFormat="1" hidden="1" outlineLevel="2">
      <c r="A189" s="15"/>
      <c r="B189" s="173" t="s">
        <v>156</v>
      </c>
      <c r="C189" s="172"/>
      <c r="D189" s="172"/>
      <c r="E189" s="171">
        <v>15.281000000000001</v>
      </c>
      <c r="F189" s="171">
        <v>14.645</v>
      </c>
      <c r="G189" s="171">
        <v>21.11</v>
      </c>
      <c r="H189" s="171">
        <v>31.175999999999998</v>
      </c>
      <c r="I189" s="171">
        <v>43.118000000000002</v>
      </c>
      <c r="J189" s="171">
        <v>50.834000000000003</v>
      </c>
      <c r="K189" s="171">
        <v>29.844999999999999</v>
      </c>
      <c r="L189" s="171">
        <v>9.7530000000000001</v>
      </c>
      <c r="M189" s="171">
        <v>28.475000000000001</v>
      </c>
      <c r="N189" s="127">
        <f t="shared" ref="N189:AF189" si="592">N185-SUM(N186:N188)</f>
        <v>29.769999999999996</v>
      </c>
      <c r="O189" s="127">
        <f t="shared" si="592"/>
        <v>5.1490000000000151</v>
      </c>
      <c r="P189" s="127">
        <f t="shared" si="592"/>
        <v>12.126000000000005</v>
      </c>
      <c r="Q189" s="127">
        <f t="shared" si="592"/>
        <v>18.973000000000013</v>
      </c>
      <c r="R189" s="127">
        <f t="shared" si="592"/>
        <v>56.214999999999975</v>
      </c>
      <c r="S189" s="127">
        <f t="shared" si="592"/>
        <v>105.179</v>
      </c>
      <c r="T189" s="127">
        <f t="shared" si="592"/>
        <v>69.973000000000013</v>
      </c>
      <c r="U189" s="127">
        <f t="shared" si="592"/>
        <v>-7.2270000000000323</v>
      </c>
      <c r="V189" s="127">
        <f t="shared" si="592"/>
        <v>42.935000000000059</v>
      </c>
      <c r="W189" s="127">
        <f t="shared" si="592"/>
        <v>19.710999999999984</v>
      </c>
      <c r="X189" s="127">
        <f t="shared" si="592"/>
        <v>20.365999999999985</v>
      </c>
      <c r="Y189" s="127">
        <f t="shared" si="592"/>
        <v>44.595000000000027</v>
      </c>
      <c r="Z189" s="127">
        <f t="shared" si="592"/>
        <v>36.433999999999969</v>
      </c>
      <c r="AA189" s="127">
        <f t="shared" si="592"/>
        <v>17.619512999999984</v>
      </c>
      <c r="AB189" s="127">
        <f t="shared" si="592"/>
        <v>-4.1317399999999793</v>
      </c>
      <c r="AC189" s="127">
        <f t="shared" si="592"/>
        <v>-21.399527999999975</v>
      </c>
      <c r="AD189" s="127">
        <f t="shared" si="592"/>
        <v>8.2813271045482963</v>
      </c>
      <c r="AE189" s="127">
        <f t="shared" si="592"/>
        <v>36.601066209224712</v>
      </c>
      <c r="AF189" s="127">
        <f t="shared" si="592"/>
        <v>53.342605721497762</v>
      </c>
      <c r="AG189" s="170"/>
      <c r="AH189" s="169">
        <v>3.4060000000000001</v>
      </c>
      <c r="AI189" s="169">
        <v>6.0679999999999996</v>
      </c>
      <c r="AJ189" s="169">
        <v>3.343</v>
      </c>
      <c r="AK189" s="169">
        <f>15.281-SUM(AH189:AJ189)</f>
        <v>2.4640000000000004</v>
      </c>
      <c r="AL189" s="169">
        <v>3.59</v>
      </c>
      <c r="AM189" s="169">
        <v>2.2090000000000001</v>
      </c>
      <c r="AN189" s="169">
        <v>4.1269999999999998</v>
      </c>
      <c r="AO189" s="169">
        <f>14.645-SUM(AL189:AN189)</f>
        <v>4.7190000000000012</v>
      </c>
      <c r="AP189" s="169">
        <v>3.355</v>
      </c>
      <c r="AQ189" s="169">
        <v>4.7539999999999996</v>
      </c>
      <c r="AR189" s="169">
        <v>4.4320000000000004</v>
      </c>
      <c r="AS189" s="169">
        <f>21.11-SUM(AP189:AR189)</f>
        <v>8.5689999999999991</v>
      </c>
      <c r="AT189" s="169">
        <v>8.3089999999999993</v>
      </c>
      <c r="AU189" s="169">
        <v>7.8849999999999998</v>
      </c>
      <c r="AV189" s="169">
        <v>7.8470000000000004</v>
      </c>
      <c r="AW189" s="169">
        <f>31.176-SUM(AT189:AV189)</f>
        <v>7.134999999999998</v>
      </c>
      <c r="AX189" s="169">
        <v>6.907</v>
      </c>
      <c r="AY189" s="169">
        <v>8.9179999999999993</v>
      </c>
      <c r="AZ189" s="169">
        <v>12.551</v>
      </c>
      <c r="BA189" s="169">
        <f>43.118-SUM(AX189:AZ189)</f>
        <v>14.742000000000004</v>
      </c>
      <c r="BB189" s="169">
        <v>14.055</v>
      </c>
      <c r="BC189" s="169">
        <v>14.803000000000001</v>
      </c>
      <c r="BD189" s="169">
        <v>13.414</v>
      </c>
      <c r="BE189" s="169">
        <f>50.834-SUM(BB189:BD189)</f>
        <v>8.5620000000000047</v>
      </c>
      <c r="BF189" s="169">
        <v>9.9410000000000007</v>
      </c>
      <c r="BG189" s="169">
        <v>9.0820000000000007</v>
      </c>
      <c r="BH189" s="169">
        <v>7.3070000000000004</v>
      </c>
      <c r="BI189" s="169">
        <f>29.845-SUM(BF189:BH189)</f>
        <v>3.5149999999999935</v>
      </c>
      <c r="BJ189" s="169">
        <v>2.5099999999999998</v>
      </c>
      <c r="BK189" s="169">
        <v>1.3029999999999999</v>
      </c>
      <c r="BL189" s="169">
        <v>1.819</v>
      </c>
      <c r="BM189" s="169">
        <v>4.1210000000000004</v>
      </c>
      <c r="BN189" s="169">
        <v>7.548</v>
      </c>
      <c r="BO189" s="169">
        <v>3.8050000000000002</v>
      </c>
      <c r="BP189" s="169">
        <v>7.9580000000000002</v>
      </c>
      <c r="BQ189" s="169">
        <v>9.1639999999999997</v>
      </c>
      <c r="BR189" s="169">
        <v>3.8769999999999998</v>
      </c>
      <c r="BS189" s="169">
        <v>4.4160000000000004</v>
      </c>
      <c r="BT189" s="169">
        <v>3.5470000000000002</v>
      </c>
      <c r="BU189" s="169">
        <f t="shared" ref="BU189:CZ189" si="593">BU185-SUM(BU186:BU188)</f>
        <v>1.2880000000000003</v>
      </c>
      <c r="BV189" s="169">
        <f t="shared" si="593"/>
        <v>-0.59199999999999875</v>
      </c>
      <c r="BW189" s="169">
        <f t="shared" si="593"/>
        <v>1.2480000000000011</v>
      </c>
      <c r="BX189" s="169">
        <f t="shared" si="593"/>
        <v>3.8840000000000003</v>
      </c>
      <c r="BY189" s="169">
        <f t="shared" si="593"/>
        <v>0.60900000000000531</v>
      </c>
      <c r="BZ189" s="169">
        <f t="shared" si="593"/>
        <v>3.6400000000000006</v>
      </c>
      <c r="CA189" s="169">
        <f t="shared" si="593"/>
        <v>1.5549999999999997</v>
      </c>
      <c r="CB189" s="169">
        <f t="shared" si="593"/>
        <v>1.7460000000000022</v>
      </c>
      <c r="CC189" s="169">
        <f t="shared" si="593"/>
        <v>5.1850000000000023</v>
      </c>
      <c r="CD189" s="169">
        <f t="shared" si="593"/>
        <v>6.1969999999999956</v>
      </c>
      <c r="CE189" s="169">
        <f t="shared" si="593"/>
        <v>3.5820000000000007</v>
      </c>
      <c r="CF189" s="169">
        <f t="shared" si="593"/>
        <v>5.2839999999999989</v>
      </c>
      <c r="CG189" s="169">
        <f t="shared" si="593"/>
        <v>3.9100000000000037</v>
      </c>
      <c r="CH189" s="169">
        <f t="shared" si="593"/>
        <v>9.3019999999999996</v>
      </c>
      <c r="CI189" s="169">
        <f t="shared" si="593"/>
        <v>13.111999999999995</v>
      </c>
      <c r="CJ189" s="169">
        <f t="shared" si="593"/>
        <v>17.685000000000002</v>
      </c>
      <c r="CK189" s="169">
        <f t="shared" si="593"/>
        <v>16.116</v>
      </c>
      <c r="CL189" s="169">
        <f t="shared" si="593"/>
        <v>24.074000000000005</v>
      </c>
      <c r="CM189" s="169">
        <f t="shared" si="593"/>
        <v>19.874000000000002</v>
      </c>
      <c r="CN189" s="169">
        <f t="shared" si="593"/>
        <v>28.873000000000005</v>
      </c>
      <c r="CO189" s="169">
        <f t="shared" si="593"/>
        <v>32.357999999999997</v>
      </c>
      <c r="CP189" s="169">
        <f t="shared" si="593"/>
        <v>21.156000000000006</v>
      </c>
      <c r="CQ189" s="169">
        <f t="shared" si="593"/>
        <v>12.75200000000001</v>
      </c>
      <c r="CR189" s="169">
        <f t="shared" si="593"/>
        <v>17.49199999999999</v>
      </c>
      <c r="CS189" s="169">
        <f t="shared" si="593"/>
        <v>18.572999999999993</v>
      </c>
      <c r="CT189" s="169">
        <f t="shared" si="593"/>
        <v>22.628</v>
      </c>
      <c r="CU189" s="169">
        <f t="shared" si="593"/>
        <v>-15.282000000000004</v>
      </c>
      <c r="CV189" s="169">
        <f t="shared" si="593"/>
        <v>-8.320999999999998</v>
      </c>
      <c r="CW189" s="169">
        <f t="shared" si="593"/>
        <v>-6.2520000000000024</v>
      </c>
      <c r="CX189" s="169">
        <f t="shared" si="593"/>
        <v>8.4030000000000058</v>
      </c>
      <c r="CY189" s="169">
        <f t="shared" si="593"/>
        <v>8.9539999999999935</v>
      </c>
      <c r="CZ189" s="169">
        <f t="shared" si="593"/>
        <v>9.8930000000000007</v>
      </c>
      <c r="DA189" s="169">
        <f t="shared" ref="DA189:EF189" si="594">DA185-SUM(DA186:DA188)</f>
        <v>15.685000000000009</v>
      </c>
      <c r="DB189" s="169">
        <f t="shared" si="594"/>
        <v>14.366999999999997</v>
      </c>
      <c r="DC189" s="169">
        <f t="shared" si="594"/>
        <v>2.4429999999999978</v>
      </c>
      <c r="DD189" s="169">
        <f t="shared" si="594"/>
        <v>-0.62400000000000233</v>
      </c>
      <c r="DE189" s="169">
        <f t="shared" si="594"/>
        <v>3.5249999999999986</v>
      </c>
      <c r="DF189" s="169">
        <f t="shared" si="594"/>
        <v>7.9390000000000001</v>
      </c>
      <c r="DG189" s="169">
        <f t="shared" si="594"/>
        <v>-0.97400000000000375</v>
      </c>
      <c r="DH189" s="169">
        <f t="shared" si="594"/>
        <v>6.2750000000000057</v>
      </c>
      <c r="DI189" s="169">
        <f t="shared" si="594"/>
        <v>7.1260000000000048</v>
      </c>
      <c r="DJ189" s="169">
        <f t="shared" si="594"/>
        <v>9.1110000000000042</v>
      </c>
      <c r="DK189" s="169">
        <f t="shared" si="594"/>
        <v>13.169000000000011</v>
      </c>
      <c r="DL189" s="169">
        <f t="shared" si="594"/>
        <v>8.4579999999999984</v>
      </c>
      <c r="DM189" s="169">
        <f t="shared" si="594"/>
        <v>13.856999999999999</v>
      </c>
      <c r="DN189" s="169">
        <f t="shared" si="594"/>
        <v>12.750999999999991</v>
      </c>
      <c r="DO189" s="169">
        <f t="shared" si="594"/>
        <v>11.185000000000002</v>
      </c>
      <c r="DP189" s="169">
        <f t="shared" si="594"/>
        <v>6.5699999999999932</v>
      </c>
      <c r="DQ189" s="169">
        <f t="shared" si="594"/>
        <v>5.9280000000000115</v>
      </c>
      <c r="DR189" s="169">
        <f t="shared" si="594"/>
        <v>12.214000000000013</v>
      </c>
      <c r="DS189" s="169">
        <f t="shared" si="594"/>
        <v>5.6409339999999872</v>
      </c>
      <c r="DT189" s="169">
        <f t="shared" si="594"/>
        <v>7.8803539999999828</v>
      </c>
      <c r="DU189" s="169">
        <f t="shared" si="594"/>
        <v>-8.1157749999999993</v>
      </c>
      <c r="DV189" s="169">
        <f t="shared" si="594"/>
        <v>1.835000000000008</v>
      </c>
      <c r="DW189" s="169">
        <f t="shared" si="594"/>
        <v>-1.9909159999999986</v>
      </c>
      <c r="DX189" s="169">
        <f t="shared" si="594"/>
        <v>-3.8138239999999968</v>
      </c>
      <c r="DY189" s="169">
        <f t="shared" si="594"/>
        <v>-0.16200000000000614</v>
      </c>
      <c r="DZ189" s="169">
        <f t="shared" si="594"/>
        <v>-3.9025019999999984</v>
      </c>
      <c r="EA189" s="169">
        <f t="shared" si="594"/>
        <v>-10.976999999999997</v>
      </c>
      <c r="EB189" s="169">
        <f t="shared" si="594"/>
        <v>-4.521025999999992</v>
      </c>
      <c r="EC189" s="169">
        <f t="shared" si="594"/>
        <v>-1.9989999999999952</v>
      </c>
      <c r="ED189" s="169">
        <f t="shared" si="594"/>
        <v>3.5339999999999989</v>
      </c>
      <c r="EE189" s="169">
        <f t="shared" si="594"/>
        <v>-0.73974360993430821</v>
      </c>
      <c r="EF189" s="169">
        <f t="shared" si="594"/>
        <v>1.8691742756661753</v>
      </c>
      <c r="EG189" s="169">
        <f t="shared" ref="EG189:EP189" si="595">EG185-SUM(EG186:EG188)</f>
        <v>3.617896438816409</v>
      </c>
      <c r="EH189" s="169">
        <f t="shared" si="595"/>
        <v>6.2082959054983746</v>
      </c>
      <c r="EI189" s="169">
        <f t="shared" si="595"/>
        <v>7.5232718942667276</v>
      </c>
      <c r="EJ189" s="169">
        <f t="shared" si="595"/>
        <v>10.687652617884211</v>
      </c>
      <c r="EK189" s="169">
        <f t="shared" si="595"/>
        <v>12.181845791575412</v>
      </c>
      <c r="EL189" s="169">
        <f t="shared" si="595"/>
        <v>13.417158943304727</v>
      </c>
      <c r="EM189" s="169">
        <f t="shared" si="595"/>
        <v>13.171517786984069</v>
      </c>
      <c r="EN189" s="169">
        <f t="shared" si="595"/>
        <v>13.212848950698628</v>
      </c>
      <c r="EO189" s="169">
        <f t="shared" si="595"/>
        <v>13.541080040510366</v>
      </c>
      <c r="EP189" s="169">
        <f t="shared" si="595"/>
        <v>13.584139700954466</v>
      </c>
      <c r="ES189" s="355">
        <f t="shared" si="436"/>
        <v>184</v>
      </c>
      <c r="ET189"/>
      <c r="EU189"/>
      <c r="EV189"/>
      <c r="EW189"/>
      <c r="EX189"/>
      <c r="EY189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</row>
    <row r="190" spans="1:257" s="4" customFormat="1" hidden="1" outlineLevel="2">
      <c r="A190" s="15"/>
      <c r="B190" s="168"/>
      <c r="C190" s="167"/>
      <c r="D190" s="167"/>
      <c r="E190" s="166"/>
      <c r="F190" s="166"/>
      <c r="G190" s="166"/>
      <c r="H190" s="166"/>
      <c r="I190" s="166"/>
      <c r="J190" s="166"/>
      <c r="K190" s="166"/>
      <c r="L190" s="166"/>
      <c r="M190" s="166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  <c r="AH190" s="165"/>
      <c r="AI190" s="165"/>
      <c r="AJ190" s="165"/>
      <c r="AK190" s="165"/>
      <c r="AL190" s="165"/>
      <c r="AM190" s="165"/>
      <c r="AN190" s="165"/>
      <c r="AO190" s="165"/>
      <c r="AP190" s="165"/>
      <c r="AQ190" s="165"/>
      <c r="AR190" s="165"/>
      <c r="AS190" s="165"/>
      <c r="AT190" s="165"/>
      <c r="AU190" s="165"/>
      <c r="AV190" s="165"/>
      <c r="AW190" s="165"/>
      <c r="AX190" s="165"/>
      <c r="AY190" s="165"/>
      <c r="AZ190" s="165"/>
      <c r="BA190" s="165"/>
      <c r="BB190" s="165"/>
      <c r="BC190" s="165"/>
      <c r="BD190" s="165"/>
      <c r="BE190" s="165"/>
      <c r="BF190" s="165"/>
      <c r="BG190" s="165"/>
      <c r="BH190" s="165"/>
      <c r="BI190" s="165"/>
      <c r="BJ190" s="165"/>
      <c r="BK190" s="165"/>
      <c r="BL190" s="165"/>
      <c r="BM190" s="165"/>
      <c r="BN190" s="165"/>
      <c r="BO190" s="165"/>
      <c r="BP190" s="165"/>
      <c r="BQ190" s="165"/>
      <c r="BR190" s="165"/>
      <c r="BS190" s="165"/>
      <c r="BT190" s="165"/>
      <c r="BU190" s="165"/>
      <c r="BV190" s="165"/>
      <c r="BW190" s="165"/>
      <c r="BX190" s="165"/>
      <c r="BY190" s="165"/>
      <c r="BZ190" s="165"/>
      <c r="CA190" s="165"/>
      <c r="CB190" s="165"/>
      <c r="CC190" s="165"/>
      <c r="CD190" s="165"/>
      <c r="CE190" s="165"/>
      <c r="CF190" s="165"/>
      <c r="CG190" s="165"/>
      <c r="CH190" s="165"/>
      <c r="CI190" s="165"/>
      <c r="CJ190" s="165"/>
      <c r="CK190" s="165"/>
      <c r="CL190" s="165"/>
      <c r="CM190" s="165"/>
      <c r="CN190" s="165"/>
      <c r="CO190" s="165"/>
      <c r="CP190" s="165"/>
      <c r="CQ190" s="165"/>
      <c r="CR190" s="165"/>
      <c r="CS190" s="165"/>
      <c r="CT190" s="165"/>
      <c r="CU190" s="165"/>
      <c r="CV190" s="165"/>
      <c r="CW190" s="165"/>
      <c r="CX190" s="165"/>
      <c r="CY190" s="165"/>
      <c r="CZ190" s="165"/>
      <c r="DA190" s="165"/>
      <c r="DB190" s="165"/>
      <c r="DC190" s="165"/>
      <c r="DD190" s="165"/>
      <c r="DE190" s="165"/>
      <c r="DF190" s="165"/>
      <c r="DG190" s="165"/>
      <c r="DH190" s="165"/>
      <c r="DI190" s="165"/>
      <c r="DJ190" s="165"/>
      <c r="DK190" s="165"/>
      <c r="DL190" s="165"/>
      <c r="DM190" s="165"/>
      <c r="DN190" s="165"/>
      <c r="DO190" s="165"/>
      <c r="DP190" s="165"/>
      <c r="DQ190" s="165"/>
      <c r="DR190" s="165"/>
      <c r="DS190" s="165"/>
      <c r="DT190" s="165"/>
      <c r="DU190" s="165"/>
      <c r="DV190" s="165"/>
      <c r="DW190" s="165"/>
      <c r="DX190" s="165"/>
      <c r="DY190" s="165"/>
      <c r="DZ190" s="165"/>
      <c r="EA190" s="165"/>
      <c r="EB190" s="165"/>
      <c r="EC190" s="165"/>
      <c r="ED190" s="165"/>
      <c r="EE190" s="165"/>
      <c r="EF190" s="165"/>
      <c r="EG190" s="165"/>
      <c r="EH190" s="165"/>
      <c r="EI190" s="165"/>
      <c r="EJ190" s="165"/>
      <c r="EK190" s="165"/>
      <c r="EL190" s="165"/>
      <c r="EM190" s="165"/>
      <c r="EN190" s="165"/>
      <c r="EO190" s="165"/>
      <c r="EP190" s="165"/>
      <c r="ES190" s="355">
        <f t="shared" si="436"/>
        <v>185</v>
      </c>
      <c r="ET190"/>
      <c r="EU190"/>
      <c r="EV190"/>
      <c r="EW190"/>
      <c r="EX190"/>
      <c r="EY190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</row>
    <row r="191" spans="1:257" s="4" customFormat="1" hidden="1" outlineLevel="2">
      <c r="A191" s="15"/>
      <c r="B191" s="164" t="s">
        <v>155</v>
      </c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25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0"/>
      <c r="CD191" s="50"/>
      <c r="CE191" s="50"/>
      <c r="CF191" s="50"/>
      <c r="CG191" s="50"/>
      <c r="CH191" s="50"/>
      <c r="CI191" s="50"/>
      <c r="CJ191" s="50"/>
      <c r="CK191" s="50"/>
      <c r="CL191" s="50"/>
      <c r="CM191" s="50"/>
      <c r="CN191" s="50"/>
      <c r="CO191" s="50"/>
      <c r="CP191" s="50"/>
      <c r="CQ191" s="50"/>
      <c r="CR191" s="50"/>
      <c r="CS191" s="50"/>
      <c r="CT191" s="50"/>
      <c r="CU191" s="50"/>
      <c r="CV191" s="50"/>
      <c r="CW191" s="50"/>
      <c r="CX191" s="50"/>
      <c r="CY191" s="50"/>
      <c r="CZ191" s="50"/>
      <c r="DA191" s="50"/>
      <c r="DB191" s="50"/>
      <c r="DC191" s="50"/>
      <c r="DD191" s="50"/>
      <c r="DE191" s="50"/>
      <c r="DF191" s="50"/>
      <c r="DG191" s="50"/>
      <c r="DH191" s="50"/>
      <c r="DI191" s="50"/>
      <c r="DJ191" s="50"/>
      <c r="DK191" s="50"/>
      <c r="DL191" s="50"/>
      <c r="DM191" s="50"/>
      <c r="DN191" s="50"/>
      <c r="DO191" s="50"/>
      <c r="DP191" s="50"/>
      <c r="DQ191" s="50"/>
      <c r="DR191" s="50"/>
      <c r="DS191" s="50"/>
      <c r="DT191" s="50"/>
      <c r="DU191" s="50"/>
      <c r="DV191" s="50"/>
      <c r="DW191" s="50"/>
      <c r="DX191" s="50"/>
      <c r="DY191" s="50"/>
      <c r="DZ191" s="50"/>
      <c r="EA191" s="50"/>
      <c r="EB191" s="50"/>
      <c r="EC191" s="50"/>
      <c r="ED191" s="50"/>
      <c r="EE191" s="50"/>
      <c r="EF191" s="50"/>
      <c r="EG191" s="50"/>
      <c r="EH191" s="50"/>
      <c r="EI191" s="50"/>
      <c r="EJ191" s="50"/>
      <c r="EK191" s="50"/>
      <c r="EL191" s="50"/>
      <c r="EM191" s="50"/>
      <c r="EN191" s="50"/>
      <c r="EO191" s="50"/>
      <c r="EP191" s="50"/>
      <c r="ES191" s="355">
        <f t="shared" si="436"/>
        <v>186</v>
      </c>
      <c r="ET191"/>
      <c r="EU191"/>
      <c r="EV191"/>
      <c r="EW191"/>
      <c r="EX191"/>
      <c r="EY19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</row>
    <row r="192" spans="1:257" s="4" customFormat="1" hidden="1" outlineLevel="2">
      <c r="A192" s="15"/>
      <c r="B192" s="54" t="s">
        <v>154</v>
      </c>
      <c r="C192" s="161"/>
      <c r="D192" s="161"/>
      <c r="E192" s="161"/>
      <c r="F192" s="161"/>
      <c r="G192" s="161"/>
      <c r="H192" s="161"/>
      <c r="I192" s="161"/>
      <c r="J192" s="161"/>
      <c r="K192" s="161"/>
      <c r="L192" s="161"/>
      <c r="M192" s="161"/>
      <c r="N192" s="161">
        <f t="shared" ref="N192:AF192" si="596">N185-N186</f>
        <v>36.097999999999999</v>
      </c>
      <c r="O192" s="161">
        <f t="shared" si="596"/>
        <v>28.351000000000013</v>
      </c>
      <c r="P192" s="161">
        <f t="shared" si="596"/>
        <v>34.799999999999997</v>
      </c>
      <c r="Q192" s="161">
        <f t="shared" si="596"/>
        <v>41.643000000000001</v>
      </c>
      <c r="R192" s="161">
        <f t="shared" si="596"/>
        <v>79.150999999999982</v>
      </c>
      <c r="S192" s="161">
        <f t="shared" si="596"/>
        <v>132.197</v>
      </c>
      <c r="T192" s="161">
        <f t="shared" si="596"/>
        <v>103.56100000000001</v>
      </c>
      <c r="U192" s="161">
        <f t="shared" si="596"/>
        <v>23.84499999999997</v>
      </c>
      <c r="V192" s="161">
        <f t="shared" si="596"/>
        <v>80.516000000000048</v>
      </c>
      <c r="W192" s="161">
        <f t="shared" si="596"/>
        <v>51.120999999999981</v>
      </c>
      <c r="X192" s="161">
        <f t="shared" si="596"/>
        <v>54.384999999999991</v>
      </c>
      <c r="Y192" s="161">
        <f t="shared" si="596"/>
        <v>84.506000000000029</v>
      </c>
      <c r="Z192" s="161">
        <f t="shared" si="596"/>
        <v>80.637999999999977</v>
      </c>
      <c r="AA192" s="161">
        <f t="shared" si="596"/>
        <v>77.248512999999946</v>
      </c>
      <c r="AB192" s="161">
        <f t="shared" si="596"/>
        <v>55.879260000000016</v>
      </c>
      <c r="AC192" s="161">
        <f t="shared" si="596"/>
        <v>35.310472000000033</v>
      </c>
      <c r="AD192" s="161">
        <f t="shared" si="596"/>
        <v>59.950600000000009</v>
      </c>
      <c r="AE192" s="161">
        <f t="shared" si="596"/>
        <v>88.524000000000029</v>
      </c>
      <c r="AF192" s="161">
        <f t="shared" si="596"/>
        <v>104.67599999999999</v>
      </c>
      <c r="AG192" s="162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  <c r="BS192" s="161"/>
      <c r="BT192" s="161"/>
      <c r="BU192" s="161">
        <f t="shared" ref="BU192:CZ192" si="597">BU185-BU186</f>
        <v>7.6159999999999997</v>
      </c>
      <c r="BV192" s="161">
        <f t="shared" si="597"/>
        <v>5.0289999999999999</v>
      </c>
      <c r="BW192" s="161">
        <f t="shared" si="597"/>
        <v>7.1939999999999991</v>
      </c>
      <c r="BX192" s="161">
        <f t="shared" si="597"/>
        <v>9.7010000000000005</v>
      </c>
      <c r="BY192" s="161">
        <f t="shared" si="597"/>
        <v>6.4270000000000032</v>
      </c>
      <c r="BZ192" s="161">
        <f t="shared" si="597"/>
        <v>9.2889999999999979</v>
      </c>
      <c r="CA192" s="161">
        <f t="shared" si="597"/>
        <v>7.2550000000000026</v>
      </c>
      <c r="CB192" s="161">
        <f t="shared" si="597"/>
        <v>7.277000000000001</v>
      </c>
      <c r="CC192" s="161">
        <f t="shared" si="597"/>
        <v>10.979000000000003</v>
      </c>
      <c r="CD192" s="161">
        <f t="shared" si="597"/>
        <v>11.615999999999996</v>
      </c>
      <c r="CE192" s="161">
        <f t="shared" si="597"/>
        <v>8.8789999999999978</v>
      </c>
      <c r="CF192" s="161">
        <f t="shared" si="597"/>
        <v>10.838000000000001</v>
      </c>
      <c r="CG192" s="161">
        <f t="shared" si="597"/>
        <v>10.310000000000002</v>
      </c>
      <c r="CH192" s="161">
        <f t="shared" si="597"/>
        <v>14.564</v>
      </c>
      <c r="CI192" s="161">
        <f t="shared" si="597"/>
        <v>18.718999999999994</v>
      </c>
      <c r="CJ192" s="161">
        <f t="shared" si="597"/>
        <v>23.573</v>
      </c>
      <c r="CK192" s="161">
        <f t="shared" si="597"/>
        <v>22.295000000000002</v>
      </c>
      <c r="CL192" s="161">
        <f t="shared" si="597"/>
        <v>30.186000000000007</v>
      </c>
      <c r="CM192" s="161">
        <f t="shared" si="597"/>
        <v>26.246000000000002</v>
      </c>
      <c r="CN192" s="161">
        <f t="shared" si="597"/>
        <v>36.191000000000003</v>
      </c>
      <c r="CO192" s="161">
        <f t="shared" si="597"/>
        <v>39.573999999999998</v>
      </c>
      <c r="CP192" s="161">
        <f t="shared" si="597"/>
        <v>27.820000000000007</v>
      </c>
      <c r="CQ192" s="161">
        <f t="shared" si="597"/>
        <v>25.628000000000007</v>
      </c>
      <c r="CR192" s="161">
        <f t="shared" si="597"/>
        <v>25.49199999999999</v>
      </c>
      <c r="CS192" s="161">
        <f t="shared" si="597"/>
        <v>24.620999999999995</v>
      </c>
      <c r="CT192" s="161">
        <f t="shared" si="597"/>
        <v>29.53</v>
      </c>
      <c r="CU192" s="161">
        <f t="shared" si="597"/>
        <v>-7.9579999999999984</v>
      </c>
      <c r="CV192" s="161">
        <f t="shared" si="597"/>
        <v>-0.62299999999999756</v>
      </c>
      <c r="CW192" s="161">
        <f t="shared" si="597"/>
        <v>2.8960000000000008</v>
      </c>
      <c r="CX192" s="161">
        <f t="shared" si="597"/>
        <v>18.101000000000006</v>
      </c>
      <c r="CY192" s="161">
        <f t="shared" si="597"/>
        <v>19.327999999999996</v>
      </c>
      <c r="CZ192" s="161">
        <f t="shared" si="597"/>
        <v>18.932000000000002</v>
      </c>
      <c r="DA192" s="161">
        <f t="shared" ref="DA192:EF192" si="598">DA185-DA186</f>
        <v>24.155000000000008</v>
      </c>
      <c r="DB192" s="161">
        <f t="shared" si="598"/>
        <v>22.418999999999997</v>
      </c>
      <c r="DC192" s="161">
        <f t="shared" si="598"/>
        <v>9.8909999999999982</v>
      </c>
      <c r="DD192" s="161">
        <f t="shared" si="598"/>
        <v>6.9200000000000017</v>
      </c>
      <c r="DE192" s="161">
        <f t="shared" si="598"/>
        <v>11.890999999999998</v>
      </c>
      <c r="DF192" s="161">
        <f t="shared" si="598"/>
        <v>15.570999999999998</v>
      </c>
      <c r="DG192" s="161">
        <f t="shared" si="598"/>
        <v>7.4509999999999934</v>
      </c>
      <c r="DH192" s="161">
        <f t="shared" si="598"/>
        <v>14.987000000000002</v>
      </c>
      <c r="DI192" s="161">
        <f t="shared" si="598"/>
        <v>16.375999999999998</v>
      </c>
      <c r="DJ192" s="161">
        <f t="shared" si="598"/>
        <v>18.628</v>
      </c>
      <c r="DK192" s="161">
        <f t="shared" si="598"/>
        <v>22.400000000000006</v>
      </c>
      <c r="DL192" s="161">
        <f t="shared" si="598"/>
        <v>18.667999999999992</v>
      </c>
      <c r="DM192" s="161">
        <f t="shared" si="598"/>
        <v>24.810000000000002</v>
      </c>
      <c r="DN192" s="161">
        <f t="shared" si="598"/>
        <v>23.410999999999987</v>
      </c>
      <c r="DO192" s="161">
        <f t="shared" si="598"/>
        <v>21.844999999999999</v>
      </c>
      <c r="DP192" s="161">
        <f t="shared" si="598"/>
        <v>17.316999999999993</v>
      </c>
      <c r="DQ192" s="161">
        <f t="shared" si="598"/>
        <v>18.065000000000012</v>
      </c>
      <c r="DR192" s="161">
        <f t="shared" si="598"/>
        <v>23.948000000000008</v>
      </c>
      <c r="DS192" s="161">
        <f t="shared" si="598"/>
        <v>20.082933999999995</v>
      </c>
      <c r="DT192" s="161">
        <f t="shared" si="598"/>
        <v>24.312353999999985</v>
      </c>
      <c r="DU192" s="161">
        <f t="shared" si="598"/>
        <v>8.9052250000000015</v>
      </c>
      <c r="DV192" s="161">
        <f t="shared" si="598"/>
        <v>16.686000000000007</v>
      </c>
      <c r="DW192" s="161">
        <f t="shared" si="598"/>
        <v>13.516083999999999</v>
      </c>
      <c r="DX192" s="161">
        <f t="shared" si="598"/>
        <v>10.930176000000003</v>
      </c>
      <c r="DY192" s="161">
        <f t="shared" si="598"/>
        <v>14.747</v>
      </c>
      <c r="DZ192" s="161">
        <f t="shared" si="598"/>
        <v>9.9534980000000033</v>
      </c>
      <c r="EA192" s="161">
        <f t="shared" si="598"/>
        <v>2.5760000000000005</v>
      </c>
      <c r="EB192" s="161">
        <f t="shared" ref="EB192:EC192" si="599">EB185-EB186</f>
        <v>10.620974000000004</v>
      </c>
      <c r="EC192" s="161">
        <f t="shared" si="599"/>
        <v>12.160000000000004</v>
      </c>
      <c r="ED192" s="161">
        <f t="shared" ref="ED192" si="600">ED185-ED186</f>
        <v>16.476999999999997</v>
      </c>
      <c r="EE192" s="161">
        <f t="shared" si="598"/>
        <v>12.171599999999998</v>
      </c>
      <c r="EF192" s="161">
        <f t="shared" si="598"/>
        <v>14.742000000000004</v>
      </c>
      <c r="EG192" s="161">
        <f t="shared" ref="EG192:EP192" si="601">EG185-EG186</f>
        <v>16.559999999999995</v>
      </c>
      <c r="EH192" s="161">
        <f t="shared" si="601"/>
        <v>19.228000000000016</v>
      </c>
      <c r="EI192" s="161">
        <f t="shared" si="601"/>
        <v>20.520000000000003</v>
      </c>
      <c r="EJ192" s="161">
        <f t="shared" si="601"/>
        <v>23.660000000000004</v>
      </c>
      <c r="EK192" s="161">
        <f t="shared" si="601"/>
        <v>25.116000000000007</v>
      </c>
      <c r="EL192" s="161">
        <f t="shared" si="601"/>
        <v>26.311999999999998</v>
      </c>
      <c r="EM192" s="161">
        <f t="shared" si="601"/>
        <v>26.026000000000003</v>
      </c>
      <c r="EN192" s="161">
        <f t="shared" si="601"/>
        <v>26.026000000000003</v>
      </c>
      <c r="EO192" s="161">
        <f t="shared" si="601"/>
        <v>26.311999999999998</v>
      </c>
      <c r="EP192" s="161">
        <f t="shared" si="601"/>
        <v>26.311999999999998</v>
      </c>
      <c r="ES192" s="355">
        <f t="shared" si="436"/>
        <v>187</v>
      </c>
      <c r="ET192"/>
      <c r="EU192"/>
      <c r="EV192"/>
      <c r="EW192"/>
      <c r="EX192"/>
      <c r="EY192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</row>
    <row r="193" spans="1:257" s="4" customFormat="1" hidden="1" outlineLevel="2">
      <c r="A193" s="15"/>
      <c r="B193" s="54" t="s">
        <v>153</v>
      </c>
      <c r="C193" s="161"/>
      <c r="D193" s="161"/>
      <c r="E193" s="161"/>
      <c r="F193" s="161"/>
      <c r="G193" s="161"/>
      <c r="H193" s="161"/>
      <c r="I193" s="161"/>
      <c r="J193" s="161"/>
      <c r="K193" s="161"/>
      <c r="L193" s="161"/>
      <c r="M193" s="161"/>
      <c r="N193" s="159">
        <f t="shared" ref="N193:AF193" si="602">N192/N185</f>
        <v>0.23844060452335658</v>
      </c>
      <c r="O193" s="159">
        <f t="shared" si="602"/>
        <v>0.25817761264706962</v>
      </c>
      <c r="P193" s="159">
        <f t="shared" si="602"/>
        <v>0.23388982982498591</v>
      </c>
      <c r="Q193" s="159">
        <f t="shared" si="602"/>
        <v>0.23463488843813385</v>
      </c>
      <c r="R193" s="159">
        <f t="shared" si="602"/>
        <v>0.32032878308976775</v>
      </c>
      <c r="S193" s="159">
        <f t="shared" si="602"/>
        <v>0.41275059868928415</v>
      </c>
      <c r="T193" s="159">
        <f t="shared" si="602"/>
        <v>0.31550005483725518</v>
      </c>
      <c r="U193" s="159">
        <f t="shared" si="602"/>
        <v>0.10044356078636196</v>
      </c>
      <c r="V193" s="159">
        <f t="shared" si="602"/>
        <v>0.31708450493450863</v>
      </c>
      <c r="W193" s="159">
        <f t="shared" si="602"/>
        <v>0.22535254728916584</v>
      </c>
      <c r="X193" s="159">
        <f t="shared" si="602"/>
        <v>0.20140578534739118</v>
      </c>
      <c r="Y193" s="159">
        <f t="shared" si="602"/>
        <v>0.23036138272439566</v>
      </c>
      <c r="Z193" s="159">
        <f t="shared" si="602"/>
        <v>0.22680940112282433</v>
      </c>
      <c r="AA193" s="159">
        <f t="shared" si="602"/>
        <v>0.20991414487511856</v>
      </c>
      <c r="AB193" s="159">
        <f t="shared" si="602"/>
        <v>0.24306532575882805</v>
      </c>
      <c r="AC193" s="159">
        <f t="shared" si="602"/>
        <v>0.17762122056170107</v>
      </c>
      <c r="AD193" s="159">
        <f t="shared" si="602"/>
        <v>0.24440927033657411</v>
      </c>
      <c r="AE193" s="159">
        <f t="shared" si="602"/>
        <v>0.30045004378253998</v>
      </c>
      <c r="AF193" s="159">
        <f t="shared" si="602"/>
        <v>0.3138484786702006</v>
      </c>
      <c r="AG193" s="41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  <c r="BE193" s="163"/>
      <c r="BF193" s="163"/>
      <c r="BG193" s="163"/>
      <c r="BH193" s="163"/>
      <c r="BI193" s="163"/>
      <c r="BJ193" s="163"/>
      <c r="BK193" s="163"/>
      <c r="BL193" s="163"/>
      <c r="BM193" s="163"/>
      <c r="BN193" s="163"/>
      <c r="BO193" s="163"/>
      <c r="BP193" s="163"/>
      <c r="BQ193" s="163"/>
      <c r="BR193" s="163"/>
      <c r="BS193" s="163"/>
      <c r="BT193" s="163"/>
      <c r="BU193" s="163">
        <f t="shared" ref="BU193:CZ193" si="603">BU192/BU185</f>
        <v>0.24428264425698432</v>
      </c>
      <c r="BV193" s="163">
        <f t="shared" si="603"/>
        <v>0.21378166978405033</v>
      </c>
      <c r="BW193" s="163">
        <f t="shared" si="603"/>
        <v>0.24427014362839969</v>
      </c>
      <c r="BX193" s="163">
        <f t="shared" si="603"/>
        <v>0.32357159534371771</v>
      </c>
      <c r="BY193" s="163">
        <f t="shared" si="603"/>
        <v>0.23931337503723574</v>
      </c>
      <c r="BZ193" s="163">
        <f t="shared" si="603"/>
        <v>0.25830761102305272</v>
      </c>
      <c r="CA193" s="163">
        <f t="shared" si="603"/>
        <v>0.1845539416448323</v>
      </c>
      <c r="CB193" s="163">
        <f t="shared" si="603"/>
        <v>0.20506100825654466</v>
      </c>
      <c r="CC193" s="163">
        <f t="shared" si="603"/>
        <v>0.28870072839149075</v>
      </c>
      <c r="CD193" s="163">
        <f t="shared" si="603"/>
        <v>0.27350427350427342</v>
      </c>
      <c r="CE193" s="163">
        <f t="shared" si="603"/>
        <v>0.21242134979305721</v>
      </c>
      <c r="CF193" s="163">
        <f t="shared" si="603"/>
        <v>0.23545513795350859</v>
      </c>
      <c r="CG193" s="163">
        <f t="shared" si="603"/>
        <v>0.21852479864349306</v>
      </c>
      <c r="CH193" s="163">
        <f t="shared" si="603"/>
        <v>0.28979047694848481</v>
      </c>
      <c r="CI193" s="163">
        <f t="shared" si="603"/>
        <v>0.30628139470196503</v>
      </c>
      <c r="CJ193" s="163">
        <f t="shared" si="603"/>
        <v>0.34752546770650589</v>
      </c>
      <c r="CK193" s="163">
        <f t="shared" si="603"/>
        <v>0.3284085552674994</v>
      </c>
      <c r="CL193" s="163">
        <f t="shared" si="603"/>
        <v>0.38776558846954251</v>
      </c>
      <c r="CM193" s="163">
        <f t="shared" si="603"/>
        <v>0.36478109798471164</v>
      </c>
      <c r="CN193" s="163">
        <f t="shared" si="603"/>
        <v>0.42399568869571336</v>
      </c>
      <c r="CO193" s="163">
        <f t="shared" si="603"/>
        <v>0.46486549982379888</v>
      </c>
      <c r="CP193" s="163">
        <f t="shared" si="603"/>
        <v>0.3539350143762246</v>
      </c>
      <c r="CQ193" s="163">
        <f t="shared" si="603"/>
        <v>0.33829217102049985</v>
      </c>
      <c r="CR193" s="163">
        <f t="shared" si="603"/>
        <v>0.3163367872432834</v>
      </c>
      <c r="CS193" s="163">
        <f t="shared" si="603"/>
        <v>0.2638906752411575</v>
      </c>
      <c r="CT193" s="163">
        <f t="shared" si="603"/>
        <v>0.31026077454874029</v>
      </c>
      <c r="CU193" s="163">
        <f t="shared" si="603"/>
        <v>-0.15354338304810045</v>
      </c>
      <c r="CV193" s="163">
        <f t="shared" si="603"/>
        <v>-1.3174032565024267E-2</v>
      </c>
      <c r="CW193" s="163">
        <f t="shared" si="603"/>
        <v>6.7192575406032504E-2</v>
      </c>
      <c r="CX193" s="163">
        <f t="shared" si="603"/>
        <v>0.30474090036701579</v>
      </c>
      <c r="CY193" s="163">
        <f t="shared" si="603"/>
        <v>0.29882036455837102</v>
      </c>
      <c r="CZ193" s="163">
        <f t="shared" si="603"/>
        <v>0.31529686068781748</v>
      </c>
      <c r="DA193" s="163">
        <f t="shared" ref="DA193:EF193" si="604">DA192/DA185</f>
        <v>0.34605025643964366</v>
      </c>
      <c r="DB193" s="163">
        <f t="shared" si="604"/>
        <v>0.32512979667604491</v>
      </c>
      <c r="DC193" s="163">
        <f t="shared" si="604"/>
        <v>0.18087557603686633</v>
      </c>
      <c r="DD193" s="163">
        <f t="shared" si="604"/>
        <v>0.15026818092983868</v>
      </c>
      <c r="DE193" s="163">
        <f t="shared" si="604"/>
        <v>0.20803009097270816</v>
      </c>
      <c r="DF193" s="163">
        <f t="shared" si="604"/>
        <v>0.25637605993249357</v>
      </c>
      <c r="DG193" s="163">
        <f t="shared" si="604"/>
        <v>0.11626201472974651</v>
      </c>
      <c r="DH193" s="163">
        <f t="shared" si="604"/>
        <v>0.22208885332384934</v>
      </c>
      <c r="DI193" s="163">
        <f t="shared" si="604"/>
        <v>0.21069967319420496</v>
      </c>
      <c r="DJ193" s="163">
        <f t="shared" si="604"/>
        <v>0.21345984163544068</v>
      </c>
      <c r="DK193" s="163">
        <f t="shared" si="604"/>
        <v>0.23806487267780477</v>
      </c>
      <c r="DL193" s="163">
        <f t="shared" si="604"/>
        <v>0.21462898664029978</v>
      </c>
      <c r="DM193" s="163">
        <f t="shared" si="604"/>
        <v>0.25186794444895638</v>
      </c>
      <c r="DN193" s="163">
        <f t="shared" si="604"/>
        <v>0.24555018302723894</v>
      </c>
      <c r="DO193" s="163">
        <f t="shared" si="604"/>
        <v>0.25539850116329366</v>
      </c>
      <c r="DP193" s="163">
        <f t="shared" si="604"/>
        <v>0.21308772318407218</v>
      </c>
      <c r="DQ193" s="163">
        <f t="shared" si="604"/>
        <v>0.19343405681489662</v>
      </c>
      <c r="DR193" s="163">
        <f t="shared" si="604"/>
        <v>0.25782419120417727</v>
      </c>
      <c r="DS193" s="163">
        <f t="shared" si="604"/>
        <v>0.20590503501032764</v>
      </c>
      <c r="DT193" s="163">
        <f t="shared" si="604"/>
        <v>0.24959208324164875</v>
      </c>
      <c r="DU193" s="163">
        <f t="shared" si="604"/>
        <v>0.11107618629768604</v>
      </c>
      <c r="DV193" s="163">
        <f t="shared" si="604"/>
        <v>0.23112724049089961</v>
      </c>
      <c r="DW193" s="163">
        <f t="shared" si="604"/>
        <v>0.26320462688892349</v>
      </c>
      <c r="DX193" s="163">
        <f t="shared" si="604"/>
        <v>0.22779267657295299</v>
      </c>
      <c r="DY193" s="163">
        <f t="shared" si="604"/>
        <v>0.25266855135783428</v>
      </c>
      <c r="DZ193" s="163">
        <f t="shared" si="604"/>
        <v>0.15723456545797837</v>
      </c>
      <c r="EA193" s="163">
        <f t="shared" si="604"/>
        <v>7.4114566849843216E-2</v>
      </c>
      <c r="EB193" s="163">
        <f t="shared" ref="EB193:EC193" si="605">EB192/EB185</f>
        <v>0.23277839990002411</v>
      </c>
      <c r="EC193" s="163">
        <f t="shared" si="605"/>
        <v>0.22065361374730086</v>
      </c>
      <c r="ED193" s="163">
        <f t="shared" ref="ED193" si="606">ED192/ED185</f>
        <v>0.26065428544309799</v>
      </c>
      <c r="EE193" s="163">
        <f t="shared" si="604"/>
        <v>0.2169171341118393</v>
      </c>
      <c r="EF193" s="163">
        <f t="shared" si="604"/>
        <v>0.23843180384609172</v>
      </c>
      <c r="EG193" s="163">
        <f t="shared" ref="EG193:EP193" si="607">EG192/EG185</f>
        <v>0.25821340027754819</v>
      </c>
      <c r="EH193" s="163">
        <f t="shared" si="607"/>
        <v>0.27752038680811159</v>
      </c>
      <c r="EI193" s="163">
        <f t="shared" si="607"/>
        <v>0.2950352978389959</v>
      </c>
      <c r="EJ193" s="163">
        <f t="shared" si="607"/>
        <v>0.31271064352837002</v>
      </c>
      <c r="EK193" s="163">
        <f t="shared" si="607"/>
        <v>0.31339763666537734</v>
      </c>
      <c r="EL193" s="163">
        <f t="shared" si="607"/>
        <v>0.31390701614153971</v>
      </c>
      <c r="EM193" s="163">
        <f t="shared" si="607"/>
        <v>0.31378932011912086</v>
      </c>
      <c r="EN193" s="163">
        <f t="shared" si="607"/>
        <v>0.31378932011912086</v>
      </c>
      <c r="EO193" s="163">
        <f t="shared" si="607"/>
        <v>0.31390701614153971</v>
      </c>
      <c r="EP193" s="163">
        <f t="shared" si="607"/>
        <v>0.31390701614153971</v>
      </c>
      <c r="ES193" s="355">
        <f t="shared" si="436"/>
        <v>188</v>
      </c>
      <c r="ET193"/>
      <c r="EU193"/>
      <c r="EV193"/>
      <c r="EW193"/>
      <c r="EX193"/>
      <c r="EY193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</row>
    <row r="194" spans="1:257" s="4" customFormat="1" hidden="1" outlineLevel="2">
      <c r="A194" s="15"/>
      <c r="B194" s="37" t="s">
        <v>152</v>
      </c>
      <c r="C194" s="161"/>
      <c r="D194" s="161"/>
      <c r="E194" s="161"/>
      <c r="F194" s="161"/>
      <c r="G194" s="161"/>
      <c r="H194" s="161"/>
      <c r="I194" s="161"/>
      <c r="J194" s="161"/>
      <c r="K194" s="161"/>
      <c r="L194" s="161"/>
      <c r="M194" s="161"/>
      <c r="N194" s="161">
        <f t="shared" ref="N194:AF194" si="608">N192-N187</f>
        <v>35.256</v>
      </c>
      <c r="O194" s="161">
        <f t="shared" si="608"/>
        <v>25.241000000000014</v>
      </c>
      <c r="P194" s="161">
        <f t="shared" si="608"/>
        <v>32.655999999999999</v>
      </c>
      <c r="Q194" s="161">
        <f t="shared" si="608"/>
        <v>39.08</v>
      </c>
      <c r="R194" s="161">
        <f t="shared" si="608"/>
        <v>75.714999999999975</v>
      </c>
      <c r="S194" s="161">
        <f t="shared" si="608"/>
        <v>128.96100000000001</v>
      </c>
      <c r="T194" s="161">
        <f t="shared" si="608"/>
        <v>99.587000000000003</v>
      </c>
      <c r="U194" s="161">
        <f t="shared" si="608"/>
        <v>20.952999999999971</v>
      </c>
      <c r="V194" s="161">
        <f t="shared" si="608"/>
        <v>77.261000000000053</v>
      </c>
      <c r="W194" s="161">
        <f t="shared" si="608"/>
        <v>47.728999999999978</v>
      </c>
      <c r="X194" s="161">
        <f t="shared" si="608"/>
        <v>51.066999999999993</v>
      </c>
      <c r="Y194" s="161">
        <f t="shared" si="608"/>
        <v>80.595000000000027</v>
      </c>
      <c r="Z194" s="161">
        <f t="shared" si="608"/>
        <v>76.312999999999974</v>
      </c>
      <c r="AA194" s="161">
        <f t="shared" si="608"/>
        <v>73.906512999999947</v>
      </c>
      <c r="AB194" s="161">
        <f t="shared" si="608"/>
        <v>52.970260000000017</v>
      </c>
      <c r="AC194" s="161">
        <f t="shared" si="608"/>
        <v>32.222472000000032</v>
      </c>
      <c r="AD194" s="161">
        <f t="shared" si="608"/>
        <v>55.535537354988406</v>
      </c>
      <c r="AE194" s="161">
        <f t="shared" si="608"/>
        <v>84.036047881554552</v>
      </c>
      <c r="AF194" s="161">
        <f t="shared" si="608"/>
        <v>100.00581902885763</v>
      </c>
      <c r="AG194" s="162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  <c r="BS194" s="161"/>
      <c r="BT194" s="161"/>
      <c r="BU194" s="161">
        <f t="shared" ref="BU194:CZ194" si="609">BU192-BU187</f>
        <v>6.774</v>
      </c>
      <c r="BV194" s="161">
        <f t="shared" si="609"/>
        <v>4.3109999999999999</v>
      </c>
      <c r="BW194" s="161">
        <f t="shared" si="609"/>
        <v>6.2299999999999986</v>
      </c>
      <c r="BX194" s="161">
        <f t="shared" si="609"/>
        <v>8.9960000000000004</v>
      </c>
      <c r="BY194" s="161">
        <f t="shared" si="609"/>
        <v>5.7040000000000033</v>
      </c>
      <c r="BZ194" s="161">
        <f t="shared" si="609"/>
        <v>8.6609999999999978</v>
      </c>
      <c r="CA194" s="161">
        <f t="shared" si="609"/>
        <v>6.6940000000000026</v>
      </c>
      <c r="CB194" s="161">
        <f t="shared" si="609"/>
        <v>6.8490000000000011</v>
      </c>
      <c r="CC194" s="161">
        <f t="shared" si="609"/>
        <v>10.452000000000004</v>
      </c>
      <c r="CD194" s="161">
        <f t="shared" si="609"/>
        <v>10.962999999999996</v>
      </c>
      <c r="CE194" s="161">
        <f t="shared" si="609"/>
        <v>8.3819999999999979</v>
      </c>
      <c r="CF194" s="161">
        <f t="shared" si="609"/>
        <v>10.219000000000001</v>
      </c>
      <c r="CG194" s="161">
        <f t="shared" si="609"/>
        <v>9.5160000000000018</v>
      </c>
      <c r="CH194" s="161">
        <f t="shared" si="609"/>
        <v>13.958</v>
      </c>
      <c r="CI194" s="161">
        <f t="shared" si="609"/>
        <v>17.846999999999994</v>
      </c>
      <c r="CJ194" s="161">
        <f t="shared" si="609"/>
        <v>22.545000000000002</v>
      </c>
      <c r="CK194" s="161">
        <f t="shared" si="609"/>
        <v>21.365000000000002</v>
      </c>
      <c r="CL194" s="161">
        <f t="shared" si="609"/>
        <v>29.623000000000008</v>
      </c>
      <c r="CM194" s="161">
        <f t="shared" si="609"/>
        <v>25.215000000000003</v>
      </c>
      <c r="CN194" s="161">
        <f t="shared" si="609"/>
        <v>35.521000000000001</v>
      </c>
      <c r="CO194" s="161">
        <f t="shared" si="609"/>
        <v>38.601999999999997</v>
      </c>
      <c r="CP194" s="161">
        <f t="shared" si="609"/>
        <v>26.882000000000009</v>
      </c>
      <c r="CQ194" s="161">
        <f t="shared" si="609"/>
        <v>24.328000000000007</v>
      </c>
      <c r="CR194" s="161">
        <f t="shared" si="609"/>
        <v>24.309999999999992</v>
      </c>
      <c r="CS194" s="161">
        <f t="shared" si="609"/>
        <v>24.066999999999997</v>
      </c>
      <c r="CT194" s="161">
        <f t="shared" si="609"/>
        <v>28.834</v>
      </c>
      <c r="CU194" s="161">
        <f t="shared" si="609"/>
        <v>-8.7419999999999991</v>
      </c>
      <c r="CV194" s="161">
        <f t="shared" si="609"/>
        <v>-1.1779999999999977</v>
      </c>
      <c r="CW194" s="161">
        <f t="shared" si="609"/>
        <v>2.0390000000000006</v>
      </c>
      <c r="CX194" s="161">
        <f t="shared" si="609"/>
        <v>17.405000000000005</v>
      </c>
      <c r="CY194" s="161">
        <f t="shared" si="609"/>
        <v>18.310999999999996</v>
      </c>
      <c r="CZ194" s="161">
        <f t="shared" si="609"/>
        <v>18.161000000000001</v>
      </c>
      <c r="DA194" s="161">
        <f t="shared" ref="DA194:EF194" si="610">DA192-DA187</f>
        <v>23.384000000000007</v>
      </c>
      <c r="DB194" s="161">
        <f t="shared" si="610"/>
        <v>21.550999999999998</v>
      </c>
      <c r="DC194" s="161">
        <f t="shared" si="610"/>
        <v>8.9509999999999987</v>
      </c>
      <c r="DD194" s="161">
        <f t="shared" si="610"/>
        <v>6.0950000000000015</v>
      </c>
      <c r="DE194" s="161">
        <f t="shared" si="610"/>
        <v>11.131999999999998</v>
      </c>
      <c r="DF194" s="161">
        <f t="shared" si="610"/>
        <v>14.792999999999997</v>
      </c>
      <c r="DG194" s="161">
        <f t="shared" si="610"/>
        <v>6.6559999999999935</v>
      </c>
      <c r="DH194" s="161">
        <f t="shared" si="610"/>
        <v>14.048000000000002</v>
      </c>
      <c r="DI194" s="161">
        <f t="shared" si="610"/>
        <v>15.569999999999997</v>
      </c>
      <c r="DJ194" s="161">
        <f t="shared" si="610"/>
        <v>17.588999999999999</v>
      </c>
      <c r="DK194" s="161">
        <f t="shared" si="610"/>
        <v>21.490000000000006</v>
      </c>
      <c r="DL194" s="161">
        <f t="shared" si="610"/>
        <v>17.691999999999993</v>
      </c>
      <c r="DM194" s="161">
        <f t="shared" si="610"/>
        <v>23.824000000000002</v>
      </c>
      <c r="DN194" s="161">
        <f t="shared" si="610"/>
        <v>22.410999999999987</v>
      </c>
      <c r="DO194" s="161">
        <f t="shared" si="610"/>
        <v>20.844999999999999</v>
      </c>
      <c r="DP194" s="161">
        <f t="shared" si="610"/>
        <v>16.147999999999993</v>
      </c>
      <c r="DQ194" s="161">
        <f t="shared" si="610"/>
        <v>16.909000000000013</v>
      </c>
      <c r="DR194" s="161">
        <f t="shared" si="610"/>
        <v>23.261000000000006</v>
      </c>
      <c r="DS194" s="161">
        <f t="shared" si="610"/>
        <v>19.063933999999996</v>
      </c>
      <c r="DT194" s="161">
        <f t="shared" si="610"/>
        <v>23.531353999999986</v>
      </c>
      <c r="DU194" s="161">
        <f t="shared" si="610"/>
        <v>8.0502250000000011</v>
      </c>
      <c r="DV194" s="161">
        <f t="shared" si="610"/>
        <v>15.968000000000007</v>
      </c>
      <c r="DW194" s="161">
        <f t="shared" si="610"/>
        <v>12.629083999999999</v>
      </c>
      <c r="DX194" s="161">
        <f t="shared" si="610"/>
        <v>10.158176000000003</v>
      </c>
      <c r="DY194" s="161">
        <f t="shared" si="610"/>
        <v>14.215</v>
      </c>
      <c r="DZ194" s="161">
        <f t="shared" si="610"/>
        <v>9.2844980000000028</v>
      </c>
      <c r="EA194" s="161">
        <f t="shared" si="610"/>
        <v>1.6560000000000006</v>
      </c>
      <c r="EB194" s="161">
        <f t="shared" ref="EB194:EC194" si="611">EB192-EB187</f>
        <v>9.9069740000000035</v>
      </c>
      <c r="EC194" s="161">
        <f t="shared" si="611"/>
        <v>11.375000000000004</v>
      </c>
      <c r="ED194" s="161">
        <f t="shared" ref="ED194" si="612">ED192-ED187</f>
        <v>15.344999999999997</v>
      </c>
      <c r="EE194" s="161">
        <f t="shared" si="610"/>
        <v>11.077245784996132</v>
      </c>
      <c r="EF194" s="161">
        <f t="shared" si="610"/>
        <v>13.647645784996138</v>
      </c>
      <c r="EG194" s="161">
        <f t="shared" ref="EG194:EP194" si="613">EG192-EG187</f>
        <v>15.465645784996129</v>
      </c>
      <c r="EH194" s="161">
        <f t="shared" si="613"/>
        <v>18.12270224284611</v>
      </c>
      <c r="EI194" s="161">
        <f t="shared" si="613"/>
        <v>19.403649265274559</v>
      </c>
      <c r="EJ194" s="161">
        <f t="shared" si="613"/>
        <v>22.532485757927304</v>
      </c>
      <c r="EK194" s="161">
        <f t="shared" si="613"/>
        <v>23.977210615506582</v>
      </c>
      <c r="EL194" s="161">
        <f t="shared" si="613"/>
        <v>25.161822721661636</v>
      </c>
      <c r="EM194" s="161">
        <f t="shared" si="613"/>
        <v>24.864320948878259</v>
      </c>
      <c r="EN194" s="161">
        <f t="shared" si="613"/>
        <v>24.852704158367043</v>
      </c>
      <c r="EO194" s="161">
        <f t="shared" si="613"/>
        <v>25.126971199950706</v>
      </c>
      <c r="EP194" s="161">
        <f t="shared" si="613"/>
        <v>25.115120911950214</v>
      </c>
      <c r="ES194" s="355">
        <f t="shared" si="436"/>
        <v>189</v>
      </c>
      <c r="ET194"/>
      <c r="EU194"/>
      <c r="EV194"/>
      <c r="EW194"/>
      <c r="EX194"/>
      <c r="EY194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</row>
    <row r="195" spans="1:257" s="4" customFormat="1" hidden="1" outlineLevel="2">
      <c r="A195" s="15"/>
      <c r="B195" s="54" t="s">
        <v>151</v>
      </c>
      <c r="C195" s="160"/>
      <c r="D195" s="160"/>
      <c r="E195" s="160"/>
      <c r="F195" s="160"/>
      <c r="G195" s="160"/>
      <c r="H195" s="160"/>
      <c r="I195" s="160"/>
      <c r="J195" s="160"/>
      <c r="K195" s="160"/>
      <c r="L195" s="160"/>
      <c r="M195" s="160"/>
      <c r="N195" s="159">
        <f t="shared" ref="N195:AF195" si="614">N194/N185</f>
        <v>0.23287888395688017</v>
      </c>
      <c r="O195" s="159">
        <f t="shared" si="614"/>
        <v>0.22985648198739675</v>
      </c>
      <c r="P195" s="159">
        <f t="shared" si="614"/>
        <v>0.21948006559668792</v>
      </c>
      <c r="Q195" s="159">
        <f t="shared" si="614"/>
        <v>0.22019382465629928</v>
      </c>
      <c r="R195" s="159">
        <f t="shared" si="614"/>
        <v>0.30642308766334936</v>
      </c>
      <c r="S195" s="159">
        <f t="shared" si="614"/>
        <v>0.40264703402928037</v>
      </c>
      <c r="T195" s="159">
        <f t="shared" si="614"/>
        <v>0.30339320749198767</v>
      </c>
      <c r="U195" s="159">
        <f t="shared" si="614"/>
        <v>8.8261435485705267E-2</v>
      </c>
      <c r="V195" s="159">
        <f t="shared" si="614"/>
        <v>0.30426580972409301</v>
      </c>
      <c r="W195" s="159">
        <f t="shared" si="614"/>
        <v>0.2103998695167269</v>
      </c>
      <c r="X195" s="159">
        <f t="shared" si="614"/>
        <v>0.18911812522451457</v>
      </c>
      <c r="Y195" s="159">
        <f t="shared" si="614"/>
        <v>0.21970008804904584</v>
      </c>
      <c r="Z195" s="159">
        <f t="shared" si="614"/>
        <v>0.21464453270029132</v>
      </c>
      <c r="AA195" s="159">
        <f t="shared" si="614"/>
        <v>0.20083263579580921</v>
      </c>
      <c r="AB195" s="159">
        <f t="shared" si="614"/>
        <v>0.2304116679861154</v>
      </c>
      <c r="AC195" s="159">
        <f t="shared" si="614"/>
        <v>0.16208774570204659</v>
      </c>
      <c r="AD195" s="159">
        <f t="shared" si="614"/>
        <v>0.22640974673618394</v>
      </c>
      <c r="AE195" s="159">
        <f t="shared" si="614"/>
        <v>0.2852179551909616</v>
      </c>
      <c r="AF195" s="159">
        <f t="shared" si="614"/>
        <v>0.29984594520591512</v>
      </c>
      <c r="AG195" s="91"/>
      <c r="AH195" s="159"/>
      <c r="AI195" s="159"/>
      <c r="AJ195" s="159"/>
      <c r="AK195" s="159"/>
      <c r="AL195" s="159"/>
      <c r="AM195" s="159"/>
      <c r="AN195" s="159"/>
      <c r="AO195" s="159"/>
      <c r="AP195" s="159"/>
      <c r="AQ195" s="159"/>
      <c r="AR195" s="159"/>
      <c r="AS195" s="159"/>
      <c r="AT195" s="159"/>
      <c r="AU195" s="159"/>
      <c r="AV195" s="159"/>
      <c r="AW195" s="159"/>
      <c r="AX195" s="159"/>
      <c r="AY195" s="159"/>
      <c r="AZ195" s="159"/>
      <c r="BA195" s="159"/>
      <c r="BB195" s="159"/>
      <c r="BC195" s="159"/>
      <c r="BD195" s="159"/>
      <c r="BE195" s="159"/>
      <c r="BF195" s="159"/>
      <c r="BG195" s="159"/>
      <c r="BH195" s="159"/>
      <c r="BI195" s="159"/>
      <c r="BJ195" s="159"/>
      <c r="BK195" s="159"/>
      <c r="BL195" s="159"/>
      <c r="BM195" s="159"/>
      <c r="BN195" s="159"/>
      <c r="BO195" s="159"/>
      <c r="BP195" s="159"/>
      <c r="BQ195" s="159"/>
      <c r="BR195" s="159"/>
      <c r="BS195" s="159"/>
      <c r="BT195" s="159"/>
      <c r="BU195" s="159">
        <f t="shared" ref="BU195:CZ195" si="615">BU194/BU185</f>
        <v>0.2172755556981108</v>
      </c>
      <c r="BV195" s="159">
        <f t="shared" si="615"/>
        <v>0.18325964971943545</v>
      </c>
      <c r="BW195" s="159">
        <f t="shared" si="615"/>
        <v>0.21153780856337639</v>
      </c>
      <c r="BX195" s="159">
        <f t="shared" si="615"/>
        <v>0.30005670257829958</v>
      </c>
      <c r="BY195" s="159">
        <f t="shared" si="615"/>
        <v>0.21239201668156102</v>
      </c>
      <c r="BZ195" s="159">
        <f t="shared" si="615"/>
        <v>0.24084424793526316</v>
      </c>
      <c r="CA195" s="159">
        <f t="shared" si="615"/>
        <v>0.17028312686016644</v>
      </c>
      <c r="CB195" s="159">
        <f t="shared" si="615"/>
        <v>0.1930002536139995</v>
      </c>
      <c r="CC195" s="159">
        <f t="shared" si="615"/>
        <v>0.2748428830629257</v>
      </c>
      <c r="CD195" s="159">
        <f t="shared" si="615"/>
        <v>0.25812907631089443</v>
      </c>
      <c r="CE195" s="159">
        <f t="shared" si="615"/>
        <v>0.20053111318452591</v>
      </c>
      <c r="CF195" s="159">
        <f t="shared" si="615"/>
        <v>0.22200738648707366</v>
      </c>
      <c r="CG195" s="159">
        <f t="shared" si="615"/>
        <v>0.20169563374311153</v>
      </c>
      <c r="CH195" s="159">
        <f t="shared" si="615"/>
        <v>0.27773245518037287</v>
      </c>
      <c r="CI195" s="159">
        <f t="shared" si="615"/>
        <v>0.29201367868187239</v>
      </c>
      <c r="CJ195" s="159">
        <f t="shared" si="615"/>
        <v>0.33237015523875513</v>
      </c>
      <c r="CK195" s="159">
        <f t="shared" si="615"/>
        <v>0.31470952156493048</v>
      </c>
      <c r="CL195" s="159">
        <f t="shared" si="615"/>
        <v>0.38053336073786714</v>
      </c>
      <c r="CM195" s="159">
        <f t="shared" si="615"/>
        <v>0.35045170257123004</v>
      </c>
      <c r="CN195" s="159">
        <f t="shared" si="615"/>
        <v>0.41614630317372919</v>
      </c>
      <c r="CO195" s="159">
        <f t="shared" si="615"/>
        <v>0.45344766827205452</v>
      </c>
      <c r="CP195" s="159">
        <f t="shared" si="615"/>
        <v>0.3420014757894202</v>
      </c>
      <c r="CQ195" s="159">
        <f t="shared" si="615"/>
        <v>0.32113204060350864</v>
      </c>
      <c r="CR195" s="159">
        <f t="shared" si="615"/>
        <v>0.30166904510765025</v>
      </c>
      <c r="CS195" s="159">
        <f t="shared" si="615"/>
        <v>0.25795284030010718</v>
      </c>
      <c r="CT195" s="159">
        <f t="shared" si="615"/>
        <v>0.30294816028914245</v>
      </c>
      <c r="CU195" s="159">
        <f t="shared" si="615"/>
        <v>-0.16867004958613901</v>
      </c>
      <c r="CV195" s="159">
        <f t="shared" si="615"/>
        <v>-2.4910128991330042E-2</v>
      </c>
      <c r="CW195" s="159">
        <f t="shared" si="615"/>
        <v>4.7308584686774957E-2</v>
      </c>
      <c r="CX195" s="159">
        <f t="shared" si="615"/>
        <v>0.29302333411899395</v>
      </c>
      <c r="CY195" s="159">
        <f t="shared" si="615"/>
        <v>0.28309704550022413</v>
      </c>
      <c r="CZ195" s="159">
        <f t="shared" si="615"/>
        <v>0.30245649096510951</v>
      </c>
      <c r="DA195" s="159">
        <f t="shared" ref="DA195:EF195" si="616">DA194/DA185</f>
        <v>0.33500472765823336</v>
      </c>
      <c r="DB195" s="159">
        <f t="shared" si="616"/>
        <v>0.31254169446297531</v>
      </c>
      <c r="DC195" s="159">
        <f t="shared" si="616"/>
        <v>0.16368590446931458</v>
      </c>
      <c r="DD195" s="159">
        <f t="shared" si="616"/>
        <v>0.13235326051551544</v>
      </c>
      <c r="DE195" s="159">
        <f t="shared" si="616"/>
        <v>0.19475157452764169</v>
      </c>
      <c r="DF195" s="159">
        <f t="shared" si="616"/>
        <v>0.24356631266979498</v>
      </c>
      <c r="DG195" s="159">
        <f t="shared" si="616"/>
        <v>0.10385719635501177</v>
      </c>
      <c r="DH195" s="159">
        <f t="shared" si="616"/>
        <v>0.20817403159361017</v>
      </c>
      <c r="DI195" s="159">
        <f t="shared" si="616"/>
        <v>0.20032937906898945</v>
      </c>
      <c r="DJ195" s="159">
        <f t="shared" si="616"/>
        <v>0.20155385197153564</v>
      </c>
      <c r="DK195" s="159">
        <f t="shared" si="616"/>
        <v>0.22839348722526895</v>
      </c>
      <c r="DL195" s="159">
        <f t="shared" si="616"/>
        <v>0.20340775828370386</v>
      </c>
      <c r="DM195" s="159">
        <f t="shared" si="616"/>
        <v>0.24185819865183139</v>
      </c>
      <c r="DN195" s="159">
        <f t="shared" si="616"/>
        <v>0.23506151603192738</v>
      </c>
      <c r="DO195" s="159">
        <f t="shared" si="616"/>
        <v>0.24370710719839125</v>
      </c>
      <c r="DP195" s="159">
        <f t="shared" si="616"/>
        <v>0.19870304059458321</v>
      </c>
      <c r="DQ195" s="159">
        <f t="shared" si="616"/>
        <v>0.1810559904059279</v>
      </c>
      <c r="DR195" s="159">
        <f t="shared" si="616"/>
        <v>0.25042794853851541</v>
      </c>
      <c r="DS195" s="159">
        <f t="shared" si="616"/>
        <v>0.1954574962853822</v>
      </c>
      <c r="DT195" s="159">
        <f t="shared" si="616"/>
        <v>0.24157429043508927</v>
      </c>
      <c r="DU195" s="159">
        <f t="shared" si="616"/>
        <v>0.10041164505537924</v>
      </c>
      <c r="DV195" s="159">
        <f t="shared" si="616"/>
        <v>0.22118181566335163</v>
      </c>
      <c r="DW195" s="159">
        <f t="shared" si="616"/>
        <v>0.24593168717868827</v>
      </c>
      <c r="DX195" s="159">
        <f t="shared" si="616"/>
        <v>0.21170364504095207</v>
      </c>
      <c r="DY195" s="159">
        <f t="shared" si="616"/>
        <v>0.24355349952882721</v>
      </c>
      <c r="DZ195" s="159">
        <f t="shared" si="616"/>
        <v>0.14666642908105967</v>
      </c>
      <c r="EA195" s="159">
        <f t="shared" si="616"/>
        <v>4.7645078689184932E-2</v>
      </c>
      <c r="EB195" s="159">
        <f t="shared" ref="EB195:EC195" si="617">EB194/EB185</f>
        <v>0.2171297618816449</v>
      </c>
      <c r="EC195" s="159">
        <f t="shared" si="617"/>
        <v>0.20640911647825225</v>
      </c>
      <c r="ED195" s="159">
        <f t="shared" ref="ED195" si="618">ED194/ED185</f>
        <v>0.24274685987281294</v>
      </c>
      <c r="EE195" s="159">
        <f t="shared" si="616"/>
        <v>0.19741401373145789</v>
      </c>
      <c r="EF195" s="159">
        <f t="shared" si="616"/>
        <v>0.22073211251995242</v>
      </c>
      <c r="EG195" s="159">
        <f t="shared" ref="EG195:EP195" si="619">EG194/EG185</f>
        <v>0.24114957642705206</v>
      </c>
      <c r="EH195" s="159">
        <f t="shared" si="619"/>
        <v>0.26156747121088414</v>
      </c>
      <c r="EI195" s="159">
        <f t="shared" si="619"/>
        <v>0.2789844756405308</v>
      </c>
      <c r="EJ195" s="159">
        <f t="shared" si="619"/>
        <v>0.29780845822718843</v>
      </c>
      <c r="EK195" s="159">
        <f t="shared" si="619"/>
        <v>0.29918781417135526</v>
      </c>
      <c r="EL195" s="159">
        <f t="shared" si="619"/>
        <v>0.30018518893429613</v>
      </c>
      <c r="EM195" s="159">
        <f t="shared" si="619"/>
        <v>0.29978323083732122</v>
      </c>
      <c r="EN195" s="159">
        <f t="shared" si="619"/>
        <v>0.29964316994450324</v>
      </c>
      <c r="EO195" s="159">
        <f t="shared" si="619"/>
        <v>0.29976940384808948</v>
      </c>
      <c r="EP195" s="159">
        <f t="shared" si="619"/>
        <v>0.29962802772515496</v>
      </c>
      <c r="ES195" s="355">
        <f t="shared" si="436"/>
        <v>190</v>
      </c>
      <c r="ET195"/>
      <c r="EU195"/>
      <c r="EV195"/>
      <c r="EW195"/>
      <c r="EX195"/>
      <c r="EY195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</row>
    <row r="196" spans="1:257" s="4" customFormat="1" hidden="1" outlineLevel="2">
      <c r="A196" s="15"/>
      <c r="B196" s="54" t="s">
        <v>150</v>
      </c>
      <c r="C196" s="160"/>
      <c r="D196" s="160"/>
      <c r="E196" s="160"/>
      <c r="F196" s="160"/>
      <c r="G196" s="160"/>
      <c r="H196" s="160"/>
      <c r="I196" s="160"/>
      <c r="J196" s="160"/>
      <c r="K196" s="160"/>
      <c r="L196" s="160"/>
      <c r="M196" s="160"/>
      <c r="N196" s="159">
        <f t="shared" ref="N196:AF196" si="620">N189/N185</f>
        <v>0.19664183047981398</v>
      </c>
      <c r="O196" s="159">
        <f t="shared" si="620"/>
        <v>4.6889228863876579E-2</v>
      </c>
      <c r="P196" s="159">
        <f t="shared" si="620"/>
        <v>8.1498507944189086E-2</v>
      </c>
      <c r="Q196" s="159">
        <f t="shared" si="620"/>
        <v>0.10690218616182111</v>
      </c>
      <c r="R196" s="159">
        <f t="shared" si="620"/>
        <v>0.22750543317698185</v>
      </c>
      <c r="S196" s="159">
        <f t="shared" si="620"/>
        <v>0.3283939515990546</v>
      </c>
      <c r="T196" s="159">
        <f t="shared" si="620"/>
        <v>0.21317373661057021</v>
      </c>
      <c r="U196" s="159">
        <f t="shared" si="620"/>
        <v>-3.0442676192201385E-2</v>
      </c>
      <c r="V196" s="159">
        <f t="shared" si="620"/>
        <v>0.16908469396595879</v>
      </c>
      <c r="W196" s="159">
        <f t="shared" si="620"/>
        <v>8.6890398458886686E-2</v>
      </c>
      <c r="X196" s="159">
        <f t="shared" si="620"/>
        <v>7.542208742088749E-2</v>
      </c>
      <c r="Y196" s="159">
        <f t="shared" si="620"/>
        <v>0.12156492867482105</v>
      </c>
      <c r="Z196" s="159">
        <f t="shared" si="620"/>
        <v>0.10247741412868594</v>
      </c>
      <c r="AA196" s="159">
        <f t="shared" si="620"/>
        <v>4.7879044668614319E-2</v>
      </c>
      <c r="AB196" s="159">
        <f t="shared" si="620"/>
        <v>-1.797236987481178E-2</v>
      </c>
      <c r="AC196" s="159">
        <f t="shared" si="620"/>
        <v>-0.10764541133305411</v>
      </c>
      <c r="AD196" s="159">
        <f t="shared" si="620"/>
        <v>3.3761682369169661E-2</v>
      </c>
      <c r="AE196" s="159">
        <f t="shared" si="620"/>
        <v>0.12422384827898882</v>
      </c>
      <c r="AF196" s="159">
        <f t="shared" si="620"/>
        <v>0.15993633358168455</v>
      </c>
      <c r="AG196" s="91"/>
      <c r="AH196" s="159"/>
      <c r="AI196" s="159"/>
      <c r="AJ196" s="159"/>
      <c r="AK196" s="159"/>
      <c r="AL196" s="159"/>
      <c r="AM196" s="159"/>
      <c r="AN196" s="159"/>
      <c r="AO196" s="159"/>
      <c r="AP196" s="159"/>
      <c r="AQ196" s="159"/>
      <c r="AR196" s="159"/>
      <c r="AS196" s="159"/>
      <c r="AT196" s="159"/>
      <c r="AU196" s="159"/>
      <c r="AV196" s="159"/>
      <c r="AW196" s="159"/>
      <c r="AX196" s="159"/>
      <c r="AY196" s="159"/>
      <c r="AZ196" s="159"/>
      <c r="BA196" s="159"/>
      <c r="BB196" s="159"/>
      <c r="BC196" s="159"/>
      <c r="BD196" s="159"/>
      <c r="BE196" s="159"/>
      <c r="BF196" s="159"/>
      <c r="BG196" s="159"/>
      <c r="BH196" s="159"/>
      <c r="BI196" s="159"/>
      <c r="BJ196" s="159"/>
      <c r="BK196" s="159"/>
      <c r="BL196" s="159"/>
      <c r="BM196" s="159"/>
      <c r="BN196" s="159"/>
      <c r="BO196" s="159"/>
      <c r="BP196" s="159"/>
      <c r="BQ196" s="159"/>
      <c r="BR196" s="159"/>
      <c r="BS196" s="159"/>
      <c r="BT196" s="159"/>
      <c r="BU196" s="159">
        <f t="shared" ref="BU196:CZ196" si="621">BU189/BU185</f>
        <v>4.1312506014048823E-2</v>
      </c>
      <c r="BV196" s="159">
        <f t="shared" si="621"/>
        <v>-2.5165788131270139E-2</v>
      </c>
      <c r="BW196" s="159">
        <f t="shared" si="621"/>
        <v>4.2375471121523921E-2</v>
      </c>
      <c r="BX196" s="159">
        <f t="shared" si="621"/>
        <v>0.12954871418565092</v>
      </c>
      <c r="BY196" s="159">
        <f t="shared" si="621"/>
        <v>2.2676496872207526E-2</v>
      </c>
      <c r="BZ196" s="159">
        <f t="shared" si="621"/>
        <v>0.10122076694196493</v>
      </c>
      <c r="CA196" s="159">
        <f t="shared" si="621"/>
        <v>3.9556358271221788E-2</v>
      </c>
      <c r="CB196" s="159">
        <f t="shared" si="621"/>
        <v>4.9201115901597828E-2</v>
      </c>
      <c r="CC196" s="159">
        <f t="shared" si="621"/>
        <v>0.13634331694233354</v>
      </c>
      <c r="CD196" s="159">
        <f t="shared" si="621"/>
        <v>0.14591132772950946</v>
      </c>
      <c r="CE196" s="159">
        <f t="shared" si="621"/>
        <v>8.5695830043780966E-2</v>
      </c>
      <c r="CF196" s="159">
        <f t="shared" si="621"/>
        <v>0.11479469910927653</v>
      </c>
      <c r="CG196" s="159">
        <f t="shared" si="621"/>
        <v>8.2874099194574044E-2</v>
      </c>
      <c r="CH196" s="159">
        <f t="shared" si="621"/>
        <v>0.18508864436794875</v>
      </c>
      <c r="CI196" s="159">
        <f t="shared" si="621"/>
        <v>0.2145393262103833</v>
      </c>
      <c r="CJ196" s="159">
        <f t="shared" si="621"/>
        <v>0.26072149901962233</v>
      </c>
      <c r="CK196" s="159">
        <f t="shared" si="621"/>
        <v>0.23739099693613008</v>
      </c>
      <c r="CL196" s="159">
        <f t="shared" si="621"/>
        <v>0.30925159931146112</v>
      </c>
      <c r="CM196" s="159">
        <f t="shared" si="621"/>
        <v>0.27621959694232107</v>
      </c>
      <c r="CN196" s="159">
        <f t="shared" si="621"/>
        <v>0.33826165399440006</v>
      </c>
      <c r="CO196" s="159">
        <f t="shared" si="621"/>
        <v>0.38010102196640433</v>
      </c>
      <c r="CP196" s="159">
        <f t="shared" si="621"/>
        <v>0.26915345665504703</v>
      </c>
      <c r="CQ196" s="159">
        <f t="shared" si="621"/>
        <v>0.16832767929036271</v>
      </c>
      <c r="CR196" s="159">
        <f t="shared" si="621"/>
        <v>0.21706272879568148</v>
      </c>
      <c r="CS196" s="159">
        <f t="shared" si="621"/>
        <v>0.19906752411575557</v>
      </c>
      <c r="CT196" s="159">
        <f t="shared" si="621"/>
        <v>0.23774401647439536</v>
      </c>
      <c r="CU196" s="159">
        <f t="shared" si="621"/>
        <v>-0.29485423218661372</v>
      </c>
      <c r="CV196" s="159">
        <f t="shared" si="621"/>
        <v>-0.1759568619158384</v>
      </c>
      <c r="CW196" s="159">
        <f t="shared" si="621"/>
        <v>-0.14505800464037127</v>
      </c>
      <c r="CX196" s="159">
        <f t="shared" si="621"/>
        <v>0.14146940974443592</v>
      </c>
      <c r="CY196" s="159">
        <f t="shared" si="621"/>
        <v>0.13843323387084297</v>
      </c>
      <c r="CZ196" s="159">
        <f t="shared" si="621"/>
        <v>0.16475976351070032</v>
      </c>
      <c r="DA196" s="159">
        <f t="shared" ref="DA196:EF196" si="622">DA189/DA185</f>
        <v>0.22470702845190693</v>
      </c>
      <c r="DB196" s="159">
        <f t="shared" si="622"/>
        <v>0.20835629550134871</v>
      </c>
      <c r="DC196" s="159">
        <f t="shared" si="622"/>
        <v>4.4674859190988188E-2</v>
      </c>
      <c r="DD196" s="159">
        <f t="shared" si="622"/>
        <v>-1.3550194349742726E-2</v>
      </c>
      <c r="DE196" s="159">
        <f t="shared" si="622"/>
        <v>6.1668999300209915E-2</v>
      </c>
      <c r="DF196" s="159">
        <f t="shared" si="622"/>
        <v>0.13071540298015971</v>
      </c>
      <c r="DG196" s="159">
        <f t="shared" si="622"/>
        <v>-1.5197852952190798E-2</v>
      </c>
      <c r="DH196" s="159">
        <f t="shared" si="622"/>
        <v>9.2987759698882747E-2</v>
      </c>
      <c r="DI196" s="159">
        <f t="shared" si="622"/>
        <v>9.16857517819923E-2</v>
      </c>
      <c r="DJ196" s="159">
        <f t="shared" si="622"/>
        <v>0.10440372649455126</v>
      </c>
      <c r="DK196" s="159">
        <f t="shared" si="622"/>
        <v>0.13995876376312558</v>
      </c>
      <c r="DL196" s="159">
        <f t="shared" si="622"/>
        <v>9.7242980983697019E-2</v>
      </c>
      <c r="DM196" s="159">
        <f t="shared" si="622"/>
        <v>0.14067449037602534</v>
      </c>
      <c r="DN196" s="159">
        <f t="shared" si="622"/>
        <v>0.13374099285721769</v>
      </c>
      <c r="DO196" s="159">
        <f t="shared" si="622"/>
        <v>0.13076824149743377</v>
      </c>
      <c r="DP196" s="159">
        <f t="shared" si="622"/>
        <v>8.0844623278821581E-2</v>
      </c>
      <c r="DQ196" s="159">
        <f t="shared" si="622"/>
        <v>6.3475067190628773E-2</v>
      </c>
      <c r="DR196" s="159">
        <f t="shared" si="622"/>
        <v>0.13149593583463437</v>
      </c>
      <c r="DS196" s="159">
        <f t="shared" si="622"/>
        <v>5.7835011197116183E-2</v>
      </c>
      <c r="DT196" s="159">
        <f t="shared" si="622"/>
        <v>8.0900186446020678E-2</v>
      </c>
      <c r="DU196" s="159">
        <f t="shared" si="622"/>
        <v>-0.10122925988395606</v>
      </c>
      <c r="DV196" s="159">
        <f t="shared" si="622"/>
        <v>2.5417624733357451E-2</v>
      </c>
      <c r="DW196" s="159">
        <f t="shared" si="622"/>
        <v>-3.8769979747624216E-2</v>
      </c>
      <c r="DX196" s="159">
        <f t="shared" si="622"/>
        <v>-7.9482816830960909E-2</v>
      </c>
      <c r="DY196" s="159">
        <f t="shared" si="622"/>
        <v>-2.7756360832691877E-3</v>
      </c>
      <c r="DZ196" s="159">
        <f t="shared" si="622"/>
        <v>-6.1647493792523093E-2</v>
      </c>
      <c r="EA196" s="159">
        <f t="shared" si="622"/>
        <v>-0.3158212734125499</v>
      </c>
      <c r="EB196" s="159">
        <f t="shared" ref="EB196:EC196" si="623">EB189/EB185</f>
        <v>-9.9086693761457678E-2</v>
      </c>
      <c r="EC196" s="159">
        <f t="shared" si="623"/>
        <v>-3.6273566930991222E-2</v>
      </c>
      <c r="ED196" s="159">
        <f t="shared" ref="ED196" si="624">ED189/ED185</f>
        <v>5.590533742525388E-2</v>
      </c>
      <c r="EE196" s="159">
        <f t="shared" si="622"/>
        <v>-1.3183399375965075E-2</v>
      </c>
      <c r="EF196" s="159">
        <f t="shared" si="622"/>
        <v>3.02313522079635E-2</v>
      </c>
      <c r="EG196" s="159">
        <f t="shared" ref="EG196:EP196" si="625">EG189/EG185</f>
        <v>5.6412399838092861E-2</v>
      </c>
      <c r="EH196" s="159">
        <f t="shared" si="625"/>
        <v>8.9605194565899882E-2</v>
      </c>
      <c r="EI196" s="159">
        <f t="shared" si="625"/>
        <v>0.10816914054818375</v>
      </c>
      <c r="EJ196" s="159">
        <f t="shared" si="625"/>
        <v>0.14125708909324766</v>
      </c>
      <c r="EK196" s="159">
        <f t="shared" si="625"/>
        <v>0.15200516329438629</v>
      </c>
      <c r="EL196" s="159">
        <f t="shared" si="625"/>
        <v>0.16006918246387811</v>
      </c>
      <c r="EM196" s="159">
        <f t="shared" si="625"/>
        <v>0.15880587148676853</v>
      </c>
      <c r="EN196" s="159">
        <f t="shared" si="625"/>
        <v>0.15930419154216405</v>
      </c>
      <c r="EO196" s="159">
        <f t="shared" si="625"/>
        <v>0.16154758402441352</v>
      </c>
      <c r="EP196" s="159">
        <f t="shared" si="625"/>
        <v>0.16206129372060066</v>
      </c>
      <c r="ES196" s="355">
        <f t="shared" si="436"/>
        <v>191</v>
      </c>
      <c r="ET196"/>
      <c r="EU196"/>
      <c r="EV196"/>
      <c r="EW196"/>
      <c r="EX196"/>
      <c r="EY196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</row>
    <row r="197" spans="1:257" s="4" customFormat="1" hidden="1" outlineLevel="2">
      <c r="A197" s="15"/>
      <c r="B197" s="31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  <c r="CA197" s="25"/>
      <c r="CB197" s="25"/>
      <c r="CC197" s="25"/>
      <c r="CD197" s="25"/>
      <c r="CE197" s="25"/>
      <c r="CF197" s="25"/>
      <c r="CG197" s="25"/>
      <c r="CH197" s="25"/>
      <c r="CI197" s="25"/>
      <c r="CJ197" s="25"/>
      <c r="CK197" s="25"/>
      <c r="CL197" s="25"/>
      <c r="CM197" s="25"/>
      <c r="CN197" s="25"/>
      <c r="CO197" s="25"/>
      <c r="CP197" s="25"/>
      <c r="CQ197" s="25"/>
      <c r="CR197" s="25"/>
      <c r="CS197" s="25"/>
      <c r="CT197" s="25"/>
      <c r="CU197" s="25"/>
      <c r="CV197" s="25"/>
      <c r="CW197" s="25"/>
      <c r="CX197" s="25"/>
      <c r="CY197" s="25"/>
      <c r="CZ197" s="25"/>
      <c r="DA197" s="25"/>
      <c r="DB197" s="25"/>
      <c r="DC197" s="25"/>
      <c r="DD197" s="25"/>
      <c r="DE197" s="25"/>
      <c r="DF197" s="25"/>
      <c r="DG197" s="25"/>
      <c r="DH197" s="25"/>
      <c r="DI197" s="25"/>
      <c r="DJ197" s="25"/>
      <c r="DK197" s="25"/>
      <c r="DL197" s="25"/>
      <c r="DM197" s="25"/>
      <c r="DN197" s="25"/>
      <c r="DO197" s="25"/>
      <c r="DP197" s="25"/>
      <c r="DQ197" s="25"/>
      <c r="DR197" s="25"/>
      <c r="DS197" s="25"/>
      <c r="DT197" s="25"/>
      <c r="DU197" s="25"/>
      <c r="DV197" s="25"/>
      <c r="DW197" s="25"/>
      <c r="DX197" s="25"/>
      <c r="DY197" s="25"/>
      <c r="DZ197" s="25"/>
      <c r="EA197" s="25"/>
      <c r="EB197" s="25"/>
      <c r="EC197" s="25"/>
      <c r="ED197" s="25"/>
      <c r="EE197" s="157"/>
      <c r="EF197" s="157"/>
      <c r="EG197" s="157"/>
      <c r="EH197" s="157"/>
      <c r="EI197" s="157"/>
      <c r="EJ197" s="157"/>
      <c r="EK197" s="157"/>
      <c r="EL197" s="157"/>
      <c r="EM197" s="157"/>
      <c r="EN197" s="157"/>
      <c r="EO197" s="157"/>
      <c r="EP197" s="157"/>
      <c r="EQ197" s="18"/>
      <c r="ER197" s="18"/>
      <c r="ES197" s="355">
        <f t="shared" si="436"/>
        <v>192</v>
      </c>
      <c r="ET197"/>
      <c r="EU197"/>
      <c r="EV197"/>
      <c r="EW197"/>
      <c r="EX197"/>
      <c r="EY197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</row>
    <row r="198" spans="1:257" s="10" customFormat="1" outlineLevel="1" collapsed="1">
      <c r="A198" s="9" t="s">
        <v>0</v>
      </c>
      <c r="B198" s="158" t="s">
        <v>149</v>
      </c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5"/>
      <c r="BS198" s="25"/>
      <c r="BT198" s="25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  <c r="CO198" s="25"/>
      <c r="CP198" s="25"/>
      <c r="CQ198" s="25"/>
      <c r="CR198" s="25"/>
      <c r="CS198" s="25"/>
      <c r="CT198" s="25"/>
      <c r="CU198" s="25"/>
      <c r="CV198" s="25"/>
      <c r="CW198" s="25"/>
      <c r="CX198" s="25"/>
      <c r="CY198" s="25"/>
      <c r="CZ198" s="25"/>
      <c r="DA198" s="25"/>
      <c r="DB198" s="25"/>
      <c r="DC198" s="25"/>
      <c r="DD198" s="25"/>
      <c r="DE198" s="25"/>
      <c r="DF198" s="25"/>
      <c r="DG198" s="25"/>
      <c r="DH198" s="25"/>
      <c r="DI198" s="25"/>
      <c r="DJ198" s="25"/>
      <c r="DK198" s="25"/>
      <c r="DL198" s="25"/>
      <c r="DM198" s="25"/>
      <c r="DN198" s="25"/>
      <c r="DO198" s="25"/>
      <c r="DP198" s="25"/>
      <c r="DQ198" s="25"/>
      <c r="DR198" s="25"/>
      <c r="DS198" s="25"/>
      <c r="DT198" s="25"/>
      <c r="DU198" s="25"/>
      <c r="DV198" s="25"/>
      <c r="DW198" s="25"/>
      <c r="DX198" s="25"/>
      <c r="DY198" s="25"/>
      <c r="DZ198" s="25"/>
      <c r="EA198" s="25"/>
      <c r="EB198" s="25"/>
      <c r="EC198" s="25"/>
      <c r="ED198" s="25"/>
      <c r="EE198" s="157"/>
      <c r="EF198" s="157"/>
      <c r="EG198" s="157"/>
      <c r="EH198" s="157"/>
      <c r="EI198" s="157"/>
      <c r="EJ198" s="157"/>
      <c r="EK198" s="157"/>
      <c r="EL198" s="157"/>
      <c r="EM198" s="157"/>
      <c r="EN198" s="157"/>
      <c r="EO198" s="157"/>
      <c r="EP198" s="157"/>
      <c r="EQ198" s="18"/>
      <c r="ER198" s="18"/>
      <c r="ES198" s="355">
        <f t="shared" si="436"/>
        <v>193</v>
      </c>
      <c r="ET198"/>
      <c r="EU198"/>
      <c r="EV198"/>
      <c r="EW198"/>
      <c r="EX198"/>
      <c r="EY198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</row>
    <row r="199" spans="1:257" s="4" customFormat="1" hidden="1" outlineLevel="2">
      <c r="A199" s="15"/>
      <c r="B199" s="75" t="s">
        <v>148</v>
      </c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7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DZ199" s="10"/>
      <c r="EA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10"/>
      <c r="EP199" s="10"/>
      <c r="EQ199" s="5"/>
      <c r="ER199" s="5"/>
      <c r="ES199" s="355">
        <f t="shared" si="436"/>
        <v>194</v>
      </c>
      <c r="ET199"/>
      <c r="EU199"/>
      <c r="EV199"/>
      <c r="EW199"/>
      <c r="EX199"/>
      <c r="EY199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</row>
    <row r="200" spans="1:257" s="4" customFormat="1" hidden="1" outlineLevel="2">
      <c r="A200" s="15"/>
      <c r="B200" s="28" t="s">
        <v>146</v>
      </c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62"/>
      <c r="O200" s="62">
        <f t="shared" ref="O200:AF200" si="626">O125</f>
        <v>9.3040000000000003</v>
      </c>
      <c r="P200" s="62">
        <f t="shared" si="626"/>
        <v>7.7649999999999988</v>
      </c>
      <c r="Q200" s="62">
        <f t="shared" si="626"/>
        <v>8.5940000000000012</v>
      </c>
      <c r="R200" s="62">
        <f t="shared" si="626"/>
        <v>12.807</v>
      </c>
      <c r="S200" s="62">
        <f t="shared" si="626"/>
        <v>14.023999999999999</v>
      </c>
      <c r="T200" s="62">
        <f t="shared" si="626"/>
        <v>17.599</v>
      </c>
      <c r="U200" s="62">
        <f t="shared" si="626"/>
        <v>16.812000000000001</v>
      </c>
      <c r="V200" s="62">
        <f t="shared" si="626"/>
        <v>23.798999999999999</v>
      </c>
      <c r="W200" s="62">
        <f t="shared" si="626"/>
        <v>25.066000000000003</v>
      </c>
      <c r="X200" s="62">
        <f t="shared" si="626"/>
        <v>29.901</v>
      </c>
      <c r="Y200" s="62">
        <f t="shared" si="626"/>
        <v>37.07</v>
      </c>
      <c r="Z200" s="62">
        <f t="shared" si="626"/>
        <v>41.573</v>
      </c>
      <c r="AA200" s="62">
        <f t="shared" si="626"/>
        <v>50.768999999999998</v>
      </c>
      <c r="AB200" s="62">
        <f t="shared" si="626"/>
        <v>50.057000000000002</v>
      </c>
      <c r="AC200" s="62">
        <f t="shared" si="626"/>
        <v>50.711999999999996</v>
      </c>
      <c r="AD200" s="62">
        <f t="shared" si="626"/>
        <v>54.575946635730858</v>
      </c>
      <c r="AE200" s="62">
        <f t="shared" si="626"/>
        <v>55.476955824564968</v>
      </c>
      <c r="AF200" s="62">
        <f t="shared" si="626"/>
        <v>57.729542693635167</v>
      </c>
      <c r="AG200" s="17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62">
        <f t="shared" ref="BU200:CZ200" si="627">BU125</f>
        <v>3.4969999999999999</v>
      </c>
      <c r="BV200" s="62">
        <f t="shared" si="627"/>
        <v>3.3370000000000002</v>
      </c>
      <c r="BW200" s="62">
        <f t="shared" si="627"/>
        <v>2.1480000000000001</v>
      </c>
      <c r="BX200" s="62">
        <f t="shared" si="627"/>
        <v>2.1080000000000001</v>
      </c>
      <c r="BY200" s="62">
        <f t="shared" si="627"/>
        <v>1.7110000000000001</v>
      </c>
      <c r="BZ200" s="62">
        <f t="shared" si="627"/>
        <v>1.925</v>
      </c>
      <c r="CA200" s="62">
        <f t="shared" si="627"/>
        <v>1.867</v>
      </c>
      <c r="CB200" s="62">
        <f t="shared" si="627"/>
        <v>1.831</v>
      </c>
      <c r="CC200" s="62">
        <f t="shared" si="627"/>
        <v>2.1419999999999999</v>
      </c>
      <c r="CD200" s="62">
        <f t="shared" si="627"/>
        <v>1.8660000000000001</v>
      </c>
      <c r="CE200" s="62">
        <f t="shared" si="627"/>
        <v>1.839</v>
      </c>
      <c r="CF200" s="62">
        <f t="shared" si="627"/>
        <v>2.3460000000000001</v>
      </c>
      <c r="CG200" s="62">
        <f t="shared" si="627"/>
        <v>2.5430000000000001</v>
      </c>
      <c r="CH200" s="62">
        <f t="shared" si="627"/>
        <v>3.0819999999999999</v>
      </c>
      <c r="CI200" s="62">
        <f t="shared" si="627"/>
        <v>3.9079999999999999</v>
      </c>
      <c r="CJ200" s="62">
        <f t="shared" si="627"/>
        <v>2.903</v>
      </c>
      <c r="CK200" s="62">
        <f t="shared" si="627"/>
        <v>2.9140000000000001</v>
      </c>
      <c r="CL200" s="62">
        <f t="shared" si="627"/>
        <v>3.452</v>
      </c>
      <c r="CM200" s="62">
        <f t="shared" si="627"/>
        <v>3.1509999999999998</v>
      </c>
      <c r="CN200" s="62">
        <f t="shared" si="627"/>
        <v>3.625</v>
      </c>
      <c r="CO200" s="62">
        <f t="shared" si="627"/>
        <v>3.7959999999999998</v>
      </c>
      <c r="CP200" s="62">
        <f t="shared" si="627"/>
        <v>4.3940000000000001</v>
      </c>
      <c r="CQ200" s="62">
        <f t="shared" si="627"/>
        <v>4.2569999999999997</v>
      </c>
      <c r="CR200" s="62">
        <f t="shared" si="627"/>
        <v>4.8010000000000002</v>
      </c>
      <c r="CS200" s="62">
        <f t="shared" si="627"/>
        <v>4.1470000000000002</v>
      </c>
      <c r="CT200" s="62">
        <f t="shared" si="627"/>
        <v>4.4269999999999996</v>
      </c>
      <c r="CU200" s="62">
        <f t="shared" si="627"/>
        <v>4.274</v>
      </c>
      <c r="CV200" s="62">
        <f t="shared" si="627"/>
        <v>4.133</v>
      </c>
      <c r="CW200" s="62">
        <f t="shared" si="627"/>
        <v>3.9780000000000002</v>
      </c>
      <c r="CX200" s="62">
        <f t="shared" si="627"/>
        <v>6.6609999999999996</v>
      </c>
      <c r="CY200" s="62">
        <f t="shared" si="627"/>
        <v>6.0739999999999998</v>
      </c>
      <c r="CZ200" s="62">
        <f t="shared" si="627"/>
        <v>5.4580000000000002</v>
      </c>
      <c r="DA200" s="62">
        <f t="shared" ref="DA200:EA200" si="628">DA125</f>
        <v>5.6059999999999999</v>
      </c>
      <c r="DB200" s="62">
        <f t="shared" si="628"/>
        <v>5.8550000000000004</v>
      </c>
      <c r="DC200" s="62">
        <f t="shared" si="628"/>
        <v>6.3879999999999999</v>
      </c>
      <c r="DD200" s="62">
        <f t="shared" si="628"/>
        <v>6.33</v>
      </c>
      <c r="DE200" s="62">
        <f t="shared" si="628"/>
        <v>6.4930000000000003</v>
      </c>
      <c r="DF200" s="62">
        <f t="shared" si="628"/>
        <v>7.298</v>
      </c>
      <c r="DG200" s="62">
        <f t="shared" si="628"/>
        <v>7.298</v>
      </c>
      <c r="DH200" s="62">
        <f t="shared" si="628"/>
        <v>7.2270000000000003</v>
      </c>
      <c r="DI200" s="62">
        <f t="shared" si="628"/>
        <v>8.0779999999999994</v>
      </c>
      <c r="DJ200" s="62">
        <f t="shared" si="628"/>
        <v>9.3209999999999997</v>
      </c>
      <c r="DK200" s="62">
        <f t="shared" si="628"/>
        <v>9.0570000000000004</v>
      </c>
      <c r="DL200" s="62">
        <f t="shared" si="628"/>
        <v>9.2840000000000007</v>
      </c>
      <c r="DM200" s="62">
        <f t="shared" si="628"/>
        <v>9.4079999999999995</v>
      </c>
      <c r="DN200" s="62">
        <f t="shared" si="628"/>
        <v>9.9570000000000007</v>
      </c>
      <c r="DO200" s="62">
        <f t="shared" si="628"/>
        <v>10.656000000000001</v>
      </c>
      <c r="DP200" s="62">
        <f t="shared" si="628"/>
        <v>9.548</v>
      </c>
      <c r="DQ200" s="62">
        <f t="shared" si="628"/>
        <v>11.412000000000001</v>
      </c>
      <c r="DR200" s="62">
        <f t="shared" si="628"/>
        <v>11.715</v>
      </c>
      <c r="DS200" s="62">
        <f t="shared" si="628"/>
        <v>12.605</v>
      </c>
      <c r="DT200" s="62">
        <f t="shared" si="628"/>
        <v>10.465</v>
      </c>
      <c r="DU200" s="62">
        <f t="shared" si="628"/>
        <v>15.984</v>
      </c>
      <c r="DV200" s="62">
        <f t="shared" si="628"/>
        <v>12.372999999999999</v>
      </c>
      <c r="DW200" s="62">
        <f t="shared" si="628"/>
        <v>12.196</v>
      </c>
      <c r="DX200" s="62">
        <f t="shared" si="628"/>
        <v>14.221</v>
      </c>
      <c r="DY200" s="62">
        <f t="shared" si="628"/>
        <v>11.266999999999999</v>
      </c>
      <c r="DZ200" s="62">
        <f t="shared" si="628"/>
        <v>11.641999999999999</v>
      </c>
      <c r="EA200" s="62">
        <f t="shared" si="628"/>
        <v>12.573</v>
      </c>
      <c r="EB200" s="62">
        <f t="shared" ref="EB200:EC200" si="629">EB125</f>
        <v>13.347</v>
      </c>
      <c r="EC200" s="62">
        <f t="shared" si="629"/>
        <v>13.15</v>
      </c>
      <c r="ED200" s="62">
        <f t="shared" ref="ED200" si="630">ED125</f>
        <v>13.993</v>
      </c>
      <c r="EE200" s="61">
        <f t="shared" ref="EE200:EP200" si="631">ED200/ED$204*EE$204</f>
        <v>13.527648878576951</v>
      </c>
      <c r="EF200" s="61">
        <f t="shared" si="631"/>
        <v>13.527648878576951</v>
      </c>
      <c r="EG200" s="61">
        <f t="shared" si="631"/>
        <v>13.527648878576951</v>
      </c>
      <c r="EH200" s="61">
        <f t="shared" si="631"/>
        <v>13.662925367362721</v>
      </c>
      <c r="EI200" s="61">
        <f t="shared" si="631"/>
        <v>13.79955462103635</v>
      </c>
      <c r="EJ200" s="61">
        <f t="shared" si="631"/>
        <v>13.937550167246714</v>
      </c>
      <c r="EK200" s="61">
        <f t="shared" si="631"/>
        <v>14.076925668919181</v>
      </c>
      <c r="EL200" s="61">
        <f t="shared" si="631"/>
        <v>14.217694925608372</v>
      </c>
      <c r="EM200" s="61">
        <f t="shared" si="631"/>
        <v>14.359871874864456</v>
      </c>
      <c r="EN200" s="61">
        <f t="shared" si="631"/>
        <v>14.5034705936131</v>
      </c>
      <c r="EO200" s="61">
        <f t="shared" si="631"/>
        <v>14.648505299549232</v>
      </c>
      <c r="EP200" s="61">
        <f t="shared" si="631"/>
        <v>14.794990352544723</v>
      </c>
      <c r="EQ200" s="5"/>
      <c r="ER200" s="5"/>
      <c r="ES200" s="355">
        <f t="shared" ref="ES200:ES263" si="632">ES199+1</f>
        <v>195</v>
      </c>
      <c r="ET200"/>
      <c r="EU200"/>
      <c r="EV200"/>
      <c r="EW200"/>
      <c r="EX200"/>
      <c r="EY200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</row>
    <row r="201" spans="1:257" s="4" customFormat="1" hidden="1" outlineLevel="2">
      <c r="A201" s="15"/>
      <c r="B201" s="28" t="s">
        <v>145</v>
      </c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62"/>
      <c r="O201" s="62">
        <f t="shared" ref="O201:AF201" si="633">O159</f>
        <v>2.9390000000000001</v>
      </c>
      <c r="P201" s="62">
        <f t="shared" si="633"/>
        <v>3.2560000000000002</v>
      </c>
      <c r="Q201" s="62">
        <f t="shared" si="633"/>
        <v>3.8249999999999993</v>
      </c>
      <c r="R201" s="62">
        <f t="shared" si="633"/>
        <v>5.9819999999999993</v>
      </c>
      <c r="S201" s="62">
        <f t="shared" si="633"/>
        <v>4.8239999999999998</v>
      </c>
      <c r="T201" s="62">
        <f t="shared" si="633"/>
        <v>4.452</v>
      </c>
      <c r="U201" s="62">
        <f t="shared" si="633"/>
        <v>4.0949999999999998</v>
      </c>
      <c r="V201" s="62">
        <f t="shared" si="633"/>
        <v>5.8209999999999997</v>
      </c>
      <c r="W201" s="62">
        <f t="shared" si="633"/>
        <v>6.0739999999999998</v>
      </c>
      <c r="X201" s="62">
        <f t="shared" si="633"/>
        <v>7.386000000000001</v>
      </c>
      <c r="Y201" s="62">
        <f t="shared" si="633"/>
        <v>8.8490000000000002</v>
      </c>
      <c r="Z201" s="62">
        <f t="shared" si="633"/>
        <v>9.66</v>
      </c>
      <c r="AA201" s="62">
        <f t="shared" si="633"/>
        <v>3.5169999999999999</v>
      </c>
      <c r="AB201" s="62">
        <f t="shared" si="633"/>
        <v>3.464</v>
      </c>
      <c r="AC201" s="62">
        <f t="shared" si="633"/>
        <v>3.7050000000000001</v>
      </c>
      <c r="AD201" s="62">
        <f t="shared" si="633"/>
        <v>4.5437703016241304</v>
      </c>
      <c r="AE201" s="62">
        <f t="shared" si="633"/>
        <v>4.6187846448665901</v>
      </c>
      <c r="AF201" s="62">
        <f t="shared" si="633"/>
        <v>4.8063258227745997</v>
      </c>
      <c r="AG201" s="17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62">
        <f t="shared" ref="BU201:CZ201" si="634">BU159</f>
        <v>0.78400000000000003</v>
      </c>
      <c r="BV201" s="62">
        <f t="shared" si="634"/>
        <v>0.73899999999999999</v>
      </c>
      <c r="BW201" s="62">
        <f t="shared" si="634"/>
        <v>0.84899999999999998</v>
      </c>
      <c r="BX201" s="62">
        <f t="shared" si="634"/>
        <v>0.72499999999999998</v>
      </c>
      <c r="BY201" s="62">
        <f t="shared" si="634"/>
        <v>0.626</v>
      </c>
      <c r="BZ201" s="62">
        <f t="shared" si="634"/>
        <v>0.72899999999999998</v>
      </c>
      <c r="CA201" s="62">
        <f t="shared" si="634"/>
        <v>0.76700000000000002</v>
      </c>
      <c r="CB201" s="62">
        <f t="shared" si="634"/>
        <v>0.79200000000000004</v>
      </c>
      <c r="CC201" s="62">
        <f t="shared" si="634"/>
        <v>0.96799999999999997</v>
      </c>
      <c r="CD201" s="62">
        <f t="shared" si="634"/>
        <v>0.83399999999999996</v>
      </c>
      <c r="CE201" s="62">
        <f t="shared" si="634"/>
        <v>0.81699999999999995</v>
      </c>
      <c r="CF201" s="62">
        <f t="shared" si="634"/>
        <v>1.071</v>
      </c>
      <c r="CG201" s="62">
        <f t="shared" si="634"/>
        <v>1.103</v>
      </c>
      <c r="CH201" s="62">
        <f t="shared" si="634"/>
        <v>1.4370000000000001</v>
      </c>
      <c r="CI201" s="62">
        <f t="shared" si="634"/>
        <v>1.8280000000000001</v>
      </c>
      <c r="CJ201" s="62">
        <f t="shared" si="634"/>
        <v>1.319</v>
      </c>
      <c r="CK201" s="62">
        <f t="shared" si="634"/>
        <v>1.3979999999999999</v>
      </c>
      <c r="CL201" s="62">
        <f t="shared" si="634"/>
        <v>1.458</v>
      </c>
      <c r="CM201" s="62">
        <f t="shared" si="634"/>
        <v>1.5</v>
      </c>
      <c r="CN201" s="62">
        <f t="shared" si="634"/>
        <v>0.90700000000000003</v>
      </c>
      <c r="CO201" s="62">
        <f t="shared" si="634"/>
        <v>0.95899999999999996</v>
      </c>
      <c r="CP201" s="62">
        <f t="shared" si="634"/>
        <v>1.0980000000000001</v>
      </c>
      <c r="CQ201" s="62">
        <f t="shared" si="634"/>
        <v>1.1140000000000001</v>
      </c>
      <c r="CR201" s="62">
        <f t="shared" si="634"/>
        <v>1.276</v>
      </c>
      <c r="CS201" s="62">
        <f t="shared" si="634"/>
        <v>0.96399999999999997</v>
      </c>
      <c r="CT201" s="62">
        <f t="shared" si="634"/>
        <v>1.052</v>
      </c>
      <c r="CU201" s="62">
        <f t="shared" si="634"/>
        <v>1.0640000000000001</v>
      </c>
      <c r="CV201" s="62">
        <f t="shared" si="634"/>
        <v>1.004</v>
      </c>
      <c r="CW201" s="62">
        <f t="shared" si="634"/>
        <v>0.97499999999999998</v>
      </c>
      <c r="CX201" s="62">
        <f t="shared" si="634"/>
        <v>1.63</v>
      </c>
      <c r="CY201" s="62">
        <f t="shared" si="634"/>
        <v>1.478</v>
      </c>
      <c r="CZ201" s="62">
        <f t="shared" si="634"/>
        <v>1.329</v>
      </c>
      <c r="DA201" s="62">
        <f t="shared" ref="DA201:EA201" si="635">DA159</f>
        <v>1.3839999999999999</v>
      </c>
      <c r="DB201" s="62">
        <f t="shared" si="635"/>
        <v>1.41</v>
      </c>
      <c r="DC201" s="62">
        <f t="shared" si="635"/>
        <v>1.5529999999999999</v>
      </c>
      <c r="DD201" s="62">
        <f t="shared" si="635"/>
        <v>1.532</v>
      </c>
      <c r="DE201" s="62">
        <f t="shared" si="635"/>
        <v>1.579</v>
      </c>
      <c r="DF201" s="62">
        <f t="shared" si="635"/>
        <v>1.732</v>
      </c>
      <c r="DG201" s="62">
        <f t="shared" si="635"/>
        <v>1.9550000000000001</v>
      </c>
      <c r="DH201" s="62">
        <f t="shared" si="635"/>
        <v>1.7250000000000001</v>
      </c>
      <c r="DI201" s="62">
        <f t="shared" si="635"/>
        <v>1.974</v>
      </c>
      <c r="DJ201" s="62">
        <f t="shared" si="635"/>
        <v>2.2349999999999999</v>
      </c>
      <c r="DK201" s="62">
        <f t="shared" si="635"/>
        <v>2.1589999999999998</v>
      </c>
      <c r="DL201" s="62">
        <f t="shared" si="635"/>
        <v>2.214</v>
      </c>
      <c r="DM201" s="62">
        <f t="shared" si="635"/>
        <v>2.2410000000000001</v>
      </c>
      <c r="DN201" s="62">
        <f t="shared" si="635"/>
        <v>2.33</v>
      </c>
      <c r="DO201" s="62">
        <f t="shared" si="635"/>
        <v>2.33</v>
      </c>
      <c r="DP201" s="62">
        <f t="shared" si="635"/>
        <v>2.2639999999999998</v>
      </c>
      <c r="DQ201" s="62">
        <f t="shared" si="635"/>
        <v>2.7360000000000002</v>
      </c>
      <c r="DR201" s="62">
        <f t="shared" si="635"/>
        <v>0.82599999999999996</v>
      </c>
      <c r="DS201" s="62">
        <f t="shared" si="635"/>
        <v>0.95399999999999996</v>
      </c>
      <c r="DT201" s="62">
        <f t="shared" si="635"/>
        <v>0.68799999999999994</v>
      </c>
      <c r="DU201" s="62">
        <f t="shared" si="635"/>
        <v>1.0489999999999999</v>
      </c>
      <c r="DV201" s="62">
        <f t="shared" si="635"/>
        <v>0.86199999999999999</v>
      </c>
      <c r="DW201" s="62">
        <f t="shared" si="635"/>
        <v>0.83699999999999997</v>
      </c>
      <c r="DX201" s="62">
        <f t="shared" si="635"/>
        <v>0.97499999999999998</v>
      </c>
      <c r="DY201" s="62">
        <f t="shared" si="635"/>
        <v>0.79</v>
      </c>
      <c r="DZ201" s="62">
        <f t="shared" si="635"/>
        <v>0.91600000000000004</v>
      </c>
      <c r="EA201" s="62">
        <f t="shared" si="635"/>
        <v>0.90200000000000002</v>
      </c>
      <c r="EB201" s="62">
        <f t="shared" ref="EB201:EC201" si="636">EB159</f>
        <v>0.96899999999999997</v>
      </c>
      <c r="EC201" s="62">
        <f t="shared" si="636"/>
        <v>0.91800000000000004</v>
      </c>
      <c r="ED201" s="62">
        <f t="shared" ref="ED201" si="637">ED159</f>
        <v>1.165</v>
      </c>
      <c r="EE201" s="61">
        <f t="shared" ref="EE201:EP201" si="638">ED201/ED$204*EE$204</f>
        <v>1.1262567672080432</v>
      </c>
      <c r="EF201" s="61">
        <f t="shared" si="638"/>
        <v>1.1262567672080432</v>
      </c>
      <c r="EG201" s="61">
        <f t="shared" si="638"/>
        <v>1.1262567672080432</v>
      </c>
      <c r="EH201" s="61">
        <f t="shared" si="638"/>
        <v>1.1375193348801238</v>
      </c>
      <c r="EI201" s="61">
        <f t="shared" si="638"/>
        <v>1.1488945282289251</v>
      </c>
      <c r="EJ201" s="61">
        <f t="shared" si="638"/>
        <v>1.1603834735112144</v>
      </c>
      <c r="EK201" s="61">
        <f t="shared" si="638"/>
        <v>1.1719873082463266</v>
      </c>
      <c r="EL201" s="61">
        <f t="shared" si="638"/>
        <v>1.1837071813287898</v>
      </c>
      <c r="EM201" s="61">
        <f t="shared" si="638"/>
        <v>1.1955442531420777</v>
      </c>
      <c r="EN201" s="61">
        <f t="shared" si="638"/>
        <v>1.2074996956734985</v>
      </c>
      <c r="EO201" s="61">
        <f t="shared" si="638"/>
        <v>1.2195746926302333</v>
      </c>
      <c r="EP201" s="61">
        <f t="shared" si="638"/>
        <v>1.2317704395565356</v>
      </c>
      <c r="EQ201" s="5"/>
      <c r="ER201" s="5"/>
      <c r="ES201" s="355">
        <f t="shared" si="632"/>
        <v>196</v>
      </c>
      <c r="ET201"/>
      <c r="EU201"/>
      <c r="EV201"/>
      <c r="EW201"/>
      <c r="EX201"/>
      <c r="EY20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</row>
    <row r="202" spans="1:257" s="4" customFormat="1" hidden="1" outlineLevel="2">
      <c r="A202" s="15"/>
      <c r="B202" s="28" t="s">
        <v>144</v>
      </c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62"/>
      <c r="O202" s="62">
        <f t="shared" ref="O202:AF202" si="639">O187</f>
        <v>3.11</v>
      </c>
      <c r="P202" s="62">
        <f t="shared" si="639"/>
        <v>2.1440000000000001</v>
      </c>
      <c r="Q202" s="62">
        <f t="shared" si="639"/>
        <v>2.5629999999999997</v>
      </c>
      <c r="R202" s="62">
        <f t="shared" si="639"/>
        <v>3.4360000000000004</v>
      </c>
      <c r="S202" s="62">
        <f t="shared" si="639"/>
        <v>3.2359999999999998</v>
      </c>
      <c r="T202" s="62">
        <f t="shared" si="639"/>
        <v>3.9740000000000002</v>
      </c>
      <c r="U202" s="62">
        <f t="shared" si="639"/>
        <v>2.8920000000000003</v>
      </c>
      <c r="V202" s="62">
        <f t="shared" si="639"/>
        <v>3.2549999999999999</v>
      </c>
      <c r="W202" s="62">
        <f t="shared" si="639"/>
        <v>3.3919999999999999</v>
      </c>
      <c r="X202" s="62">
        <f t="shared" si="639"/>
        <v>3.3180000000000001</v>
      </c>
      <c r="Y202" s="62">
        <f t="shared" si="639"/>
        <v>3.9109999999999996</v>
      </c>
      <c r="Z202" s="62">
        <f t="shared" si="639"/>
        <v>4.3250000000000002</v>
      </c>
      <c r="AA202" s="62">
        <f t="shared" si="639"/>
        <v>3.3420000000000001</v>
      </c>
      <c r="AB202" s="62">
        <f t="shared" si="639"/>
        <v>2.9089999999999998</v>
      </c>
      <c r="AC202" s="62">
        <f t="shared" si="639"/>
        <v>3.0880000000000001</v>
      </c>
      <c r="AD202" s="62">
        <f t="shared" si="639"/>
        <v>4.4150626450116004</v>
      </c>
      <c r="AE202" s="62">
        <f t="shared" si="639"/>
        <v>4.4879521184454756</v>
      </c>
      <c r="AF202" s="62">
        <f t="shared" si="639"/>
        <v>4.670180971142357</v>
      </c>
      <c r="AG202" s="17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62">
        <f t="shared" ref="BU202:CZ202" si="640">BU187</f>
        <v>0.84199999999999997</v>
      </c>
      <c r="BV202" s="62">
        <f t="shared" si="640"/>
        <v>0.71799999999999997</v>
      </c>
      <c r="BW202" s="62">
        <f t="shared" si="640"/>
        <v>0.96399999999999997</v>
      </c>
      <c r="BX202" s="62">
        <f t="shared" si="640"/>
        <v>0.70499999999999996</v>
      </c>
      <c r="BY202" s="62">
        <f t="shared" si="640"/>
        <v>0.72299999999999998</v>
      </c>
      <c r="BZ202" s="62">
        <f t="shared" si="640"/>
        <v>0.628</v>
      </c>
      <c r="CA202" s="62">
        <f t="shared" si="640"/>
        <v>0.56100000000000005</v>
      </c>
      <c r="CB202" s="62">
        <f t="shared" si="640"/>
        <v>0.42799999999999999</v>
      </c>
      <c r="CC202" s="62">
        <f t="shared" si="640"/>
        <v>0.52700000000000002</v>
      </c>
      <c r="CD202" s="62">
        <f t="shared" si="640"/>
        <v>0.65300000000000002</v>
      </c>
      <c r="CE202" s="62">
        <f t="shared" si="640"/>
        <v>0.497</v>
      </c>
      <c r="CF202" s="62">
        <f t="shared" si="640"/>
        <v>0.61899999999999999</v>
      </c>
      <c r="CG202" s="62">
        <f t="shared" si="640"/>
        <v>0.79400000000000004</v>
      </c>
      <c r="CH202" s="62">
        <f t="shared" si="640"/>
        <v>0.60599999999999998</v>
      </c>
      <c r="CI202" s="62">
        <f t="shared" si="640"/>
        <v>0.872</v>
      </c>
      <c r="CJ202" s="62">
        <f t="shared" si="640"/>
        <v>1.028</v>
      </c>
      <c r="CK202" s="62">
        <f t="shared" si="640"/>
        <v>0.93</v>
      </c>
      <c r="CL202" s="62">
        <f t="shared" si="640"/>
        <v>0.56299999999999994</v>
      </c>
      <c r="CM202" s="62">
        <f t="shared" si="640"/>
        <v>1.0309999999999999</v>
      </c>
      <c r="CN202" s="62">
        <f t="shared" si="640"/>
        <v>0.67</v>
      </c>
      <c r="CO202" s="62">
        <f t="shared" si="640"/>
        <v>0.97199999999999998</v>
      </c>
      <c r="CP202" s="62">
        <f t="shared" si="640"/>
        <v>0.93799999999999994</v>
      </c>
      <c r="CQ202" s="62">
        <f t="shared" si="640"/>
        <v>1.3</v>
      </c>
      <c r="CR202" s="62">
        <f t="shared" si="640"/>
        <v>1.1819999999999999</v>
      </c>
      <c r="CS202" s="62">
        <f t="shared" si="640"/>
        <v>0.55400000000000005</v>
      </c>
      <c r="CT202" s="62">
        <f t="shared" si="640"/>
        <v>0.69599999999999995</v>
      </c>
      <c r="CU202" s="62">
        <f t="shared" si="640"/>
        <v>0.78400000000000003</v>
      </c>
      <c r="CV202" s="62">
        <f t="shared" si="640"/>
        <v>0.55500000000000005</v>
      </c>
      <c r="CW202" s="62">
        <f t="shared" si="640"/>
        <v>0.85699999999999998</v>
      </c>
      <c r="CX202" s="62">
        <f t="shared" si="640"/>
        <v>0.69599999999999995</v>
      </c>
      <c r="CY202" s="62">
        <f t="shared" si="640"/>
        <v>1.0169999999999999</v>
      </c>
      <c r="CZ202" s="62">
        <f t="shared" si="640"/>
        <v>0.77100000000000002</v>
      </c>
      <c r="DA202" s="62">
        <f t="shared" ref="DA202:EA202" si="641">DA187</f>
        <v>0.77100000000000002</v>
      </c>
      <c r="DB202" s="62">
        <f t="shared" si="641"/>
        <v>0.86799999999999999</v>
      </c>
      <c r="DC202" s="62">
        <f t="shared" si="641"/>
        <v>0.94</v>
      </c>
      <c r="DD202" s="62">
        <f t="shared" si="641"/>
        <v>0.82499999999999996</v>
      </c>
      <c r="DE202" s="62">
        <f t="shared" si="641"/>
        <v>0.75900000000000001</v>
      </c>
      <c r="DF202" s="62">
        <f t="shared" si="641"/>
        <v>0.77800000000000002</v>
      </c>
      <c r="DG202" s="62">
        <f t="shared" si="641"/>
        <v>0.79500000000000004</v>
      </c>
      <c r="DH202" s="62">
        <f t="shared" si="641"/>
        <v>0.93899999999999995</v>
      </c>
      <c r="DI202" s="62">
        <f t="shared" si="641"/>
        <v>0.80600000000000005</v>
      </c>
      <c r="DJ202" s="62">
        <f t="shared" si="641"/>
        <v>1.0389999999999999</v>
      </c>
      <c r="DK202" s="62">
        <f t="shared" si="641"/>
        <v>0.91</v>
      </c>
      <c r="DL202" s="62">
        <f t="shared" si="641"/>
        <v>0.97599999999999998</v>
      </c>
      <c r="DM202" s="62">
        <f t="shared" si="641"/>
        <v>0.98599999999999999</v>
      </c>
      <c r="DN202" s="62">
        <f t="shared" si="641"/>
        <v>1</v>
      </c>
      <c r="DO202" s="62">
        <f t="shared" si="641"/>
        <v>1</v>
      </c>
      <c r="DP202" s="62">
        <f t="shared" si="641"/>
        <v>1.169</v>
      </c>
      <c r="DQ202" s="62">
        <f t="shared" si="641"/>
        <v>1.1559999999999999</v>
      </c>
      <c r="DR202" s="62">
        <f t="shared" si="641"/>
        <v>0.68700000000000006</v>
      </c>
      <c r="DS202" s="62">
        <f t="shared" si="641"/>
        <v>1.0189999999999999</v>
      </c>
      <c r="DT202" s="62">
        <f t="shared" si="641"/>
        <v>0.78100000000000003</v>
      </c>
      <c r="DU202" s="62">
        <f t="shared" si="641"/>
        <v>0.85499999999999998</v>
      </c>
      <c r="DV202" s="62">
        <f t="shared" si="641"/>
        <v>0.71799999999999997</v>
      </c>
      <c r="DW202" s="62">
        <f t="shared" si="641"/>
        <v>0.88700000000000001</v>
      </c>
      <c r="DX202" s="62">
        <f t="shared" si="641"/>
        <v>0.77200000000000002</v>
      </c>
      <c r="DY202" s="62">
        <f t="shared" si="641"/>
        <v>0.53200000000000003</v>
      </c>
      <c r="DZ202" s="62">
        <f t="shared" si="641"/>
        <v>0.66900000000000004</v>
      </c>
      <c r="EA202" s="62">
        <f t="shared" si="641"/>
        <v>0.92</v>
      </c>
      <c r="EB202" s="62">
        <f t="shared" ref="EB202:EC202" si="642">EB187</f>
        <v>0.71399999999999997</v>
      </c>
      <c r="EC202" s="62">
        <f t="shared" si="642"/>
        <v>0.78500000000000003</v>
      </c>
      <c r="ED202" s="62">
        <f t="shared" ref="ED202" si="643">ED187</f>
        <v>1.1319999999999999</v>
      </c>
      <c r="EE202" s="61">
        <f t="shared" ref="EE202:EP202" si="644">ED202/ED$204*EE$204</f>
        <v>1.0943542150038668</v>
      </c>
      <c r="EF202" s="61">
        <f t="shared" si="644"/>
        <v>1.0943542150038668</v>
      </c>
      <c r="EG202" s="61">
        <f t="shared" si="644"/>
        <v>1.0943542150038668</v>
      </c>
      <c r="EH202" s="61">
        <f t="shared" si="644"/>
        <v>1.1052977571539055</v>
      </c>
      <c r="EI202" s="61">
        <f t="shared" si="644"/>
        <v>1.1163507347254447</v>
      </c>
      <c r="EJ202" s="61">
        <f t="shared" si="644"/>
        <v>1.1275142420726991</v>
      </c>
      <c r="EK202" s="61">
        <f t="shared" si="644"/>
        <v>1.138789384493426</v>
      </c>
      <c r="EL202" s="61">
        <f t="shared" si="644"/>
        <v>1.1501772783383604</v>
      </c>
      <c r="EM202" s="61">
        <f t="shared" si="644"/>
        <v>1.1616790511217441</v>
      </c>
      <c r="EN202" s="61">
        <f t="shared" si="644"/>
        <v>1.1732958416329615</v>
      </c>
      <c r="EO202" s="61">
        <f t="shared" si="644"/>
        <v>1.185028800049291</v>
      </c>
      <c r="EP202" s="61">
        <f t="shared" si="644"/>
        <v>1.1968790880497837</v>
      </c>
      <c r="EQ202" s="5"/>
      <c r="ER202" s="5"/>
      <c r="ES202" s="355">
        <f t="shared" si="632"/>
        <v>197</v>
      </c>
      <c r="ET202"/>
      <c r="EU202"/>
      <c r="EV202"/>
      <c r="EW202"/>
      <c r="EX202"/>
      <c r="EY202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</row>
    <row r="203" spans="1:257" s="4" customFormat="1" hidden="1" outlineLevel="2">
      <c r="A203" s="15"/>
      <c r="B203" s="28" t="s">
        <v>38</v>
      </c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62"/>
      <c r="O203" s="62">
        <f t="shared" ref="O203:AF203" si="645">O204-SUM(O200:O202)</f>
        <v>25.65</v>
      </c>
      <c r="P203" s="62">
        <f t="shared" si="645"/>
        <v>24.495999999999995</v>
      </c>
      <c r="Q203" s="62">
        <f t="shared" si="645"/>
        <v>26.033000000000001</v>
      </c>
      <c r="R203" s="62">
        <f t="shared" si="645"/>
        <v>29.648000000000003</v>
      </c>
      <c r="S203" s="62">
        <f t="shared" si="645"/>
        <v>25.317000000000004</v>
      </c>
      <c r="T203" s="62">
        <f t="shared" si="645"/>
        <v>31.033999999999995</v>
      </c>
      <c r="U203" s="62">
        <f t="shared" si="645"/>
        <v>35.614000000000004</v>
      </c>
      <c r="V203" s="62">
        <f t="shared" si="645"/>
        <v>49.110000000000014</v>
      </c>
      <c r="W203" s="62">
        <f t="shared" si="645"/>
        <v>50.279999999999994</v>
      </c>
      <c r="X203" s="62">
        <f t="shared" si="645"/>
        <v>66.702000000000027</v>
      </c>
      <c r="Y203" s="62">
        <f t="shared" si="645"/>
        <v>76.42</v>
      </c>
      <c r="Z203" s="62">
        <f t="shared" si="645"/>
        <v>79.581000000000003</v>
      </c>
      <c r="AA203" s="62">
        <f t="shared" si="645"/>
        <v>77.278000000000006</v>
      </c>
      <c r="AB203" s="62">
        <f t="shared" si="645"/>
        <v>82.781999999999982</v>
      </c>
      <c r="AC203" s="62">
        <f t="shared" si="645"/>
        <v>90.022695999999996</v>
      </c>
      <c r="AD203" s="62">
        <f t="shared" si="645"/>
        <v>118.01322041763342</v>
      </c>
      <c r="AE203" s="62">
        <f t="shared" si="645"/>
        <v>119.96153286212299</v>
      </c>
      <c r="AF203" s="62">
        <f t="shared" si="645"/>
        <v>124.83245214207196</v>
      </c>
      <c r="AG203" s="17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62">
        <f t="shared" ref="BU203:CZ203" si="646">BU204-SUM(BU200:BU202)</f>
        <v>5.2000000000000011</v>
      </c>
      <c r="BV203" s="62">
        <f t="shared" si="646"/>
        <v>6.1859999999999999</v>
      </c>
      <c r="BW203" s="62">
        <f t="shared" si="646"/>
        <v>7.5749999999999993</v>
      </c>
      <c r="BX203" s="62">
        <f t="shared" si="646"/>
        <v>5.83</v>
      </c>
      <c r="BY203" s="62">
        <f t="shared" si="646"/>
        <v>6.0589999999999993</v>
      </c>
      <c r="BZ203" s="62">
        <f t="shared" si="646"/>
        <v>5.82</v>
      </c>
      <c r="CA203" s="62">
        <f t="shared" si="646"/>
        <v>6.5939999999999994</v>
      </c>
      <c r="CB203" s="62">
        <f t="shared" si="646"/>
        <v>6.4649999999999999</v>
      </c>
      <c r="CC203" s="62">
        <f t="shared" si="646"/>
        <v>5.6169999999999991</v>
      </c>
      <c r="CD203" s="62">
        <f t="shared" si="646"/>
        <v>5.8930000000000007</v>
      </c>
      <c r="CE203" s="62">
        <f t="shared" si="646"/>
        <v>6.44</v>
      </c>
      <c r="CF203" s="62">
        <f t="shared" si="646"/>
        <v>7.6440000000000001</v>
      </c>
      <c r="CG203" s="62">
        <f t="shared" si="646"/>
        <v>6.0560000000000009</v>
      </c>
      <c r="CH203" s="62">
        <f t="shared" si="646"/>
        <v>6.8130000000000006</v>
      </c>
      <c r="CI203" s="62">
        <f t="shared" si="646"/>
        <v>7.3490000000000011</v>
      </c>
      <c r="CJ203" s="62">
        <f t="shared" si="646"/>
        <v>7.7989999999999995</v>
      </c>
      <c r="CK203" s="62">
        <f t="shared" si="646"/>
        <v>7.6870000000000003</v>
      </c>
      <c r="CL203" s="62">
        <f t="shared" si="646"/>
        <v>5.14</v>
      </c>
      <c r="CM203" s="62">
        <f t="shared" si="646"/>
        <v>7.6680000000000001</v>
      </c>
      <c r="CN203" s="62">
        <f t="shared" si="646"/>
        <v>6.3360000000000003</v>
      </c>
      <c r="CO203" s="62">
        <f t="shared" si="646"/>
        <v>6.173</v>
      </c>
      <c r="CP203" s="62">
        <f t="shared" si="646"/>
        <v>7.4730000000000008</v>
      </c>
      <c r="CQ203" s="62">
        <f t="shared" si="646"/>
        <v>7.4190000000000005</v>
      </c>
      <c r="CR203" s="62">
        <f t="shared" si="646"/>
        <v>7.4640000000000004</v>
      </c>
      <c r="CS203" s="62">
        <f t="shared" si="646"/>
        <v>8.677999999999999</v>
      </c>
      <c r="CT203" s="62">
        <f t="shared" si="646"/>
        <v>8.9730000000000008</v>
      </c>
      <c r="CU203" s="62">
        <f t="shared" si="646"/>
        <v>10.312000000000001</v>
      </c>
      <c r="CV203" s="62">
        <f t="shared" si="646"/>
        <v>8.5329999999999995</v>
      </c>
      <c r="CW203" s="62">
        <f t="shared" si="646"/>
        <v>7.7959999999999994</v>
      </c>
      <c r="CX203" s="62">
        <f t="shared" si="646"/>
        <v>11.857000000000001</v>
      </c>
      <c r="CY203" s="62">
        <f t="shared" si="646"/>
        <v>12.275000000000002</v>
      </c>
      <c r="CZ203" s="62">
        <f t="shared" si="646"/>
        <v>12.556000000000001</v>
      </c>
      <c r="DA203" s="62">
        <f t="shared" ref="DA203:EA203" si="647">DA204-SUM(DA200:DA202)</f>
        <v>12.422000000000001</v>
      </c>
      <c r="DB203" s="62">
        <f t="shared" si="647"/>
        <v>11.755999999999998</v>
      </c>
      <c r="DC203" s="62">
        <f t="shared" si="647"/>
        <v>8.884999999999998</v>
      </c>
      <c r="DD203" s="62">
        <f t="shared" si="647"/>
        <v>15.384000000000002</v>
      </c>
      <c r="DE203" s="62">
        <f t="shared" si="647"/>
        <v>14.254999999999997</v>
      </c>
      <c r="DF203" s="62">
        <f t="shared" si="647"/>
        <v>16.355</v>
      </c>
      <c r="DG203" s="62">
        <f t="shared" si="647"/>
        <v>17.756999999999998</v>
      </c>
      <c r="DH203" s="62">
        <f t="shared" si="647"/>
        <v>15.685</v>
      </c>
      <c r="DI203" s="62">
        <f t="shared" si="647"/>
        <v>16.905000000000001</v>
      </c>
      <c r="DJ203" s="62">
        <f t="shared" si="647"/>
        <v>19.826000000000001</v>
      </c>
      <c r="DK203" s="62">
        <f t="shared" si="647"/>
        <v>20.709999999999997</v>
      </c>
      <c r="DL203" s="62">
        <f t="shared" si="647"/>
        <v>18.616</v>
      </c>
      <c r="DM203" s="62">
        <f t="shared" si="647"/>
        <v>17.268000000000001</v>
      </c>
      <c r="DN203" s="62">
        <f t="shared" si="647"/>
        <v>18.956000000000003</v>
      </c>
      <c r="DO203" s="62">
        <f t="shared" si="647"/>
        <v>20.444999999999997</v>
      </c>
      <c r="DP203" s="62">
        <f t="shared" si="647"/>
        <v>21.241</v>
      </c>
      <c r="DQ203" s="62">
        <f t="shared" si="647"/>
        <v>18.939</v>
      </c>
      <c r="DR203" s="62">
        <f t="shared" si="647"/>
        <v>19.678999999999995</v>
      </c>
      <c r="DS203" s="62">
        <f t="shared" si="647"/>
        <v>20.323999999999998</v>
      </c>
      <c r="DT203" s="62">
        <f t="shared" si="647"/>
        <v>17.47</v>
      </c>
      <c r="DU203" s="62">
        <f t="shared" si="647"/>
        <v>19.804999999999996</v>
      </c>
      <c r="DV203" s="62">
        <f t="shared" si="647"/>
        <v>18.120999999999999</v>
      </c>
      <c r="DW203" s="62">
        <f t="shared" si="647"/>
        <v>19.890999999999998</v>
      </c>
      <c r="DX203" s="62">
        <f t="shared" si="647"/>
        <v>23.557000000000006</v>
      </c>
      <c r="DY203" s="62">
        <f t="shared" si="647"/>
        <v>21.213000000000001</v>
      </c>
      <c r="DZ203" s="62">
        <f t="shared" si="647"/>
        <v>21.035</v>
      </c>
      <c r="EA203" s="62">
        <f t="shared" si="647"/>
        <v>19.123999999999999</v>
      </c>
      <c r="EB203" s="62">
        <f t="shared" ref="EB203:EC203" si="648">EB204-SUM(EB200:EB202)</f>
        <v>24.385695999999996</v>
      </c>
      <c r="EC203" s="62">
        <f t="shared" si="648"/>
        <v>25.478000000000002</v>
      </c>
      <c r="ED203" s="62">
        <f t="shared" ref="ED203" si="649">ED204-SUM(ED200:ED202)</f>
        <v>30.257999999999999</v>
      </c>
      <c r="EE203" s="61">
        <f t="shared" ref="EE203:EP203" si="650">ED203/ED$204*EE$204</f>
        <v>29.251740139211137</v>
      </c>
      <c r="EF203" s="61">
        <f t="shared" si="650"/>
        <v>29.251740139211137</v>
      </c>
      <c r="EG203" s="61">
        <f t="shared" si="650"/>
        <v>29.251740139211137</v>
      </c>
      <c r="EH203" s="61">
        <f t="shared" si="650"/>
        <v>29.544257540603251</v>
      </c>
      <c r="EI203" s="61">
        <f t="shared" si="650"/>
        <v>29.839700116009286</v>
      </c>
      <c r="EJ203" s="61">
        <f t="shared" si="650"/>
        <v>30.13809711716938</v>
      </c>
      <c r="EK203" s="61">
        <f t="shared" si="650"/>
        <v>30.439478088341072</v>
      </c>
      <c r="EL203" s="61">
        <f t="shared" si="650"/>
        <v>30.743872869224482</v>
      </c>
      <c r="EM203" s="61">
        <f t="shared" si="650"/>
        <v>31.05131159791673</v>
      </c>
      <c r="EN203" s="61">
        <f t="shared" si="650"/>
        <v>31.361824713895892</v>
      </c>
      <c r="EO203" s="61">
        <f t="shared" si="650"/>
        <v>31.675442961034854</v>
      </c>
      <c r="EP203" s="61">
        <f t="shared" si="650"/>
        <v>31.992197390645199</v>
      </c>
      <c r="EQ203" s="5"/>
      <c r="ER203" s="5"/>
      <c r="ES203" s="355">
        <f t="shared" si="632"/>
        <v>198</v>
      </c>
      <c r="ET203"/>
      <c r="EU203"/>
      <c r="EV203"/>
      <c r="EW203"/>
      <c r="EX203"/>
      <c r="EY203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</row>
    <row r="204" spans="1:257" s="4" customFormat="1" hidden="1" outlineLevel="2">
      <c r="A204" s="15"/>
      <c r="B204" s="75" t="s">
        <v>143</v>
      </c>
      <c r="C204" s="154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3"/>
      <c r="O204" s="153">
        <f t="shared" ref="O204:AF204" si="651">-O30</f>
        <v>41.003</v>
      </c>
      <c r="P204" s="153">
        <f t="shared" si="651"/>
        <v>37.660999999999994</v>
      </c>
      <c r="Q204" s="153">
        <f t="shared" si="651"/>
        <v>41.015000000000001</v>
      </c>
      <c r="R204" s="153">
        <f t="shared" si="651"/>
        <v>51.873000000000005</v>
      </c>
      <c r="S204" s="153">
        <f t="shared" si="651"/>
        <v>47.401000000000003</v>
      </c>
      <c r="T204" s="153">
        <f t="shared" si="651"/>
        <v>57.058999999999997</v>
      </c>
      <c r="U204" s="153">
        <f t="shared" si="651"/>
        <v>59.413000000000004</v>
      </c>
      <c r="V204" s="153">
        <f t="shared" si="651"/>
        <v>81.985000000000014</v>
      </c>
      <c r="W204" s="153">
        <f t="shared" si="651"/>
        <v>84.811999999999998</v>
      </c>
      <c r="X204" s="153">
        <f t="shared" si="651"/>
        <v>107.30700000000002</v>
      </c>
      <c r="Y204" s="153">
        <f t="shared" si="651"/>
        <v>126.25</v>
      </c>
      <c r="Z204" s="153">
        <f t="shared" si="651"/>
        <v>135.13900000000001</v>
      </c>
      <c r="AA204" s="153">
        <f t="shared" si="651"/>
        <v>134.90600000000001</v>
      </c>
      <c r="AB204" s="153">
        <f t="shared" si="651"/>
        <v>139.21199999999999</v>
      </c>
      <c r="AC204" s="153">
        <f t="shared" si="651"/>
        <v>147.52769599999999</v>
      </c>
      <c r="AD204" s="153">
        <f t="shared" si="651"/>
        <v>181.548</v>
      </c>
      <c r="AE204" s="153">
        <f t="shared" si="651"/>
        <v>184.54522545000003</v>
      </c>
      <c r="AF204" s="153">
        <f t="shared" si="651"/>
        <v>192.03850162962408</v>
      </c>
      <c r="AG204" s="155"/>
      <c r="AH204" s="154"/>
      <c r="AI204" s="154"/>
      <c r="AJ204" s="154"/>
      <c r="AK204" s="154"/>
      <c r="AL204" s="154"/>
      <c r="AM204" s="154"/>
      <c r="AN204" s="154"/>
      <c r="AO204" s="154"/>
      <c r="AP204" s="154"/>
      <c r="AQ204" s="154"/>
      <c r="AR204" s="154"/>
      <c r="AS204" s="154"/>
      <c r="AT204" s="154"/>
      <c r="AU204" s="154"/>
      <c r="AV204" s="154"/>
      <c r="AW204" s="154"/>
      <c r="AX204" s="156"/>
      <c r="AY204" s="156"/>
      <c r="AZ204" s="156"/>
      <c r="BA204" s="156"/>
      <c r="BB204" s="156"/>
      <c r="BC204" s="156"/>
      <c r="BD204" s="156"/>
      <c r="BE204" s="156"/>
      <c r="BF204" s="156"/>
      <c r="BG204" s="156"/>
      <c r="BH204" s="156"/>
      <c r="BI204" s="156"/>
      <c r="BJ204" s="156"/>
      <c r="BK204" s="156"/>
      <c r="BL204" s="156"/>
      <c r="BM204" s="156"/>
      <c r="BN204" s="156"/>
      <c r="BO204" s="156"/>
      <c r="BP204" s="156"/>
      <c r="BQ204" s="156"/>
      <c r="BR204" s="156"/>
      <c r="BS204" s="156"/>
      <c r="BT204" s="156"/>
      <c r="BU204" s="156">
        <f t="shared" ref="BU204:CZ204" si="652">-BU30</f>
        <v>10.323</v>
      </c>
      <c r="BV204" s="153">
        <f t="shared" si="652"/>
        <v>10.98</v>
      </c>
      <c r="BW204" s="153">
        <f t="shared" si="652"/>
        <v>11.536</v>
      </c>
      <c r="BX204" s="153">
        <f t="shared" si="652"/>
        <v>9.3680000000000003</v>
      </c>
      <c r="BY204" s="153">
        <f t="shared" si="652"/>
        <v>9.1189999999999998</v>
      </c>
      <c r="BZ204" s="153">
        <f t="shared" si="652"/>
        <v>9.1020000000000003</v>
      </c>
      <c r="CA204" s="153">
        <f t="shared" si="652"/>
        <v>9.7889999999999997</v>
      </c>
      <c r="CB204" s="153">
        <f t="shared" si="652"/>
        <v>9.516</v>
      </c>
      <c r="CC204" s="153">
        <f t="shared" si="652"/>
        <v>9.2539999999999996</v>
      </c>
      <c r="CD204" s="153">
        <f t="shared" si="652"/>
        <v>9.2460000000000004</v>
      </c>
      <c r="CE204" s="153">
        <f t="shared" si="652"/>
        <v>9.593</v>
      </c>
      <c r="CF204" s="153">
        <f t="shared" si="652"/>
        <v>11.68</v>
      </c>
      <c r="CG204" s="153">
        <f t="shared" si="652"/>
        <v>10.496</v>
      </c>
      <c r="CH204" s="153">
        <f t="shared" si="652"/>
        <v>11.938000000000001</v>
      </c>
      <c r="CI204" s="153">
        <f t="shared" si="652"/>
        <v>13.957000000000001</v>
      </c>
      <c r="CJ204" s="153">
        <f t="shared" si="652"/>
        <v>13.048999999999999</v>
      </c>
      <c r="CK204" s="153">
        <f t="shared" si="652"/>
        <v>12.929</v>
      </c>
      <c r="CL204" s="153">
        <f t="shared" si="652"/>
        <v>10.613</v>
      </c>
      <c r="CM204" s="153">
        <f t="shared" si="652"/>
        <v>13.35</v>
      </c>
      <c r="CN204" s="153">
        <f t="shared" si="652"/>
        <v>11.538</v>
      </c>
      <c r="CO204" s="153">
        <f t="shared" si="652"/>
        <v>11.9</v>
      </c>
      <c r="CP204" s="153">
        <f t="shared" si="652"/>
        <v>13.903</v>
      </c>
      <c r="CQ204" s="153">
        <f t="shared" si="652"/>
        <v>14.09</v>
      </c>
      <c r="CR204" s="153">
        <f t="shared" si="652"/>
        <v>14.723000000000001</v>
      </c>
      <c r="CS204" s="153">
        <f t="shared" si="652"/>
        <v>14.343</v>
      </c>
      <c r="CT204" s="153">
        <f t="shared" si="652"/>
        <v>15.148</v>
      </c>
      <c r="CU204" s="153">
        <f t="shared" si="652"/>
        <v>16.434000000000001</v>
      </c>
      <c r="CV204" s="153">
        <f t="shared" si="652"/>
        <v>14.225</v>
      </c>
      <c r="CW204" s="153">
        <f t="shared" si="652"/>
        <v>13.606</v>
      </c>
      <c r="CX204" s="153">
        <f t="shared" si="652"/>
        <v>20.844000000000001</v>
      </c>
      <c r="CY204" s="153">
        <f t="shared" si="652"/>
        <v>20.844000000000001</v>
      </c>
      <c r="CZ204" s="153">
        <f t="shared" si="652"/>
        <v>20.114000000000001</v>
      </c>
      <c r="DA204" s="153">
        <f t="shared" ref="DA204:EF204" si="653">-DA30</f>
        <v>20.183</v>
      </c>
      <c r="DB204" s="153">
        <f t="shared" si="653"/>
        <v>19.888999999999999</v>
      </c>
      <c r="DC204" s="153">
        <f t="shared" si="653"/>
        <v>17.765999999999998</v>
      </c>
      <c r="DD204" s="153">
        <f t="shared" si="653"/>
        <v>24.071000000000002</v>
      </c>
      <c r="DE204" s="153">
        <f t="shared" si="653"/>
        <v>23.085999999999999</v>
      </c>
      <c r="DF204" s="153">
        <f t="shared" si="653"/>
        <v>26.163</v>
      </c>
      <c r="DG204" s="153">
        <f t="shared" si="653"/>
        <v>27.805</v>
      </c>
      <c r="DH204" s="153">
        <f t="shared" si="653"/>
        <v>25.576000000000001</v>
      </c>
      <c r="DI204" s="153">
        <f t="shared" si="653"/>
        <v>27.763000000000002</v>
      </c>
      <c r="DJ204" s="153">
        <f t="shared" si="653"/>
        <v>32.420999999999999</v>
      </c>
      <c r="DK204" s="153">
        <f t="shared" si="653"/>
        <v>32.835999999999999</v>
      </c>
      <c r="DL204" s="153">
        <f t="shared" si="653"/>
        <v>31.09</v>
      </c>
      <c r="DM204" s="153">
        <f t="shared" si="653"/>
        <v>29.902999999999999</v>
      </c>
      <c r="DN204" s="153">
        <f t="shared" si="653"/>
        <v>32.243000000000002</v>
      </c>
      <c r="DO204" s="153">
        <f t="shared" si="653"/>
        <v>34.430999999999997</v>
      </c>
      <c r="DP204" s="153">
        <f t="shared" si="653"/>
        <v>34.222000000000001</v>
      </c>
      <c r="DQ204" s="153">
        <f t="shared" si="653"/>
        <v>34.243000000000002</v>
      </c>
      <c r="DR204" s="153">
        <f t="shared" si="653"/>
        <v>32.906999999999996</v>
      </c>
      <c r="DS204" s="153">
        <f t="shared" si="653"/>
        <v>34.902000000000001</v>
      </c>
      <c r="DT204" s="153">
        <f t="shared" si="653"/>
        <v>29.404</v>
      </c>
      <c r="DU204" s="153">
        <f t="shared" si="653"/>
        <v>37.692999999999998</v>
      </c>
      <c r="DV204" s="153">
        <f t="shared" si="653"/>
        <v>32.073999999999998</v>
      </c>
      <c r="DW204" s="153">
        <f t="shared" si="653"/>
        <v>33.811</v>
      </c>
      <c r="DX204" s="153">
        <f t="shared" si="653"/>
        <v>39.525000000000006</v>
      </c>
      <c r="DY204" s="153">
        <f t="shared" si="653"/>
        <v>33.802</v>
      </c>
      <c r="DZ204" s="153">
        <f t="shared" si="653"/>
        <v>34.262</v>
      </c>
      <c r="EA204" s="153">
        <f t="shared" si="653"/>
        <v>33.518999999999998</v>
      </c>
      <c r="EB204" s="153">
        <f t="shared" ref="EB204:EC204" si="654">-EB30</f>
        <v>39.415695999999997</v>
      </c>
      <c r="EC204" s="153">
        <f t="shared" si="654"/>
        <v>40.331000000000003</v>
      </c>
      <c r="ED204" s="153">
        <f t="shared" ref="ED204" si="655">-ED30</f>
        <v>46.548000000000002</v>
      </c>
      <c r="EE204" s="153">
        <f t="shared" si="653"/>
        <v>45</v>
      </c>
      <c r="EF204" s="153">
        <f t="shared" si="653"/>
        <v>45</v>
      </c>
      <c r="EG204" s="153">
        <f t="shared" ref="EG204:EP204" si="656">-EG30</f>
        <v>45</v>
      </c>
      <c r="EH204" s="153">
        <f t="shared" si="656"/>
        <v>45.45</v>
      </c>
      <c r="EI204" s="153">
        <f t="shared" si="656"/>
        <v>45.904500000000006</v>
      </c>
      <c r="EJ204" s="153">
        <f t="shared" si="656"/>
        <v>46.363545000000009</v>
      </c>
      <c r="EK204" s="153">
        <f t="shared" si="656"/>
        <v>46.827180450000007</v>
      </c>
      <c r="EL204" s="153">
        <f t="shared" si="656"/>
        <v>47.295452254500006</v>
      </c>
      <c r="EM204" s="153">
        <f t="shared" si="656"/>
        <v>47.768406777045008</v>
      </c>
      <c r="EN204" s="153">
        <f t="shared" si="656"/>
        <v>48.246090844815456</v>
      </c>
      <c r="EO204" s="153">
        <f t="shared" si="656"/>
        <v>48.728551753263609</v>
      </c>
      <c r="EP204" s="153">
        <f t="shared" si="656"/>
        <v>49.215837270796243</v>
      </c>
      <c r="EQ204" s="81"/>
      <c r="ER204" s="81"/>
      <c r="ES204" s="355">
        <f t="shared" si="632"/>
        <v>199</v>
      </c>
      <c r="ET204"/>
      <c r="EU204"/>
      <c r="EV204"/>
      <c r="EW204"/>
      <c r="EX204"/>
      <c r="EY204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</row>
    <row r="205" spans="1:257" s="4" customFormat="1" hidden="1" outlineLevel="2">
      <c r="A205" s="15"/>
      <c r="B205" s="65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7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  <c r="DV205" s="10"/>
      <c r="DW205" s="10"/>
      <c r="DX205" s="10"/>
      <c r="DY205" s="10"/>
      <c r="DZ205" s="10"/>
      <c r="EA205" s="10"/>
      <c r="EB205" s="10"/>
      <c r="EC205" s="10"/>
      <c r="ED205" s="10"/>
      <c r="EE205" s="10"/>
      <c r="EF205" s="10"/>
      <c r="EG205" s="10"/>
      <c r="EH205" s="10"/>
      <c r="EI205" s="10"/>
      <c r="EJ205" s="10"/>
      <c r="EK205" s="10"/>
      <c r="EL205" s="10"/>
      <c r="EM205" s="10"/>
      <c r="EN205" s="10"/>
      <c r="EO205" s="10"/>
      <c r="EP205" s="10"/>
      <c r="EQ205" s="5"/>
      <c r="ER205" s="5"/>
      <c r="ES205" s="355">
        <f t="shared" si="632"/>
        <v>200</v>
      </c>
      <c r="ET205"/>
      <c r="EU205"/>
      <c r="EV205"/>
      <c r="EW205"/>
      <c r="EX205"/>
      <c r="EY205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</row>
    <row r="206" spans="1:257" s="4" customFormat="1" hidden="1" outlineLevel="2">
      <c r="A206" s="15"/>
      <c r="B206" s="75" t="s">
        <v>147</v>
      </c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7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  <c r="DV206" s="10"/>
      <c r="DW206" s="10"/>
      <c r="DX206" s="10"/>
      <c r="DY206" s="10"/>
      <c r="DZ206" s="10"/>
      <c r="EA206" s="10"/>
      <c r="EB206" s="10"/>
      <c r="EC206" s="10"/>
      <c r="ED206" s="10"/>
      <c r="EE206" s="10"/>
      <c r="EF206" s="10"/>
      <c r="EG206" s="10"/>
      <c r="EH206" s="10"/>
      <c r="EI206" s="10"/>
      <c r="EJ206" s="10"/>
      <c r="EK206" s="10"/>
      <c r="EL206" s="10"/>
      <c r="EM206" s="10"/>
      <c r="EN206" s="10"/>
      <c r="EO206" s="10"/>
      <c r="EP206" s="10"/>
      <c r="EQ206" s="5"/>
      <c r="ER206" s="5"/>
      <c r="ES206" s="355">
        <f t="shared" si="632"/>
        <v>201</v>
      </c>
      <c r="ET206"/>
      <c r="EU206"/>
      <c r="EV206"/>
      <c r="EW206"/>
      <c r="EX206"/>
      <c r="EY206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</row>
    <row r="207" spans="1:257" s="4" customFormat="1" hidden="1" outlineLevel="2">
      <c r="A207" s="15"/>
      <c r="B207" s="28" t="s">
        <v>146</v>
      </c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62"/>
      <c r="O207" s="62">
        <f t="shared" ref="O207:AF207" si="657">O126</f>
        <v>44.725999999999999</v>
      </c>
      <c r="P207" s="62">
        <f t="shared" si="657"/>
        <v>56.527999999999999</v>
      </c>
      <c r="Q207" s="62">
        <f t="shared" si="657"/>
        <v>60.222000000000001</v>
      </c>
      <c r="R207" s="62">
        <f t="shared" si="657"/>
        <v>66.12700000000001</v>
      </c>
      <c r="S207" s="62">
        <f t="shared" si="657"/>
        <v>106.107</v>
      </c>
      <c r="T207" s="62">
        <f t="shared" si="657"/>
        <v>161.89300000000003</v>
      </c>
      <c r="U207" s="62">
        <f t="shared" si="657"/>
        <v>187.25900000000001</v>
      </c>
      <c r="V207" s="62">
        <f t="shared" si="657"/>
        <v>211.65199999999999</v>
      </c>
      <c r="W207" s="62">
        <f t="shared" si="657"/>
        <v>264.12700000000001</v>
      </c>
      <c r="X207" s="62">
        <f t="shared" si="657"/>
        <v>337.58100000000002</v>
      </c>
      <c r="Y207" s="62">
        <f t="shared" si="657"/>
        <v>391.072</v>
      </c>
      <c r="Z207" s="62">
        <f t="shared" si="657"/>
        <v>438.93400000000003</v>
      </c>
      <c r="AA207" s="62">
        <f t="shared" si="657"/>
        <v>489.95000000000005</v>
      </c>
      <c r="AB207" s="62">
        <f t="shared" si="657"/>
        <v>470.13699999999994</v>
      </c>
      <c r="AC207" s="62">
        <f t="shared" si="657"/>
        <v>466.08600000000001</v>
      </c>
      <c r="AD207" s="62">
        <f t="shared" si="657"/>
        <v>466.65283000515058</v>
      </c>
      <c r="AE207" s="62">
        <f t="shared" si="657"/>
        <v>468.43801475719289</v>
      </c>
      <c r="AF207" s="62">
        <f t="shared" si="657"/>
        <v>460.81651627667742</v>
      </c>
      <c r="AG207" s="17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62">
        <f t="shared" ref="BU207:CZ207" si="658">BU126</f>
        <v>7.7679999999999998</v>
      </c>
      <c r="BV207" s="62">
        <f t="shared" si="658"/>
        <v>8.9499999999999993</v>
      </c>
      <c r="BW207" s="62">
        <f t="shared" si="658"/>
        <v>10.484</v>
      </c>
      <c r="BX207" s="62">
        <f t="shared" si="658"/>
        <v>11.936</v>
      </c>
      <c r="BY207" s="62">
        <f t="shared" si="658"/>
        <v>13.356</v>
      </c>
      <c r="BZ207" s="62">
        <f t="shared" si="658"/>
        <v>13.063000000000001</v>
      </c>
      <c r="CA207" s="62">
        <f t="shared" si="658"/>
        <v>13.92</v>
      </c>
      <c r="CB207" s="62">
        <f t="shared" si="658"/>
        <v>14.448</v>
      </c>
      <c r="CC207" s="62">
        <f t="shared" si="658"/>
        <v>15.097</v>
      </c>
      <c r="CD207" s="62">
        <f t="shared" si="658"/>
        <v>14.756</v>
      </c>
      <c r="CE207" s="62">
        <f t="shared" si="658"/>
        <v>15.063000000000001</v>
      </c>
      <c r="CF207" s="62">
        <f t="shared" si="658"/>
        <v>14.491</v>
      </c>
      <c r="CG207" s="62">
        <f t="shared" si="658"/>
        <v>15.912000000000001</v>
      </c>
      <c r="CH207" s="62">
        <f t="shared" si="658"/>
        <v>14.465999999999999</v>
      </c>
      <c r="CI207" s="62">
        <f t="shared" si="658"/>
        <v>14.832000000000001</v>
      </c>
      <c r="CJ207" s="62">
        <f t="shared" si="658"/>
        <v>16.158999999999999</v>
      </c>
      <c r="CK207" s="62">
        <f t="shared" si="658"/>
        <v>20.67</v>
      </c>
      <c r="CL207" s="62">
        <f t="shared" si="658"/>
        <v>20.683</v>
      </c>
      <c r="CM207" s="62">
        <f t="shared" si="658"/>
        <v>23.812999999999999</v>
      </c>
      <c r="CN207" s="62">
        <f t="shared" si="658"/>
        <v>27.512</v>
      </c>
      <c r="CO207" s="62">
        <f t="shared" si="658"/>
        <v>34.098999999999997</v>
      </c>
      <c r="CP207" s="62">
        <f t="shared" si="658"/>
        <v>33.844000000000001</v>
      </c>
      <c r="CQ207" s="62">
        <f t="shared" si="658"/>
        <v>35.509</v>
      </c>
      <c r="CR207" s="62">
        <f t="shared" si="658"/>
        <v>39.770000000000003</v>
      </c>
      <c r="CS207" s="62">
        <f t="shared" si="658"/>
        <v>52.77</v>
      </c>
      <c r="CT207" s="62">
        <f t="shared" si="658"/>
        <v>43.423000000000002</v>
      </c>
      <c r="CU207" s="62">
        <f t="shared" si="658"/>
        <v>45.277000000000001</v>
      </c>
      <c r="CV207" s="62">
        <f t="shared" si="658"/>
        <v>48.591000000000001</v>
      </c>
      <c r="CW207" s="62">
        <f t="shared" si="658"/>
        <v>49.968000000000004</v>
      </c>
      <c r="CX207" s="62">
        <f t="shared" si="658"/>
        <v>48.53</v>
      </c>
      <c r="CY207" s="62">
        <f t="shared" si="658"/>
        <v>51.218000000000004</v>
      </c>
      <c r="CZ207" s="62">
        <f t="shared" si="658"/>
        <v>51.686</v>
      </c>
      <c r="DA207" s="62">
        <f t="shared" ref="DA207:EA207" si="659">DA126</f>
        <v>60.218000000000004</v>
      </c>
      <c r="DB207" s="62">
        <f t="shared" si="659"/>
        <v>60.363999999999997</v>
      </c>
      <c r="DC207" s="62">
        <f t="shared" si="659"/>
        <v>63.948</v>
      </c>
      <c r="DD207" s="62">
        <f t="shared" si="659"/>
        <v>66.899000000000001</v>
      </c>
      <c r="DE207" s="62">
        <f t="shared" si="659"/>
        <v>72.915999999999997</v>
      </c>
      <c r="DF207" s="62">
        <f t="shared" si="659"/>
        <v>73.468999999999994</v>
      </c>
      <c r="DG207" s="62">
        <f t="shared" si="659"/>
        <v>77.751999999999995</v>
      </c>
      <c r="DH207" s="62">
        <f t="shared" si="659"/>
        <v>81.456999999999994</v>
      </c>
      <c r="DI207" s="62">
        <f t="shared" si="659"/>
        <v>104.90300000000001</v>
      </c>
      <c r="DJ207" s="62">
        <f t="shared" si="659"/>
        <v>91.253</v>
      </c>
      <c r="DK207" s="62">
        <f t="shared" si="659"/>
        <v>96.484999999999999</v>
      </c>
      <c r="DL207" s="62">
        <f t="shared" si="659"/>
        <v>101.294</v>
      </c>
      <c r="DM207" s="62">
        <f t="shared" si="659"/>
        <v>102.04</v>
      </c>
      <c r="DN207" s="62">
        <f t="shared" si="659"/>
        <v>103.57899999999999</v>
      </c>
      <c r="DO207" s="62">
        <f t="shared" si="659"/>
        <v>107.726</v>
      </c>
      <c r="DP207" s="62">
        <f t="shared" si="659"/>
        <v>112.639</v>
      </c>
      <c r="DQ207" s="62">
        <f t="shared" si="659"/>
        <v>114.99000000000001</v>
      </c>
      <c r="DR207" s="62">
        <f t="shared" si="659"/>
        <v>119.084</v>
      </c>
      <c r="DS207" s="62">
        <f t="shared" si="659"/>
        <v>128.50299999999999</v>
      </c>
      <c r="DT207" s="62">
        <f t="shared" si="659"/>
        <v>121.307</v>
      </c>
      <c r="DU207" s="62">
        <f t="shared" si="659"/>
        <v>121.05600000000001</v>
      </c>
      <c r="DV207" s="62">
        <f t="shared" si="659"/>
        <v>120.35899999999999</v>
      </c>
      <c r="DW207" s="62">
        <f t="shared" si="659"/>
        <v>118.682</v>
      </c>
      <c r="DX207" s="62">
        <f t="shared" si="659"/>
        <v>116.06100000000001</v>
      </c>
      <c r="DY207" s="62">
        <f t="shared" si="659"/>
        <v>115.035</v>
      </c>
      <c r="DZ207" s="62">
        <f t="shared" si="659"/>
        <v>112.276</v>
      </c>
      <c r="EA207" s="62">
        <f t="shared" si="659"/>
        <v>113.995</v>
      </c>
      <c r="EB207" s="62">
        <f t="shared" ref="EB207:EC207" si="660">EB126</f>
        <v>122.777</v>
      </c>
      <c r="EC207" s="62">
        <f t="shared" si="660"/>
        <v>117.03799999999998</v>
      </c>
      <c r="ED207" s="62">
        <f t="shared" ref="ED207" si="661">ED126</f>
        <v>116.63799999999999</v>
      </c>
      <c r="EE207" s="61">
        <f t="shared" ref="EE207:EP207" si="662">EE$211*ED207/SUM(ED$207:ED$210)</f>
        <v>116.69714749351421</v>
      </c>
      <c r="EF207" s="61">
        <f t="shared" si="662"/>
        <v>116.31676910551415</v>
      </c>
      <c r="EG207" s="61">
        <f t="shared" si="662"/>
        <v>117.00091340612219</v>
      </c>
      <c r="EH207" s="61">
        <f t="shared" si="662"/>
        <v>117.65917588481625</v>
      </c>
      <c r="EI207" s="61">
        <f t="shared" si="662"/>
        <v>117.32312723728825</v>
      </c>
      <c r="EJ207" s="61">
        <f t="shared" si="662"/>
        <v>116.97211479030956</v>
      </c>
      <c r="EK207" s="61">
        <f t="shared" si="662"/>
        <v>116.48359684477883</v>
      </c>
      <c r="EL207" s="61">
        <f t="shared" si="662"/>
        <v>115.98290523918321</v>
      </c>
      <c r="EM207" s="61">
        <f t="shared" si="662"/>
        <v>115.47076244153878</v>
      </c>
      <c r="EN207" s="61">
        <f t="shared" si="662"/>
        <v>114.94788178071522</v>
      </c>
      <c r="EO207" s="61">
        <f t="shared" si="662"/>
        <v>114.41496681524025</v>
      </c>
      <c r="EP207" s="61">
        <f t="shared" si="662"/>
        <v>113.87271073474906</v>
      </c>
      <c r="EQ207" s="5"/>
      <c r="ER207" s="5"/>
      <c r="ES207" s="355">
        <f t="shared" si="632"/>
        <v>202</v>
      </c>
      <c r="ET207"/>
      <c r="EU207"/>
      <c r="EV207"/>
      <c r="EW207"/>
      <c r="EX207"/>
      <c r="EY207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</row>
    <row r="208" spans="1:257" s="4" customFormat="1" hidden="1" outlineLevel="2">
      <c r="A208" s="15"/>
      <c r="B208" s="28" t="s">
        <v>145</v>
      </c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62"/>
      <c r="O208" s="62">
        <f t="shared" ref="O208:AF208" si="663">O160</f>
        <v>12.798999999999999</v>
      </c>
      <c r="P208" s="62">
        <f t="shared" si="663"/>
        <v>12.106999999999999</v>
      </c>
      <c r="Q208" s="62">
        <f t="shared" si="663"/>
        <v>10.602</v>
      </c>
      <c r="R208" s="62">
        <f t="shared" si="663"/>
        <v>11.372</v>
      </c>
      <c r="S208" s="62">
        <f t="shared" si="663"/>
        <v>10.687000000000001</v>
      </c>
      <c r="T208" s="62">
        <f t="shared" si="663"/>
        <v>12.152000000000001</v>
      </c>
      <c r="U208" s="62">
        <f t="shared" si="663"/>
        <v>11.872</v>
      </c>
      <c r="V208" s="62">
        <f t="shared" si="663"/>
        <v>12.519000000000002</v>
      </c>
      <c r="W208" s="62">
        <f t="shared" si="663"/>
        <v>14.684000000000001</v>
      </c>
      <c r="X208" s="62">
        <f t="shared" si="663"/>
        <v>13.455000000000002</v>
      </c>
      <c r="Y208" s="62">
        <f t="shared" si="663"/>
        <v>13.766</v>
      </c>
      <c r="Z208" s="62">
        <f t="shared" si="663"/>
        <v>12.724</v>
      </c>
      <c r="AA208" s="62">
        <f t="shared" si="663"/>
        <v>11.658999999999999</v>
      </c>
      <c r="AB208" s="62">
        <f t="shared" si="663"/>
        <v>12.495000000000001</v>
      </c>
      <c r="AC208" s="62">
        <f t="shared" si="663"/>
        <v>11.763999999999999</v>
      </c>
      <c r="AD208" s="62">
        <f t="shared" si="663"/>
        <v>9.4180349614373053</v>
      </c>
      <c r="AE208" s="62">
        <f t="shared" si="663"/>
        <v>9.4540637419917353</v>
      </c>
      <c r="AF208" s="62">
        <f t="shared" si="663"/>
        <v>9.3002458831195547</v>
      </c>
      <c r="AG208" s="17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62">
        <f t="shared" ref="BU208:CZ208" si="664">BU160</f>
        <v>3.1120000000000001</v>
      </c>
      <c r="BV208" s="62">
        <f t="shared" si="664"/>
        <v>3.1419999999999999</v>
      </c>
      <c r="BW208" s="62">
        <f t="shared" si="664"/>
        <v>3.1869999999999998</v>
      </c>
      <c r="BX208" s="62">
        <f t="shared" si="664"/>
        <v>3.1579999999999999</v>
      </c>
      <c r="BY208" s="62">
        <f t="shared" si="664"/>
        <v>3.3119999999999998</v>
      </c>
      <c r="BZ208" s="62">
        <f t="shared" si="664"/>
        <v>3.0390000000000001</v>
      </c>
      <c r="CA208" s="62">
        <f t="shared" si="664"/>
        <v>3.0310000000000001</v>
      </c>
      <c r="CB208" s="62">
        <f t="shared" si="664"/>
        <v>3.0329999999999999</v>
      </c>
      <c r="CC208" s="62">
        <f t="shared" si="664"/>
        <v>3.004</v>
      </c>
      <c r="CD208" s="62">
        <f t="shared" si="664"/>
        <v>2.5070000000000001</v>
      </c>
      <c r="CE208" s="62">
        <f t="shared" si="664"/>
        <v>2.6680000000000001</v>
      </c>
      <c r="CF208" s="62">
        <f t="shared" si="664"/>
        <v>2.6819999999999999</v>
      </c>
      <c r="CG208" s="62">
        <f t="shared" si="664"/>
        <v>2.7450000000000001</v>
      </c>
      <c r="CH208" s="62">
        <f t="shared" si="664"/>
        <v>2.6640000000000001</v>
      </c>
      <c r="CI208" s="62">
        <f t="shared" si="664"/>
        <v>2.6859999999999999</v>
      </c>
      <c r="CJ208" s="62">
        <f t="shared" si="664"/>
        <v>2.8879999999999999</v>
      </c>
      <c r="CK208" s="62">
        <f t="shared" si="664"/>
        <v>3.1339999999999999</v>
      </c>
      <c r="CL208" s="62">
        <f t="shared" si="664"/>
        <v>2.778</v>
      </c>
      <c r="CM208" s="62">
        <f t="shared" si="664"/>
        <v>2.6890000000000001</v>
      </c>
      <c r="CN208" s="62">
        <f t="shared" si="664"/>
        <v>2.4180000000000001</v>
      </c>
      <c r="CO208" s="62">
        <f t="shared" si="664"/>
        <v>2.802</v>
      </c>
      <c r="CP208" s="62">
        <f t="shared" si="664"/>
        <v>2.8580000000000001</v>
      </c>
      <c r="CQ208" s="62">
        <f t="shared" si="664"/>
        <v>3.1539999999999999</v>
      </c>
      <c r="CR208" s="62">
        <f t="shared" si="664"/>
        <v>2.843</v>
      </c>
      <c r="CS208" s="62">
        <f t="shared" si="664"/>
        <v>3.2970000000000002</v>
      </c>
      <c r="CT208" s="62">
        <f t="shared" si="664"/>
        <v>2.964</v>
      </c>
      <c r="CU208" s="62">
        <f t="shared" si="664"/>
        <v>3.0270000000000001</v>
      </c>
      <c r="CV208" s="62">
        <f t="shared" si="664"/>
        <v>3.024</v>
      </c>
      <c r="CW208" s="62">
        <f t="shared" si="664"/>
        <v>2.8570000000000002</v>
      </c>
      <c r="CX208" s="62">
        <f t="shared" si="664"/>
        <v>2.9780000000000002</v>
      </c>
      <c r="CY208" s="62">
        <f t="shared" si="664"/>
        <v>2.9660000000000002</v>
      </c>
      <c r="CZ208" s="62">
        <f t="shared" si="664"/>
        <v>3.1890000000000001</v>
      </c>
      <c r="DA208" s="62">
        <f t="shared" ref="DA208:EA208" si="665">DA160</f>
        <v>3.3860000000000001</v>
      </c>
      <c r="DB208" s="62">
        <f t="shared" si="665"/>
        <v>3.53</v>
      </c>
      <c r="DC208" s="62">
        <f t="shared" si="665"/>
        <v>3.621</v>
      </c>
      <c r="DD208" s="62">
        <f t="shared" si="665"/>
        <v>3.4289999999999998</v>
      </c>
      <c r="DE208" s="62">
        <f t="shared" si="665"/>
        <v>4.1040000000000001</v>
      </c>
      <c r="DF208" s="62">
        <f t="shared" si="665"/>
        <v>3.6549999999999998</v>
      </c>
      <c r="DG208" s="62">
        <f t="shared" si="665"/>
        <v>3.1749999999999998</v>
      </c>
      <c r="DH208" s="62">
        <f t="shared" si="665"/>
        <v>3.2</v>
      </c>
      <c r="DI208" s="62">
        <f t="shared" si="665"/>
        <v>3.4249999999999998</v>
      </c>
      <c r="DJ208" s="62">
        <f t="shared" si="665"/>
        <v>3.27</v>
      </c>
      <c r="DK208" s="62">
        <f t="shared" si="665"/>
        <v>3.69</v>
      </c>
      <c r="DL208" s="62">
        <f t="shared" si="665"/>
        <v>3.5619999999999998</v>
      </c>
      <c r="DM208" s="62">
        <f t="shared" si="665"/>
        <v>3.2440000000000002</v>
      </c>
      <c r="DN208" s="62">
        <f t="shared" si="665"/>
        <v>3.35</v>
      </c>
      <c r="DO208" s="62">
        <f t="shared" si="665"/>
        <v>3.35</v>
      </c>
      <c r="DP208" s="62">
        <f t="shared" si="665"/>
        <v>2.8479999999999999</v>
      </c>
      <c r="DQ208" s="62">
        <f t="shared" si="665"/>
        <v>3.1760000000000002</v>
      </c>
      <c r="DR208" s="62">
        <f t="shared" si="665"/>
        <v>2.9239999999999999</v>
      </c>
      <c r="DS208" s="62">
        <f t="shared" si="665"/>
        <v>3.17</v>
      </c>
      <c r="DT208" s="62">
        <f t="shared" si="665"/>
        <v>2.6890000000000001</v>
      </c>
      <c r="DU208" s="62">
        <f t="shared" si="665"/>
        <v>2.8759999999999999</v>
      </c>
      <c r="DV208" s="62">
        <f t="shared" si="665"/>
        <v>3.0030000000000001</v>
      </c>
      <c r="DW208" s="62">
        <f t="shared" si="665"/>
        <v>3.1240000000000001</v>
      </c>
      <c r="DX208" s="62">
        <f t="shared" si="665"/>
        <v>3.1840000000000002</v>
      </c>
      <c r="DY208" s="62">
        <f t="shared" si="665"/>
        <v>3.1840000000000002</v>
      </c>
      <c r="DZ208" s="62">
        <f t="shared" si="665"/>
        <v>3.2669999999999999</v>
      </c>
      <c r="EA208" s="62">
        <f t="shared" si="665"/>
        <v>3.3980000000000001</v>
      </c>
      <c r="EB208" s="62">
        <f t="shared" ref="EB208:EC208" si="666">EB160</f>
        <v>2.63</v>
      </c>
      <c r="EC208" s="62">
        <f t="shared" si="666"/>
        <v>2.4689999999999999</v>
      </c>
      <c r="ED208" s="62">
        <f t="shared" ref="ED208" si="667">ED160</f>
        <v>2.3540000000000001</v>
      </c>
      <c r="EE208" s="61">
        <f t="shared" ref="EE208:EP208" si="668">EE$211*ED208/SUM(ED$207:ED$210)</f>
        <v>2.3551937207405174</v>
      </c>
      <c r="EF208" s="61">
        <f t="shared" si="668"/>
        <v>2.347516885357948</v>
      </c>
      <c r="EG208" s="61">
        <f t="shared" si="668"/>
        <v>2.3613243553388408</v>
      </c>
      <c r="EH208" s="61">
        <f t="shared" si="668"/>
        <v>2.3746094757528207</v>
      </c>
      <c r="EI208" s="61">
        <f t="shared" si="668"/>
        <v>2.3678273077091219</v>
      </c>
      <c r="EJ208" s="61">
        <f t="shared" si="668"/>
        <v>2.3607431387402795</v>
      </c>
      <c r="EK208" s="61">
        <f t="shared" si="668"/>
        <v>2.3508838197895146</v>
      </c>
      <c r="EL208" s="61">
        <f t="shared" si="668"/>
        <v>2.3407788107909711</v>
      </c>
      <c r="EM208" s="61">
        <f t="shared" si="668"/>
        <v>2.3304426926677611</v>
      </c>
      <c r="EN208" s="61">
        <f t="shared" si="668"/>
        <v>2.3198898618958115</v>
      </c>
      <c r="EO208" s="61">
        <f t="shared" si="668"/>
        <v>2.3091345177650124</v>
      </c>
      <c r="EP208" s="61">
        <f t="shared" si="668"/>
        <v>2.29819065029921</v>
      </c>
      <c r="EQ208" s="5"/>
      <c r="ER208" s="5"/>
      <c r="ES208" s="355">
        <f t="shared" si="632"/>
        <v>203</v>
      </c>
      <c r="ET208"/>
      <c r="EU208"/>
      <c r="EV208"/>
      <c r="EW208"/>
      <c r="EX208"/>
      <c r="EY208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</row>
    <row r="209" spans="1:257" s="4" customFormat="1" hidden="1" outlineLevel="2">
      <c r="A209" s="15"/>
      <c r="B209" s="28" t="s">
        <v>144</v>
      </c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62"/>
      <c r="O209" s="62">
        <f t="shared" ref="O209:AF209" si="669">O188</f>
        <v>20.091999999999999</v>
      </c>
      <c r="P209" s="62">
        <f t="shared" si="669"/>
        <v>20.53</v>
      </c>
      <c r="Q209" s="62">
        <f t="shared" si="669"/>
        <v>20.106999999999999</v>
      </c>
      <c r="R209" s="62">
        <f t="shared" si="669"/>
        <v>19.5</v>
      </c>
      <c r="S209" s="62">
        <f t="shared" si="669"/>
        <v>23.782</v>
      </c>
      <c r="T209" s="62">
        <f t="shared" si="669"/>
        <v>29.613999999999997</v>
      </c>
      <c r="U209" s="62">
        <f t="shared" si="669"/>
        <v>28.18</v>
      </c>
      <c r="V209" s="62">
        <f t="shared" si="669"/>
        <v>34.326000000000001</v>
      </c>
      <c r="W209" s="62">
        <f t="shared" si="669"/>
        <v>28.018000000000001</v>
      </c>
      <c r="X209" s="62">
        <f t="shared" si="669"/>
        <v>30.701000000000001</v>
      </c>
      <c r="Y209" s="62">
        <f t="shared" si="669"/>
        <v>36</v>
      </c>
      <c r="Z209" s="62">
        <f t="shared" si="669"/>
        <v>39.878999999999998</v>
      </c>
      <c r="AA209" s="62">
        <f t="shared" si="669"/>
        <v>56.286999999999992</v>
      </c>
      <c r="AB209" s="62">
        <f t="shared" si="669"/>
        <v>57.102000000000004</v>
      </c>
      <c r="AC209" s="62">
        <f t="shared" si="669"/>
        <v>53.622000000000007</v>
      </c>
      <c r="AD209" s="62">
        <f t="shared" si="669"/>
        <v>47.254210250440117</v>
      </c>
      <c r="AE209" s="62">
        <f t="shared" si="669"/>
        <v>47.43498167232984</v>
      </c>
      <c r="AF209" s="62">
        <f t="shared" si="669"/>
        <v>46.663213307359861</v>
      </c>
      <c r="AG209" s="17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62">
        <f t="shared" ref="BU209:CZ209" si="670">BU188</f>
        <v>5.4859999999999998</v>
      </c>
      <c r="BV209" s="62">
        <f t="shared" si="670"/>
        <v>4.9029999999999996</v>
      </c>
      <c r="BW209" s="62">
        <f t="shared" si="670"/>
        <v>4.9820000000000002</v>
      </c>
      <c r="BX209" s="62">
        <f t="shared" si="670"/>
        <v>5.1120000000000001</v>
      </c>
      <c r="BY209" s="62">
        <f t="shared" si="670"/>
        <v>5.0949999999999998</v>
      </c>
      <c r="BZ209" s="62">
        <f t="shared" si="670"/>
        <v>5.0209999999999999</v>
      </c>
      <c r="CA209" s="62">
        <f t="shared" si="670"/>
        <v>5.1390000000000002</v>
      </c>
      <c r="CB209" s="62">
        <f t="shared" si="670"/>
        <v>5.1029999999999998</v>
      </c>
      <c r="CC209" s="62">
        <f t="shared" si="670"/>
        <v>5.2670000000000003</v>
      </c>
      <c r="CD209" s="62">
        <f t="shared" si="670"/>
        <v>4.766</v>
      </c>
      <c r="CE209" s="62">
        <f t="shared" si="670"/>
        <v>4.8</v>
      </c>
      <c r="CF209" s="62">
        <f t="shared" si="670"/>
        <v>4.9349999999999996</v>
      </c>
      <c r="CG209" s="62">
        <f t="shared" si="670"/>
        <v>5.6059999999999999</v>
      </c>
      <c r="CH209" s="62">
        <f t="shared" si="670"/>
        <v>4.6559999999999997</v>
      </c>
      <c r="CI209" s="62">
        <f t="shared" si="670"/>
        <v>4.7350000000000003</v>
      </c>
      <c r="CJ209" s="62">
        <f t="shared" si="670"/>
        <v>4.8600000000000003</v>
      </c>
      <c r="CK209" s="62">
        <f t="shared" si="670"/>
        <v>5.2489999999999997</v>
      </c>
      <c r="CL209" s="62">
        <f t="shared" si="670"/>
        <v>5.5490000000000004</v>
      </c>
      <c r="CM209" s="62">
        <f t="shared" si="670"/>
        <v>5.3410000000000002</v>
      </c>
      <c r="CN209" s="62">
        <f t="shared" si="670"/>
        <v>6.6479999999999997</v>
      </c>
      <c r="CO209" s="62">
        <f t="shared" si="670"/>
        <v>6.2439999999999998</v>
      </c>
      <c r="CP209" s="62">
        <f t="shared" si="670"/>
        <v>5.726</v>
      </c>
      <c r="CQ209" s="62">
        <f t="shared" si="670"/>
        <v>11.576000000000001</v>
      </c>
      <c r="CR209" s="62">
        <f t="shared" si="670"/>
        <v>6.8179999999999996</v>
      </c>
      <c r="CS209" s="62">
        <f t="shared" si="670"/>
        <v>5.4939999999999998</v>
      </c>
      <c r="CT209" s="62">
        <f t="shared" si="670"/>
        <v>6.2060000000000004</v>
      </c>
      <c r="CU209" s="62">
        <f t="shared" si="670"/>
        <v>6.54</v>
      </c>
      <c r="CV209" s="62">
        <f t="shared" si="670"/>
        <v>7.1429999999999998</v>
      </c>
      <c r="CW209" s="62">
        <f t="shared" si="670"/>
        <v>8.2910000000000004</v>
      </c>
      <c r="CX209" s="62">
        <f t="shared" si="670"/>
        <v>9.0020000000000007</v>
      </c>
      <c r="CY209" s="62">
        <f t="shared" si="670"/>
        <v>9.3569999999999993</v>
      </c>
      <c r="CZ209" s="62">
        <f t="shared" si="670"/>
        <v>8.2680000000000007</v>
      </c>
      <c r="DA209" s="62">
        <f t="shared" ref="DA209:EA209" si="671">DA188</f>
        <v>7.6989999999999998</v>
      </c>
      <c r="DB209" s="62">
        <f t="shared" si="671"/>
        <v>7.1840000000000002</v>
      </c>
      <c r="DC209" s="62">
        <f t="shared" si="671"/>
        <v>6.508</v>
      </c>
      <c r="DD209" s="62">
        <f t="shared" si="671"/>
        <v>6.7190000000000003</v>
      </c>
      <c r="DE209" s="62">
        <f t="shared" si="671"/>
        <v>7.6070000000000002</v>
      </c>
      <c r="DF209" s="62">
        <f t="shared" si="671"/>
        <v>6.8540000000000001</v>
      </c>
      <c r="DG209" s="62">
        <f t="shared" si="671"/>
        <v>7.63</v>
      </c>
      <c r="DH209" s="62">
        <f t="shared" si="671"/>
        <v>7.7729999999999997</v>
      </c>
      <c r="DI209" s="62">
        <f t="shared" si="671"/>
        <v>8.4440000000000008</v>
      </c>
      <c r="DJ209" s="62">
        <f t="shared" si="671"/>
        <v>8.4779999999999998</v>
      </c>
      <c r="DK209" s="62">
        <f t="shared" si="671"/>
        <v>8.3209999999999997</v>
      </c>
      <c r="DL209" s="62">
        <f t="shared" si="671"/>
        <v>9.234</v>
      </c>
      <c r="DM209" s="62">
        <f t="shared" si="671"/>
        <v>9.9670000000000005</v>
      </c>
      <c r="DN209" s="62">
        <f t="shared" si="671"/>
        <v>9.66</v>
      </c>
      <c r="DO209" s="62">
        <f t="shared" si="671"/>
        <v>9.66</v>
      </c>
      <c r="DP209" s="62">
        <f t="shared" si="671"/>
        <v>9.5779999999999994</v>
      </c>
      <c r="DQ209" s="62">
        <f t="shared" si="671"/>
        <v>10.981</v>
      </c>
      <c r="DR209" s="62">
        <f t="shared" si="671"/>
        <v>11.047000000000001</v>
      </c>
      <c r="DS209" s="62">
        <f t="shared" si="671"/>
        <v>13.423</v>
      </c>
      <c r="DT209" s="62">
        <f t="shared" si="671"/>
        <v>15.651</v>
      </c>
      <c r="DU209" s="62">
        <f t="shared" si="671"/>
        <v>16.166</v>
      </c>
      <c r="DV209" s="62">
        <f t="shared" si="671"/>
        <v>14.132999999999999</v>
      </c>
      <c r="DW209" s="62">
        <f t="shared" si="671"/>
        <v>14.62</v>
      </c>
      <c r="DX209" s="62">
        <f t="shared" si="671"/>
        <v>13.972</v>
      </c>
      <c r="DY209" s="62">
        <f t="shared" si="671"/>
        <v>14.377000000000001</v>
      </c>
      <c r="DZ209" s="62">
        <f t="shared" si="671"/>
        <v>13.186999999999999</v>
      </c>
      <c r="EA209" s="62">
        <f t="shared" si="671"/>
        <v>12.632999999999999</v>
      </c>
      <c r="EB209" s="62">
        <f t="shared" ref="EB209:EC209" si="672">EB188</f>
        <v>14.428000000000001</v>
      </c>
      <c r="EC209" s="62">
        <f t="shared" si="672"/>
        <v>13.374000000000001</v>
      </c>
      <c r="ED209" s="62">
        <f t="shared" ref="ED209" si="673">ED188</f>
        <v>11.811</v>
      </c>
      <c r="EE209" s="61">
        <f t="shared" ref="EE209:EP209" si="674">EE$211*ED209/SUM(ED$207:ED$210)</f>
        <v>11.816989394930438</v>
      </c>
      <c r="EF209" s="61">
        <f t="shared" si="674"/>
        <v>11.778471509329961</v>
      </c>
      <c r="EG209" s="61">
        <f t="shared" si="674"/>
        <v>11.847749346179716</v>
      </c>
      <c r="EH209" s="61">
        <f t="shared" si="674"/>
        <v>11.914406337347737</v>
      </c>
      <c r="EI209" s="61">
        <f t="shared" si="674"/>
        <v>11.880377371007835</v>
      </c>
      <c r="EJ209" s="61">
        <f t="shared" si="674"/>
        <v>11.844833140043097</v>
      </c>
      <c r="EK209" s="61">
        <f t="shared" si="674"/>
        <v>11.795364823931164</v>
      </c>
      <c r="EL209" s="61">
        <f t="shared" si="674"/>
        <v>11.744663778356911</v>
      </c>
      <c r="EM209" s="61">
        <f t="shared" si="674"/>
        <v>11.692803161894194</v>
      </c>
      <c r="EN209" s="61">
        <f t="shared" si="674"/>
        <v>11.639855207668409</v>
      </c>
      <c r="EO209" s="61">
        <f t="shared" si="674"/>
        <v>11.585891159440346</v>
      </c>
      <c r="EP209" s="61">
        <f t="shared" si="674"/>
        <v>11.530981210995744</v>
      </c>
      <c r="EQ209" s="5"/>
      <c r="ER209" s="5"/>
      <c r="ES209" s="355">
        <f t="shared" si="632"/>
        <v>204</v>
      </c>
      <c r="ET209"/>
      <c r="EU209"/>
      <c r="EV209"/>
      <c r="EW209"/>
      <c r="EX209"/>
      <c r="EY209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</row>
    <row r="210" spans="1:257" s="4" customFormat="1" hidden="1" outlineLevel="2">
      <c r="A210" s="15"/>
      <c r="B210" s="28" t="s">
        <v>38</v>
      </c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62"/>
      <c r="O210" s="62">
        <f t="shared" ref="O210:AF210" si="675">O211-SUM(O207:O209)</f>
        <v>4.896000000000015</v>
      </c>
      <c r="P210" s="62">
        <f t="shared" si="675"/>
        <v>5.2600000000000051</v>
      </c>
      <c r="Q210" s="62">
        <f t="shared" si="675"/>
        <v>5.3430000000000035</v>
      </c>
      <c r="R210" s="62">
        <f t="shared" si="675"/>
        <v>4.583999999999989</v>
      </c>
      <c r="S210" s="62">
        <f t="shared" si="675"/>
        <v>5.4660000000000082</v>
      </c>
      <c r="T210" s="62">
        <f t="shared" si="675"/>
        <v>7.1069999999999993</v>
      </c>
      <c r="U210" s="62">
        <f t="shared" si="675"/>
        <v>9.1259999999999764</v>
      </c>
      <c r="V210" s="62">
        <f t="shared" si="675"/>
        <v>8.5489999999999782</v>
      </c>
      <c r="W210" s="62">
        <f t="shared" si="675"/>
        <v>8.6389999999998963</v>
      </c>
      <c r="X210" s="62">
        <f t="shared" si="675"/>
        <v>10.669999999999959</v>
      </c>
      <c r="Y210" s="62">
        <f t="shared" si="675"/>
        <v>14.784999999999968</v>
      </c>
      <c r="Z210" s="62">
        <f t="shared" si="675"/>
        <v>15.011999999999944</v>
      </c>
      <c r="AA210" s="62">
        <f t="shared" si="675"/>
        <v>12.09599999999989</v>
      </c>
      <c r="AB210" s="62">
        <f t="shared" si="675"/>
        <v>20.753000000000043</v>
      </c>
      <c r="AC210" s="62">
        <f t="shared" si="675"/>
        <v>11.98524000000009</v>
      </c>
      <c r="AD210" s="62">
        <f t="shared" si="675"/>
        <v>21.060550567971973</v>
      </c>
      <c r="AE210" s="62">
        <f t="shared" si="675"/>
        <v>21.141117900528684</v>
      </c>
      <c r="AF210" s="62">
        <f t="shared" si="675"/>
        <v>20.79715137159792</v>
      </c>
      <c r="AG210" s="17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62">
        <f t="shared" ref="BU210:CZ210" si="676">BU211-SUM(BU207:BU209)</f>
        <v>0.95400000000000063</v>
      </c>
      <c r="BV210" s="62">
        <f t="shared" si="676"/>
        <v>1.2410000000000032</v>
      </c>
      <c r="BW210" s="62">
        <f t="shared" si="676"/>
        <v>1.2900000000000027</v>
      </c>
      <c r="BX210" s="62">
        <f t="shared" si="676"/>
        <v>1.3109999999999999</v>
      </c>
      <c r="BY210" s="62">
        <f t="shared" si="676"/>
        <v>1.054000000000002</v>
      </c>
      <c r="BZ210" s="62">
        <f t="shared" si="676"/>
        <v>1.1449999999999996</v>
      </c>
      <c r="CA210" s="62">
        <f t="shared" si="676"/>
        <v>1.3120000000000012</v>
      </c>
      <c r="CB210" s="62">
        <f t="shared" si="676"/>
        <v>1.3499999999999979</v>
      </c>
      <c r="CC210" s="62">
        <f t="shared" si="676"/>
        <v>1.453000000000003</v>
      </c>
      <c r="CD210" s="62">
        <f t="shared" si="676"/>
        <v>1.232999999999997</v>
      </c>
      <c r="CE210" s="62">
        <f t="shared" si="676"/>
        <v>1.4189999999999969</v>
      </c>
      <c r="CF210" s="62">
        <f t="shared" si="676"/>
        <v>1.3110000000000035</v>
      </c>
      <c r="CG210" s="62">
        <f t="shared" si="676"/>
        <v>1.3800000000000026</v>
      </c>
      <c r="CH210" s="62">
        <f t="shared" si="676"/>
        <v>1.1370000000000005</v>
      </c>
      <c r="CI210" s="62">
        <f t="shared" si="676"/>
        <v>1.1320000000000014</v>
      </c>
      <c r="CJ210" s="62">
        <f t="shared" si="676"/>
        <v>1.169000000000004</v>
      </c>
      <c r="CK210" s="62">
        <f t="shared" si="676"/>
        <v>1.1460000000000008</v>
      </c>
      <c r="CL210" s="62">
        <f t="shared" si="676"/>
        <v>1.1410000000000018</v>
      </c>
      <c r="CM210" s="62">
        <f t="shared" si="676"/>
        <v>1.1089999999999982</v>
      </c>
      <c r="CN210" s="62">
        <f t="shared" si="676"/>
        <v>1.546999999999997</v>
      </c>
      <c r="CO210" s="62">
        <f t="shared" si="676"/>
        <v>1.669000000000004</v>
      </c>
      <c r="CP210" s="62">
        <f t="shared" si="676"/>
        <v>1.5560000000000045</v>
      </c>
      <c r="CQ210" s="62">
        <f t="shared" si="676"/>
        <v>1.6330000000000027</v>
      </c>
      <c r="CR210" s="62">
        <f t="shared" si="676"/>
        <v>1.7790000000000035</v>
      </c>
      <c r="CS210" s="62">
        <f t="shared" si="676"/>
        <v>2.1390000000000029</v>
      </c>
      <c r="CT210" s="62">
        <f t="shared" si="676"/>
        <v>2.1789999999999949</v>
      </c>
      <c r="CU210" s="62">
        <f t="shared" si="676"/>
        <v>2.2689999999999984</v>
      </c>
      <c r="CV210" s="62">
        <f t="shared" si="676"/>
        <v>2.2849999999999966</v>
      </c>
      <c r="CW210" s="62">
        <f t="shared" si="676"/>
        <v>2.3930000000000007</v>
      </c>
      <c r="CX210" s="62">
        <f t="shared" si="676"/>
        <v>2.2929999999999922</v>
      </c>
      <c r="CY210" s="62">
        <f t="shared" si="676"/>
        <v>2.2539999999999978</v>
      </c>
      <c r="CZ210" s="62">
        <f t="shared" si="676"/>
        <v>2.0649999999999977</v>
      </c>
      <c r="DA210" s="62">
        <f t="shared" ref="DA210:EA210" si="677">DA211-SUM(DA207:DA209)</f>
        <v>1.9369999999999834</v>
      </c>
      <c r="DB210" s="62">
        <f t="shared" si="677"/>
        <v>2.1020000000000039</v>
      </c>
      <c r="DC210" s="62">
        <f t="shared" si="677"/>
        <v>2.0840000000000032</v>
      </c>
      <c r="DD210" s="62">
        <f t="shared" si="677"/>
        <v>2.0619999999999976</v>
      </c>
      <c r="DE210" s="62">
        <f t="shared" si="677"/>
        <v>2.3910000000000053</v>
      </c>
      <c r="DF210" s="62">
        <f t="shared" si="677"/>
        <v>2.3100000000000023</v>
      </c>
      <c r="DG210" s="62">
        <f t="shared" si="677"/>
        <v>2.3770000000000095</v>
      </c>
      <c r="DH210" s="62">
        <f t="shared" si="677"/>
        <v>2.7520000000000095</v>
      </c>
      <c r="DI210" s="62">
        <f t="shared" si="677"/>
        <v>-10.769000000000005</v>
      </c>
      <c r="DJ210" s="62">
        <f t="shared" si="677"/>
        <v>3.5980000000000132</v>
      </c>
      <c r="DK210" s="62">
        <f t="shared" si="677"/>
        <v>3.9370000000000118</v>
      </c>
      <c r="DL210" s="62">
        <f t="shared" si="677"/>
        <v>3.7000000000000171</v>
      </c>
      <c r="DM210" s="62">
        <f t="shared" si="677"/>
        <v>3.5499999999999972</v>
      </c>
      <c r="DN210" s="62">
        <f t="shared" si="677"/>
        <v>3.6480000000000103</v>
      </c>
      <c r="DO210" s="62">
        <f t="shared" si="677"/>
        <v>3.2270000000000039</v>
      </c>
      <c r="DP210" s="62">
        <f t="shared" si="677"/>
        <v>3.9130000000000109</v>
      </c>
      <c r="DQ210" s="62">
        <f t="shared" si="677"/>
        <v>4.2239999999999895</v>
      </c>
      <c r="DR210" s="62">
        <f t="shared" si="677"/>
        <v>4.5579999999999927</v>
      </c>
      <c r="DS210" s="62">
        <f t="shared" si="677"/>
        <v>-2.3879999999999768</v>
      </c>
      <c r="DT210" s="62">
        <f t="shared" si="677"/>
        <v>4.6479999999999677</v>
      </c>
      <c r="DU210" s="62">
        <f t="shared" si="677"/>
        <v>5.2779999999999916</v>
      </c>
      <c r="DV210" s="62">
        <f t="shared" si="677"/>
        <v>4.6339999999999861</v>
      </c>
      <c r="DW210" s="62">
        <f t="shared" si="677"/>
        <v>5.0910000000000082</v>
      </c>
      <c r="DX210" s="62">
        <f t="shared" si="677"/>
        <v>5.4729999999999848</v>
      </c>
      <c r="DY210" s="62">
        <f t="shared" si="677"/>
        <v>5.5550000000000068</v>
      </c>
      <c r="DZ210" s="62">
        <f t="shared" si="677"/>
        <v>5.1170000000000186</v>
      </c>
      <c r="EA210" s="62">
        <f t="shared" si="677"/>
        <v>4.7509999999999764</v>
      </c>
      <c r="EB210" s="62">
        <f t="shared" ref="EB210:EC210" si="678">EB211-SUM(EB207:EB209)</f>
        <v>-3.4777599999999893</v>
      </c>
      <c r="EC210" s="62">
        <f t="shared" si="678"/>
        <v>5.5950000000000273</v>
      </c>
      <c r="ED210" s="62">
        <f t="shared" ref="ED210" si="679">ED211-SUM(ED207:ED209)</f>
        <v>5.26400000000001</v>
      </c>
      <c r="EE210" s="61">
        <f t="shared" ref="EE210:EP210" si="680">EE$211*ED210/SUM(ED$207:ED$210)</f>
        <v>5.2666693908148288</v>
      </c>
      <c r="EF210" s="61">
        <f t="shared" si="680"/>
        <v>5.2495024997979023</v>
      </c>
      <c r="EG210" s="61">
        <f t="shared" si="680"/>
        <v>5.280378677359252</v>
      </c>
      <c r="EH210" s="61">
        <f t="shared" si="680"/>
        <v>5.3100867801031741</v>
      </c>
      <c r="EI210" s="61">
        <f t="shared" si="680"/>
        <v>5.2949205385645035</v>
      </c>
      <c r="EJ210" s="61">
        <f t="shared" si="680"/>
        <v>5.2790789644557581</v>
      </c>
      <c r="EK210" s="61">
        <f t="shared" si="680"/>
        <v>5.2570316174052794</v>
      </c>
      <c r="EL210" s="61">
        <f t="shared" si="680"/>
        <v>5.2344348598146535</v>
      </c>
      <c r="EM210" s="61">
        <f t="shared" si="680"/>
        <v>5.2113212974524705</v>
      </c>
      <c r="EN210" s="61">
        <f t="shared" si="680"/>
        <v>5.1877231236276851</v>
      </c>
      <c r="EO210" s="61">
        <f t="shared" si="680"/>
        <v>5.1636720907030789</v>
      </c>
      <c r="EP210" s="61">
        <f t="shared" si="680"/>
        <v>5.1391994830820158</v>
      </c>
      <c r="EQ210" s="5"/>
      <c r="ER210" s="5"/>
      <c r="ES210" s="355">
        <f t="shared" si="632"/>
        <v>205</v>
      </c>
      <c r="ET210"/>
      <c r="EU210"/>
      <c r="EV210"/>
      <c r="EW210"/>
      <c r="EX210"/>
      <c r="EY210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</row>
    <row r="211" spans="1:257" s="4" customFormat="1" hidden="1" outlineLevel="2">
      <c r="A211" s="15"/>
      <c r="B211" s="75" t="s">
        <v>143</v>
      </c>
      <c r="C211" s="154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3"/>
      <c r="O211" s="153">
        <f t="shared" ref="O211:AF211" si="681">O314</f>
        <v>82.513000000000005</v>
      </c>
      <c r="P211" s="153">
        <f t="shared" si="681"/>
        <v>94.424999999999997</v>
      </c>
      <c r="Q211" s="153">
        <f t="shared" si="681"/>
        <v>96.274000000000001</v>
      </c>
      <c r="R211" s="153">
        <f t="shared" si="681"/>
        <v>101.583</v>
      </c>
      <c r="S211" s="153">
        <f t="shared" si="681"/>
        <v>146.042</v>
      </c>
      <c r="T211" s="153">
        <f t="shared" si="681"/>
        <v>210.76600000000002</v>
      </c>
      <c r="U211" s="153">
        <f t="shared" si="681"/>
        <v>236.43700000000001</v>
      </c>
      <c r="V211" s="153">
        <f t="shared" si="681"/>
        <v>267.04599999999999</v>
      </c>
      <c r="W211" s="153">
        <f t="shared" si="681"/>
        <v>315.46799999999996</v>
      </c>
      <c r="X211" s="153">
        <f t="shared" si="681"/>
        <v>392.40699999999998</v>
      </c>
      <c r="Y211" s="153">
        <f t="shared" si="681"/>
        <v>455.62299999999999</v>
      </c>
      <c r="Z211" s="153">
        <f t="shared" si="681"/>
        <v>506.54899999999998</v>
      </c>
      <c r="AA211" s="153">
        <f t="shared" si="681"/>
        <v>569.99199999999996</v>
      </c>
      <c r="AB211" s="153">
        <f t="shared" si="681"/>
        <v>560.48699999999997</v>
      </c>
      <c r="AC211" s="153">
        <f t="shared" si="681"/>
        <v>543.45724000000007</v>
      </c>
      <c r="AD211" s="153">
        <f t="shared" si="681"/>
        <v>544.385625785</v>
      </c>
      <c r="AE211" s="153">
        <f t="shared" si="681"/>
        <v>546.46817807204309</v>
      </c>
      <c r="AF211" s="153">
        <f t="shared" si="681"/>
        <v>537.57712683875479</v>
      </c>
      <c r="AG211" s="155"/>
      <c r="AH211" s="154"/>
      <c r="AI211" s="154"/>
      <c r="AJ211" s="154"/>
      <c r="AK211" s="154"/>
      <c r="AL211" s="154"/>
      <c r="AM211" s="154"/>
      <c r="AN211" s="154"/>
      <c r="AO211" s="154"/>
      <c r="AP211" s="154"/>
      <c r="AQ211" s="154"/>
      <c r="AR211" s="154"/>
      <c r="AS211" s="154"/>
      <c r="AT211" s="154"/>
      <c r="AU211" s="154"/>
      <c r="AV211" s="154"/>
      <c r="AW211" s="154"/>
      <c r="AX211" s="154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>
        <f t="shared" ref="BU211:CZ211" si="682">BU314</f>
        <v>17.32</v>
      </c>
      <c r="BV211" s="153">
        <f t="shared" si="682"/>
        <v>18.236000000000001</v>
      </c>
      <c r="BW211" s="153">
        <f t="shared" si="682"/>
        <v>19.943000000000001</v>
      </c>
      <c r="BX211" s="153">
        <f t="shared" si="682"/>
        <v>21.516999999999999</v>
      </c>
      <c r="BY211" s="153">
        <f t="shared" si="682"/>
        <v>22.817</v>
      </c>
      <c r="BZ211" s="153">
        <f t="shared" si="682"/>
        <v>22.268000000000001</v>
      </c>
      <c r="CA211" s="153">
        <f t="shared" si="682"/>
        <v>23.402000000000001</v>
      </c>
      <c r="CB211" s="153">
        <f t="shared" si="682"/>
        <v>23.934000000000001</v>
      </c>
      <c r="CC211" s="153">
        <f t="shared" si="682"/>
        <v>24.821000000000002</v>
      </c>
      <c r="CD211" s="153">
        <f t="shared" si="682"/>
        <v>23.262</v>
      </c>
      <c r="CE211" s="153">
        <f t="shared" si="682"/>
        <v>23.95</v>
      </c>
      <c r="CF211" s="153">
        <f t="shared" si="682"/>
        <v>23.419</v>
      </c>
      <c r="CG211" s="153">
        <f t="shared" si="682"/>
        <v>25.643000000000001</v>
      </c>
      <c r="CH211" s="153">
        <f t="shared" si="682"/>
        <v>22.922999999999998</v>
      </c>
      <c r="CI211" s="153">
        <f t="shared" si="682"/>
        <v>23.385000000000002</v>
      </c>
      <c r="CJ211" s="153">
        <f t="shared" si="682"/>
        <v>25.076000000000001</v>
      </c>
      <c r="CK211" s="153">
        <f t="shared" si="682"/>
        <v>30.199000000000002</v>
      </c>
      <c r="CL211" s="153">
        <f t="shared" si="682"/>
        <v>30.151</v>
      </c>
      <c r="CM211" s="153">
        <f t="shared" si="682"/>
        <v>32.951999999999998</v>
      </c>
      <c r="CN211" s="153">
        <f t="shared" si="682"/>
        <v>38.125</v>
      </c>
      <c r="CO211" s="153">
        <f t="shared" si="682"/>
        <v>44.814</v>
      </c>
      <c r="CP211" s="153">
        <f t="shared" si="682"/>
        <v>43.984000000000002</v>
      </c>
      <c r="CQ211" s="153">
        <f t="shared" si="682"/>
        <v>51.872</v>
      </c>
      <c r="CR211" s="153">
        <f t="shared" si="682"/>
        <v>51.21</v>
      </c>
      <c r="CS211" s="153">
        <f t="shared" si="682"/>
        <v>63.7</v>
      </c>
      <c r="CT211" s="153">
        <f t="shared" si="682"/>
        <v>54.771999999999998</v>
      </c>
      <c r="CU211" s="153">
        <f t="shared" si="682"/>
        <v>57.113</v>
      </c>
      <c r="CV211" s="153">
        <f t="shared" si="682"/>
        <v>61.042999999999999</v>
      </c>
      <c r="CW211" s="153">
        <f t="shared" si="682"/>
        <v>63.509</v>
      </c>
      <c r="CX211" s="153">
        <f t="shared" si="682"/>
        <v>62.802999999999997</v>
      </c>
      <c r="CY211" s="153">
        <f t="shared" si="682"/>
        <v>65.795000000000002</v>
      </c>
      <c r="CZ211" s="153">
        <f t="shared" si="682"/>
        <v>65.207999999999998</v>
      </c>
      <c r="DA211" s="153">
        <f t="shared" ref="DA211:EF211" si="683">DA314</f>
        <v>73.239999999999995</v>
      </c>
      <c r="DB211" s="153">
        <f t="shared" si="683"/>
        <v>73.180000000000007</v>
      </c>
      <c r="DC211" s="153">
        <f t="shared" si="683"/>
        <v>76.161000000000001</v>
      </c>
      <c r="DD211" s="153">
        <f t="shared" si="683"/>
        <v>79.108999999999995</v>
      </c>
      <c r="DE211" s="153">
        <f t="shared" si="683"/>
        <v>87.018000000000001</v>
      </c>
      <c r="DF211" s="153">
        <f t="shared" si="683"/>
        <v>86.287999999999997</v>
      </c>
      <c r="DG211" s="153">
        <f t="shared" si="683"/>
        <v>90.933999999999997</v>
      </c>
      <c r="DH211" s="153">
        <f t="shared" si="683"/>
        <v>95.182000000000002</v>
      </c>
      <c r="DI211" s="153">
        <f t="shared" si="683"/>
        <v>106.003</v>
      </c>
      <c r="DJ211" s="153">
        <f t="shared" si="683"/>
        <v>106.599</v>
      </c>
      <c r="DK211" s="153">
        <f t="shared" si="683"/>
        <v>112.43300000000001</v>
      </c>
      <c r="DL211" s="153">
        <f t="shared" si="683"/>
        <v>117.79</v>
      </c>
      <c r="DM211" s="153">
        <f t="shared" si="683"/>
        <v>118.801</v>
      </c>
      <c r="DN211" s="153">
        <f t="shared" si="683"/>
        <v>120.23699999999999</v>
      </c>
      <c r="DO211" s="153">
        <f t="shared" si="683"/>
        <v>123.96299999999999</v>
      </c>
      <c r="DP211" s="153">
        <f t="shared" si="683"/>
        <v>128.97800000000001</v>
      </c>
      <c r="DQ211" s="153">
        <f t="shared" si="683"/>
        <v>133.37100000000001</v>
      </c>
      <c r="DR211" s="153">
        <f t="shared" si="683"/>
        <v>137.613</v>
      </c>
      <c r="DS211" s="153">
        <f t="shared" si="683"/>
        <v>142.708</v>
      </c>
      <c r="DT211" s="153">
        <f t="shared" si="683"/>
        <v>144.29499999999999</v>
      </c>
      <c r="DU211" s="153">
        <f t="shared" si="683"/>
        <v>145.376</v>
      </c>
      <c r="DV211" s="153">
        <f t="shared" si="683"/>
        <v>142.12899999999999</v>
      </c>
      <c r="DW211" s="153">
        <f t="shared" si="683"/>
        <v>141.517</v>
      </c>
      <c r="DX211" s="153">
        <f t="shared" si="683"/>
        <v>138.69</v>
      </c>
      <c r="DY211" s="153">
        <f t="shared" si="683"/>
        <v>138.15100000000001</v>
      </c>
      <c r="DZ211" s="153">
        <f t="shared" si="683"/>
        <v>133.84700000000001</v>
      </c>
      <c r="EA211" s="153">
        <f t="shared" si="683"/>
        <v>134.77699999999999</v>
      </c>
      <c r="EB211" s="153">
        <f t="shared" ref="EB211:EC211" si="684">EB314</f>
        <v>136.35724000000002</v>
      </c>
      <c r="EC211" s="153">
        <f t="shared" si="684"/>
        <v>138.476</v>
      </c>
      <c r="ED211" s="153">
        <f t="shared" ref="ED211" si="685">ED314</f>
        <v>136.06700000000001</v>
      </c>
      <c r="EE211" s="153">
        <f t="shared" si="683"/>
        <v>136.136</v>
      </c>
      <c r="EF211" s="153">
        <f t="shared" si="683"/>
        <v>135.69225999999998</v>
      </c>
      <c r="EG211" s="153">
        <f t="shared" ref="EG211:EP211" si="686">EG314</f>
        <v>136.49036578499999</v>
      </c>
      <c r="EH211" s="153">
        <f t="shared" si="686"/>
        <v>137.25827847801997</v>
      </c>
      <c r="EI211" s="153">
        <f t="shared" si="686"/>
        <v>136.86625245456969</v>
      </c>
      <c r="EJ211" s="153">
        <f t="shared" si="686"/>
        <v>136.45677003354868</v>
      </c>
      <c r="EK211" s="153">
        <f t="shared" si="686"/>
        <v>135.88687710590477</v>
      </c>
      <c r="EL211" s="153">
        <f t="shared" si="686"/>
        <v>135.30278268814575</v>
      </c>
      <c r="EM211" s="153">
        <f t="shared" si="686"/>
        <v>134.70532959355322</v>
      </c>
      <c r="EN211" s="153">
        <f t="shared" si="686"/>
        <v>134.0953499739071</v>
      </c>
      <c r="EO211" s="153">
        <f t="shared" si="686"/>
        <v>133.47366458314869</v>
      </c>
      <c r="EP211" s="153">
        <f t="shared" si="686"/>
        <v>132.84108207912604</v>
      </c>
      <c r="EQ211" s="81"/>
      <c r="ER211" s="81"/>
      <c r="ES211" s="355">
        <f t="shared" si="632"/>
        <v>206</v>
      </c>
      <c r="ET211"/>
      <c r="EU211"/>
      <c r="EV211"/>
      <c r="EW211"/>
      <c r="EX211"/>
      <c r="EY21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</row>
    <row r="212" spans="1:257" s="4" customFormat="1" ht="11.45" customHeight="1" outlineLevel="1" collapsed="1">
      <c r="A212" s="15"/>
      <c r="B212" s="63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7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  <c r="DR212" s="18"/>
      <c r="DS212" s="18"/>
      <c r="DT212" s="18"/>
      <c r="DU212" s="18"/>
      <c r="DV212" s="18"/>
      <c r="DW212" s="18"/>
      <c r="DX212" s="18"/>
      <c r="DY212" s="18"/>
      <c r="DZ212" s="18"/>
      <c r="EA212" s="18"/>
      <c r="EB212" s="18"/>
      <c r="EC212" s="18"/>
      <c r="ED212" s="18"/>
      <c r="EE212" s="18"/>
      <c r="EF212" s="18"/>
      <c r="EG212" s="18"/>
      <c r="EH212" s="18"/>
      <c r="EI212" s="18"/>
      <c r="EJ212" s="18"/>
      <c r="EK212" s="18"/>
      <c r="EL212" s="18"/>
      <c r="EM212" s="18"/>
      <c r="EN212" s="18"/>
      <c r="EO212" s="18"/>
      <c r="EP212" s="18"/>
      <c r="EQ212" s="18"/>
      <c r="ER212" s="18"/>
      <c r="ES212" s="355">
        <f t="shared" si="632"/>
        <v>207</v>
      </c>
      <c r="ET212"/>
      <c r="EU212"/>
      <c r="EV212"/>
      <c r="EW212"/>
      <c r="EX212"/>
      <c r="EY212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</row>
    <row r="213" spans="1:257" s="4" customFormat="1" ht="11.45" customHeight="1">
      <c r="A213" s="15" t="s">
        <v>0</v>
      </c>
      <c r="B213" s="92" t="s">
        <v>142</v>
      </c>
      <c r="C213" s="118"/>
      <c r="D213" s="118"/>
      <c r="E213" s="118"/>
      <c r="F213" s="118"/>
      <c r="G213" s="118"/>
      <c r="H213" s="118"/>
      <c r="I213" s="118"/>
      <c r="J213" s="118"/>
      <c r="K213" s="118"/>
      <c r="L213" s="118"/>
      <c r="M213" s="118"/>
      <c r="N213" s="118"/>
      <c r="O213" s="118"/>
      <c r="P213" s="118"/>
      <c r="Q213" s="118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7"/>
      <c r="AH213" s="118"/>
      <c r="AI213" s="118"/>
      <c r="AJ213" s="118"/>
      <c r="AK213" s="118"/>
      <c r="AL213" s="118"/>
      <c r="AM213" s="118"/>
      <c r="AN213" s="118"/>
      <c r="AO213" s="118"/>
      <c r="AP213" s="118"/>
      <c r="AQ213" s="118"/>
      <c r="AR213" s="118"/>
      <c r="AS213" s="118"/>
      <c r="AT213" s="118"/>
      <c r="AU213" s="118"/>
      <c r="AV213" s="118"/>
      <c r="AW213" s="118"/>
      <c r="AX213" s="118"/>
      <c r="AY213" s="118"/>
      <c r="AZ213" s="118"/>
      <c r="BA213" s="118"/>
      <c r="BB213" s="118"/>
      <c r="BC213" s="118"/>
      <c r="BD213" s="118"/>
      <c r="BE213" s="118"/>
      <c r="BF213" s="118"/>
      <c r="BG213" s="118"/>
      <c r="BH213" s="118"/>
      <c r="BI213" s="118"/>
      <c r="BJ213" s="118"/>
      <c r="BK213" s="118"/>
      <c r="BL213" s="118"/>
      <c r="BM213" s="118"/>
      <c r="BN213" s="118"/>
      <c r="BO213" s="118"/>
      <c r="BP213" s="118"/>
      <c r="BQ213" s="118"/>
      <c r="BR213" s="118"/>
      <c r="BS213" s="118"/>
      <c r="BT213" s="118"/>
      <c r="BU213" s="118"/>
      <c r="BV213" s="118"/>
      <c r="BW213" s="118"/>
      <c r="BX213" s="118"/>
      <c r="BY213" s="118"/>
      <c r="BZ213" s="118"/>
      <c r="CA213" s="118"/>
      <c r="CB213" s="118"/>
      <c r="CC213" s="118"/>
      <c r="CD213" s="118"/>
      <c r="CE213" s="118"/>
      <c r="CF213" s="118"/>
      <c r="CG213" s="118"/>
      <c r="CH213" s="118"/>
      <c r="CI213" s="118"/>
      <c r="CJ213" s="118"/>
      <c r="CK213" s="118"/>
      <c r="CL213" s="118"/>
      <c r="CM213" s="118"/>
      <c r="CN213" s="118"/>
      <c r="CO213" s="118"/>
      <c r="CP213" s="118"/>
      <c r="CQ213" s="118"/>
      <c r="CR213" s="118"/>
      <c r="CS213" s="118"/>
      <c r="CT213" s="118"/>
      <c r="CU213" s="118"/>
      <c r="CV213" s="118"/>
      <c r="CW213" s="118"/>
      <c r="CX213" s="118"/>
      <c r="CY213" s="118"/>
      <c r="CZ213" s="118"/>
      <c r="DA213" s="118"/>
      <c r="DB213" s="118"/>
      <c r="DC213" s="118"/>
      <c r="DD213" s="118"/>
      <c r="DE213" s="118"/>
      <c r="DF213" s="118"/>
      <c r="DG213" s="118"/>
      <c r="DH213" s="118"/>
      <c r="DI213" s="118"/>
      <c r="DJ213" s="118"/>
      <c r="DK213" s="118"/>
      <c r="DL213" s="118"/>
      <c r="DM213" s="118"/>
      <c r="DN213" s="118"/>
      <c r="DO213" s="118"/>
      <c r="DP213" s="118"/>
      <c r="DQ213" s="118"/>
      <c r="DR213" s="118"/>
      <c r="DS213" s="118"/>
      <c r="DT213" s="118"/>
      <c r="DU213" s="118"/>
      <c r="DV213" s="118"/>
      <c r="DW213" s="118"/>
      <c r="DX213" s="118"/>
      <c r="DY213" s="118"/>
      <c r="DZ213" s="118"/>
      <c r="EA213" s="118"/>
      <c r="EB213" s="118"/>
      <c r="EC213" s="118"/>
      <c r="ED213" s="118"/>
      <c r="EE213" s="118"/>
      <c r="EF213" s="118"/>
      <c r="EG213" s="118"/>
      <c r="EH213" s="118"/>
      <c r="EI213" s="118"/>
      <c r="EJ213" s="118"/>
      <c r="EK213" s="118"/>
      <c r="EL213" s="118"/>
      <c r="EM213" s="118"/>
      <c r="EN213" s="118"/>
      <c r="EO213" s="118"/>
      <c r="EP213" s="118"/>
      <c r="EQ213" s="118"/>
      <c r="ER213" s="118"/>
      <c r="ES213" s="355">
        <f t="shared" si="632"/>
        <v>208</v>
      </c>
      <c r="ET213"/>
      <c r="EU213"/>
      <c r="EV213"/>
      <c r="EW213"/>
      <c r="EX213"/>
      <c r="EY213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</row>
    <row r="214" spans="1:257" s="4" customFormat="1" ht="12.75" customHeight="1" outlineLevel="1">
      <c r="A214" s="15"/>
      <c r="B214" s="121" t="s">
        <v>109</v>
      </c>
      <c r="C214" s="120">
        <f t="shared" ref="C214:AF214" si="687">C7</f>
        <v>1991</v>
      </c>
      <c r="D214" s="120">
        <f t="shared" si="687"/>
        <v>1992</v>
      </c>
      <c r="E214" s="120">
        <f t="shared" si="687"/>
        <v>1993</v>
      </c>
      <c r="F214" s="120">
        <f t="shared" si="687"/>
        <v>1994</v>
      </c>
      <c r="G214" s="120">
        <f t="shared" si="687"/>
        <v>1995</v>
      </c>
      <c r="H214" s="120">
        <f t="shared" si="687"/>
        <v>1996</v>
      </c>
      <c r="I214" s="120">
        <f t="shared" si="687"/>
        <v>1997</v>
      </c>
      <c r="J214" s="120">
        <f t="shared" si="687"/>
        <v>1998</v>
      </c>
      <c r="K214" s="120">
        <f t="shared" si="687"/>
        <v>1999</v>
      </c>
      <c r="L214" s="120">
        <f t="shared" si="687"/>
        <v>2000</v>
      </c>
      <c r="M214" s="120">
        <f t="shared" si="687"/>
        <v>2001</v>
      </c>
      <c r="N214" s="120">
        <f t="shared" si="687"/>
        <v>2002</v>
      </c>
      <c r="O214" s="120">
        <f t="shared" si="687"/>
        <v>2003</v>
      </c>
      <c r="P214" s="120">
        <f t="shared" si="687"/>
        <v>2004</v>
      </c>
      <c r="Q214" s="120">
        <f t="shared" si="687"/>
        <v>2005</v>
      </c>
      <c r="R214" s="120">
        <f t="shared" si="687"/>
        <v>2006</v>
      </c>
      <c r="S214" s="120">
        <f t="shared" si="687"/>
        <v>2007</v>
      </c>
      <c r="T214" s="120">
        <f t="shared" si="687"/>
        <v>2008</v>
      </c>
      <c r="U214" s="120">
        <f t="shared" si="687"/>
        <v>2009</v>
      </c>
      <c r="V214" s="120">
        <f t="shared" si="687"/>
        <v>2010</v>
      </c>
      <c r="W214" s="120">
        <f t="shared" si="687"/>
        <v>2011</v>
      </c>
      <c r="X214" s="120">
        <f t="shared" si="687"/>
        <v>2012</v>
      </c>
      <c r="Y214" s="120">
        <f t="shared" si="687"/>
        <v>2013</v>
      </c>
      <c r="Z214" s="120">
        <f t="shared" si="687"/>
        <v>2014</v>
      </c>
      <c r="AA214" s="120">
        <f t="shared" si="687"/>
        <v>2015</v>
      </c>
      <c r="AB214" s="120">
        <f t="shared" si="687"/>
        <v>2016</v>
      </c>
      <c r="AC214" s="120">
        <f t="shared" si="687"/>
        <v>2017</v>
      </c>
      <c r="AD214" s="120" t="str">
        <f t="shared" si="687"/>
        <v>2018E</v>
      </c>
      <c r="AE214" s="120" t="str">
        <f t="shared" si="687"/>
        <v>2019E</v>
      </c>
      <c r="AF214" s="120" t="str">
        <f t="shared" si="687"/>
        <v>2020E</v>
      </c>
      <c r="AG214" s="17"/>
      <c r="AH214" s="119">
        <f t="shared" ref="AH214:BM214" si="688">AH7</f>
        <v>33969</v>
      </c>
      <c r="AI214" s="119">
        <f t="shared" si="688"/>
        <v>34059</v>
      </c>
      <c r="AJ214" s="119">
        <f t="shared" si="688"/>
        <v>34150</v>
      </c>
      <c r="AK214" s="119">
        <f t="shared" si="688"/>
        <v>34242</v>
      </c>
      <c r="AL214" s="119">
        <f t="shared" si="688"/>
        <v>34334</v>
      </c>
      <c r="AM214" s="119">
        <f t="shared" si="688"/>
        <v>34424</v>
      </c>
      <c r="AN214" s="119">
        <f t="shared" si="688"/>
        <v>34515</v>
      </c>
      <c r="AO214" s="119">
        <f t="shared" si="688"/>
        <v>34607</v>
      </c>
      <c r="AP214" s="119">
        <f t="shared" si="688"/>
        <v>34699</v>
      </c>
      <c r="AQ214" s="119">
        <f t="shared" si="688"/>
        <v>34789</v>
      </c>
      <c r="AR214" s="119">
        <f t="shared" si="688"/>
        <v>34880</v>
      </c>
      <c r="AS214" s="119">
        <f t="shared" si="688"/>
        <v>34972</v>
      </c>
      <c r="AT214" s="119">
        <f t="shared" si="688"/>
        <v>35064</v>
      </c>
      <c r="AU214" s="119">
        <f t="shared" si="688"/>
        <v>35155</v>
      </c>
      <c r="AV214" s="119">
        <f t="shared" si="688"/>
        <v>35246</v>
      </c>
      <c r="AW214" s="119">
        <f t="shared" si="688"/>
        <v>35338</v>
      </c>
      <c r="AX214" s="119">
        <f t="shared" si="688"/>
        <v>35430</v>
      </c>
      <c r="AY214" s="119">
        <f t="shared" si="688"/>
        <v>35520</v>
      </c>
      <c r="AZ214" s="119">
        <f t="shared" si="688"/>
        <v>35611</v>
      </c>
      <c r="BA214" s="119">
        <f t="shared" si="688"/>
        <v>35703</v>
      </c>
      <c r="BB214" s="119">
        <f t="shared" si="688"/>
        <v>35795</v>
      </c>
      <c r="BC214" s="119">
        <f t="shared" si="688"/>
        <v>35885</v>
      </c>
      <c r="BD214" s="119">
        <f t="shared" si="688"/>
        <v>35976</v>
      </c>
      <c r="BE214" s="119">
        <f t="shared" si="688"/>
        <v>36068</v>
      </c>
      <c r="BF214" s="119">
        <f t="shared" si="688"/>
        <v>36160</v>
      </c>
      <c r="BG214" s="119">
        <f t="shared" si="688"/>
        <v>36250</v>
      </c>
      <c r="BH214" s="119">
        <f t="shared" si="688"/>
        <v>36341</v>
      </c>
      <c r="BI214" s="119">
        <f t="shared" si="688"/>
        <v>36433</v>
      </c>
      <c r="BJ214" s="119">
        <f t="shared" si="688"/>
        <v>36525</v>
      </c>
      <c r="BK214" s="119">
        <f t="shared" si="688"/>
        <v>36616</v>
      </c>
      <c r="BL214" s="119">
        <f t="shared" si="688"/>
        <v>36707</v>
      </c>
      <c r="BM214" s="119">
        <f t="shared" si="688"/>
        <v>36799</v>
      </c>
      <c r="BN214" s="119">
        <f t="shared" ref="BN214:CS214" si="689">BN7</f>
        <v>36891</v>
      </c>
      <c r="BO214" s="119">
        <f t="shared" si="689"/>
        <v>36981</v>
      </c>
      <c r="BP214" s="119">
        <f t="shared" si="689"/>
        <v>37072</v>
      </c>
      <c r="BQ214" s="119">
        <f t="shared" si="689"/>
        <v>37164</v>
      </c>
      <c r="BR214" s="119">
        <f t="shared" si="689"/>
        <v>37256</v>
      </c>
      <c r="BS214" s="119">
        <f t="shared" si="689"/>
        <v>37346</v>
      </c>
      <c r="BT214" s="119">
        <f t="shared" si="689"/>
        <v>37437</v>
      </c>
      <c r="BU214" s="119">
        <f t="shared" si="689"/>
        <v>37529</v>
      </c>
      <c r="BV214" s="119">
        <f t="shared" si="689"/>
        <v>37621</v>
      </c>
      <c r="BW214" s="119">
        <f t="shared" si="689"/>
        <v>37711</v>
      </c>
      <c r="BX214" s="119">
        <f t="shared" si="689"/>
        <v>37802</v>
      </c>
      <c r="BY214" s="119">
        <f t="shared" si="689"/>
        <v>37894</v>
      </c>
      <c r="BZ214" s="119">
        <f t="shared" si="689"/>
        <v>37986</v>
      </c>
      <c r="CA214" s="119">
        <f t="shared" si="689"/>
        <v>38077</v>
      </c>
      <c r="CB214" s="119">
        <f t="shared" si="689"/>
        <v>38168</v>
      </c>
      <c r="CC214" s="119">
        <f t="shared" si="689"/>
        <v>38260</v>
      </c>
      <c r="CD214" s="119">
        <f t="shared" si="689"/>
        <v>38352</v>
      </c>
      <c r="CE214" s="119">
        <f t="shared" si="689"/>
        <v>38442</v>
      </c>
      <c r="CF214" s="119">
        <f t="shared" si="689"/>
        <v>38533</v>
      </c>
      <c r="CG214" s="119">
        <f t="shared" si="689"/>
        <v>38625</v>
      </c>
      <c r="CH214" s="119">
        <f t="shared" si="689"/>
        <v>38717</v>
      </c>
      <c r="CI214" s="119">
        <f t="shared" si="689"/>
        <v>38807</v>
      </c>
      <c r="CJ214" s="119">
        <f t="shared" si="689"/>
        <v>38898</v>
      </c>
      <c r="CK214" s="119">
        <f t="shared" si="689"/>
        <v>38990</v>
      </c>
      <c r="CL214" s="119">
        <f t="shared" si="689"/>
        <v>39082</v>
      </c>
      <c r="CM214" s="119">
        <f t="shared" si="689"/>
        <v>39172</v>
      </c>
      <c r="CN214" s="119">
        <f t="shared" si="689"/>
        <v>39263</v>
      </c>
      <c r="CO214" s="119">
        <f t="shared" si="689"/>
        <v>39355</v>
      </c>
      <c r="CP214" s="119">
        <f t="shared" si="689"/>
        <v>39447</v>
      </c>
      <c r="CQ214" s="119">
        <f t="shared" si="689"/>
        <v>39538</v>
      </c>
      <c r="CR214" s="119">
        <f t="shared" si="689"/>
        <v>39629</v>
      </c>
      <c r="CS214" s="119">
        <f t="shared" si="689"/>
        <v>39721</v>
      </c>
      <c r="CT214" s="119">
        <f t="shared" ref="CT214:DY214" si="690">CT7</f>
        <v>39813</v>
      </c>
      <c r="CU214" s="119">
        <f t="shared" si="690"/>
        <v>39903</v>
      </c>
      <c r="CV214" s="119">
        <f t="shared" si="690"/>
        <v>39994</v>
      </c>
      <c r="CW214" s="119">
        <f t="shared" si="690"/>
        <v>40086</v>
      </c>
      <c r="CX214" s="119">
        <f t="shared" si="690"/>
        <v>40178</v>
      </c>
      <c r="CY214" s="119">
        <f t="shared" si="690"/>
        <v>40268</v>
      </c>
      <c r="CZ214" s="119">
        <f t="shared" si="690"/>
        <v>40359</v>
      </c>
      <c r="DA214" s="119">
        <f t="shared" si="690"/>
        <v>40451</v>
      </c>
      <c r="DB214" s="119">
        <f t="shared" si="690"/>
        <v>40543</v>
      </c>
      <c r="DC214" s="119">
        <f t="shared" si="690"/>
        <v>40633</v>
      </c>
      <c r="DD214" s="119">
        <f t="shared" si="690"/>
        <v>40724</v>
      </c>
      <c r="DE214" s="119">
        <f t="shared" si="690"/>
        <v>40816</v>
      </c>
      <c r="DF214" s="119">
        <f t="shared" si="690"/>
        <v>40908</v>
      </c>
      <c r="DG214" s="119">
        <f t="shared" si="690"/>
        <v>40999</v>
      </c>
      <c r="DH214" s="119">
        <f t="shared" si="690"/>
        <v>41090</v>
      </c>
      <c r="DI214" s="119">
        <f t="shared" si="690"/>
        <v>41182</v>
      </c>
      <c r="DJ214" s="119">
        <f t="shared" si="690"/>
        <v>41274</v>
      </c>
      <c r="DK214" s="119">
        <f t="shared" si="690"/>
        <v>41364</v>
      </c>
      <c r="DL214" s="119">
        <f t="shared" si="690"/>
        <v>41455</v>
      </c>
      <c r="DM214" s="119">
        <f t="shared" si="690"/>
        <v>41547</v>
      </c>
      <c r="DN214" s="119">
        <f t="shared" si="690"/>
        <v>41639</v>
      </c>
      <c r="DO214" s="119">
        <f t="shared" si="690"/>
        <v>41729</v>
      </c>
      <c r="DP214" s="119">
        <f t="shared" si="690"/>
        <v>41820</v>
      </c>
      <c r="DQ214" s="119">
        <f t="shared" si="690"/>
        <v>41912</v>
      </c>
      <c r="DR214" s="119">
        <f t="shared" si="690"/>
        <v>42004</v>
      </c>
      <c r="DS214" s="119">
        <f t="shared" si="690"/>
        <v>42094</v>
      </c>
      <c r="DT214" s="119">
        <f t="shared" si="690"/>
        <v>42185</v>
      </c>
      <c r="DU214" s="119">
        <f t="shared" si="690"/>
        <v>42277</v>
      </c>
      <c r="DV214" s="119">
        <f t="shared" si="690"/>
        <v>42369</v>
      </c>
      <c r="DW214" s="119">
        <f t="shared" si="690"/>
        <v>42460</v>
      </c>
      <c r="DX214" s="119">
        <f t="shared" si="690"/>
        <v>42551</v>
      </c>
      <c r="DY214" s="119">
        <f t="shared" si="690"/>
        <v>42643</v>
      </c>
      <c r="DZ214" s="119">
        <f t="shared" ref="DZ214:EP214" si="691">DZ7</f>
        <v>42735</v>
      </c>
      <c r="EA214" s="119">
        <f t="shared" ref="EA214:EB214" si="692">EA7</f>
        <v>42825</v>
      </c>
      <c r="EB214" s="119">
        <f t="shared" si="692"/>
        <v>42916</v>
      </c>
      <c r="EC214" s="119">
        <f t="shared" si="691"/>
        <v>43008</v>
      </c>
      <c r="ED214" s="119">
        <f t="shared" si="691"/>
        <v>43100</v>
      </c>
      <c r="EE214" s="119">
        <f t="shared" si="691"/>
        <v>43190</v>
      </c>
      <c r="EF214" s="119">
        <f t="shared" si="691"/>
        <v>43281</v>
      </c>
      <c r="EG214" s="119">
        <f t="shared" si="691"/>
        <v>43373</v>
      </c>
      <c r="EH214" s="119">
        <f t="shared" si="691"/>
        <v>43465</v>
      </c>
      <c r="EI214" s="119">
        <f t="shared" si="691"/>
        <v>43555</v>
      </c>
      <c r="EJ214" s="119">
        <f t="shared" si="691"/>
        <v>43646</v>
      </c>
      <c r="EK214" s="119">
        <f t="shared" si="691"/>
        <v>43738</v>
      </c>
      <c r="EL214" s="119">
        <f t="shared" si="691"/>
        <v>43830</v>
      </c>
      <c r="EM214" s="119">
        <f t="shared" si="691"/>
        <v>43921</v>
      </c>
      <c r="EN214" s="119">
        <f t="shared" si="691"/>
        <v>44012</v>
      </c>
      <c r="EO214" s="119">
        <f t="shared" si="691"/>
        <v>44104</v>
      </c>
      <c r="EP214" s="119">
        <f t="shared" si="691"/>
        <v>44196</v>
      </c>
      <c r="EQ214" s="118"/>
      <c r="ER214" s="118"/>
      <c r="ES214" s="355">
        <f t="shared" si="632"/>
        <v>209</v>
      </c>
      <c r="ET214"/>
      <c r="EU214"/>
      <c r="EV214"/>
      <c r="EW214"/>
      <c r="EX214"/>
      <c r="EY214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</row>
    <row r="215" spans="1:257" s="4" customFormat="1" ht="12.75" customHeight="1" outlineLevel="1">
      <c r="A215" s="15"/>
      <c r="B215" s="37" t="s">
        <v>141</v>
      </c>
      <c r="C215" s="141"/>
      <c r="D215" s="141"/>
      <c r="E215" s="141">
        <f t="shared" ref="E215:Y215" si="693">E50</f>
        <v>24.550000000000043</v>
      </c>
      <c r="F215" s="141">
        <f t="shared" si="693"/>
        <v>24.970999999999989</v>
      </c>
      <c r="G215" s="141">
        <f t="shared" si="693"/>
        <v>9.7509999999999906</v>
      </c>
      <c r="H215" s="141">
        <f t="shared" si="693"/>
        <v>72.566000000000003</v>
      </c>
      <c r="I215" s="141">
        <f t="shared" si="693"/>
        <v>84.189000000000007</v>
      </c>
      <c r="J215" s="141">
        <f t="shared" si="693"/>
        <v>101.15400000000005</v>
      </c>
      <c r="K215" s="141">
        <f t="shared" si="693"/>
        <v>42.788000000000025</v>
      </c>
      <c r="L215" s="141">
        <f t="shared" si="693"/>
        <v>82.300000000000011</v>
      </c>
      <c r="M215" s="141">
        <f t="shared" si="693"/>
        <v>144.25399999999999</v>
      </c>
      <c r="N215" s="141">
        <f t="shared" si="693"/>
        <v>63.517000000000024</v>
      </c>
      <c r="O215" s="141">
        <f t="shared" si="693"/>
        <v>17.872999999999976</v>
      </c>
      <c r="P215" s="141">
        <f t="shared" si="693"/>
        <v>4.3590000000000408</v>
      </c>
      <c r="Q215" s="141">
        <f t="shared" si="693"/>
        <v>127.60600000000012</v>
      </c>
      <c r="R215" s="141">
        <f t="shared" si="693"/>
        <v>293.858</v>
      </c>
      <c r="S215" s="141">
        <f t="shared" si="693"/>
        <v>449.26099999999957</v>
      </c>
      <c r="T215" s="141">
        <f t="shared" si="693"/>
        <v>461.73800000000006</v>
      </c>
      <c r="U215" s="141">
        <f t="shared" si="693"/>
        <v>353.54499999999996</v>
      </c>
      <c r="V215" s="141">
        <f t="shared" si="693"/>
        <v>156.804</v>
      </c>
      <c r="W215" s="141">
        <f t="shared" si="693"/>
        <v>434.18599999999992</v>
      </c>
      <c r="X215" s="141">
        <f t="shared" si="693"/>
        <v>581.04500000000019</v>
      </c>
      <c r="Y215" s="141">
        <f t="shared" si="693"/>
        <v>736.63899999999944</v>
      </c>
      <c r="Z215" s="141">
        <f t="shared" ref="Z215:AF222" si="694">SUMIF($AH$5:$ER$5,Z$5,$AH215:$ER215)</f>
        <v>708.71899999999994</v>
      </c>
      <c r="AA215" s="141">
        <f t="shared" si="694"/>
        <v>422.22493400000002</v>
      </c>
      <c r="AB215" s="141">
        <f t="shared" si="694"/>
        <v>-56.827999999999925</v>
      </c>
      <c r="AC215" s="141">
        <f t="shared" si="694"/>
        <v>-128.21239000000006</v>
      </c>
      <c r="AD215" s="141">
        <f t="shared" si="694"/>
        <v>529.95124547879448</v>
      </c>
      <c r="AE215" s="141">
        <f t="shared" si="694"/>
        <v>195.03085741030395</v>
      </c>
      <c r="AF215" s="141">
        <f t="shared" si="694"/>
        <v>253.83822227496833</v>
      </c>
      <c r="AG215" s="129"/>
      <c r="AH215" s="141">
        <f t="shared" ref="AH215:BM215" si="695">AH50</f>
        <v>7.2189999999999985</v>
      </c>
      <c r="AI215" s="141">
        <f t="shared" si="695"/>
        <v>7.2680000000000016</v>
      </c>
      <c r="AJ215" s="141">
        <f t="shared" si="695"/>
        <v>4.9309999999999992</v>
      </c>
      <c r="AK215" s="141">
        <f t="shared" si="695"/>
        <v>5.1320000000000219</v>
      </c>
      <c r="AL215" s="141">
        <f t="shared" si="695"/>
        <v>11.253000000000004</v>
      </c>
      <c r="AM215" s="141">
        <f t="shared" si="695"/>
        <v>6.1549999999999931</v>
      </c>
      <c r="AN215" s="141">
        <f t="shared" si="695"/>
        <v>4.6600000000000099</v>
      </c>
      <c r="AO215" s="141">
        <f t="shared" si="695"/>
        <v>2.9029999999999707</v>
      </c>
      <c r="AP215" s="141">
        <f t="shared" si="695"/>
        <v>4.4160000000000075</v>
      </c>
      <c r="AQ215" s="141">
        <f t="shared" si="695"/>
        <v>5.8199999999999976</v>
      </c>
      <c r="AR215" s="141">
        <f t="shared" si="695"/>
        <v>4.583999999999997</v>
      </c>
      <c r="AS215" s="141">
        <f t="shared" si="695"/>
        <v>-5.0690000000000115</v>
      </c>
      <c r="AT215" s="141">
        <f t="shared" si="695"/>
        <v>11.093000000000009</v>
      </c>
      <c r="AU215" s="141">
        <f t="shared" si="695"/>
        <v>11.026999999999996</v>
      </c>
      <c r="AV215" s="141">
        <f t="shared" si="695"/>
        <v>13.158000000000001</v>
      </c>
      <c r="AW215" s="141">
        <f t="shared" si="695"/>
        <v>37.288000000000025</v>
      </c>
      <c r="AX215" s="141">
        <f t="shared" si="695"/>
        <v>20.125</v>
      </c>
      <c r="AY215" s="141">
        <f t="shared" si="695"/>
        <v>22.417999999999999</v>
      </c>
      <c r="AZ215" s="141">
        <f t="shared" si="695"/>
        <v>23.648000000000007</v>
      </c>
      <c r="BA215" s="141">
        <f t="shared" si="695"/>
        <v>17.998000000000058</v>
      </c>
      <c r="BB215" s="141">
        <f t="shared" si="695"/>
        <v>29.16500000000001</v>
      </c>
      <c r="BC215" s="141">
        <f t="shared" si="695"/>
        <v>19.337</v>
      </c>
      <c r="BD215" s="141">
        <f t="shared" si="695"/>
        <v>33.86099999999999</v>
      </c>
      <c r="BE215" s="141">
        <f t="shared" si="695"/>
        <v>18.791000000000128</v>
      </c>
      <c r="BF215" s="141">
        <f t="shared" si="695"/>
        <v>12.810999999999993</v>
      </c>
      <c r="BG215" s="141">
        <f t="shared" si="695"/>
        <v>7.352000000000003</v>
      </c>
      <c r="BH215" s="141">
        <f t="shared" si="695"/>
        <v>12.195999999999987</v>
      </c>
      <c r="BI215" s="141">
        <f t="shared" si="695"/>
        <v>10.429000000000061</v>
      </c>
      <c r="BJ215" s="141">
        <f t="shared" si="695"/>
        <v>20.460999999999991</v>
      </c>
      <c r="BK215" s="141">
        <f t="shared" si="695"/>
        <v>19.273000000000007</v>
      </c>
      <c r="BL215" s="141">
        <f t="shared" si="695"/>
        <v>18.556999999999995</v>
      </c>
      <c r="BM215" s="141">
        <f t="shared" si="695"/>
        <v>24.008999999999997</v>
      </c>
      <c r="BN215" s="141">
        <f t="shared" ref="BN215:CS215" si="696">BN50</f>
        <v>33.839999999999989</v>
      </c>
      <c r="BO215" s="141">
        <f t="shared" si="696"/>
        <v>41.749000000000017</v>
      </c>
      <c r="BP215" s="141">
        <f t="shared" si="696"/>
        <v>40.437000000000019</v>
      </c>
      <c r="BQ215" s="141">
        <f t="shared" si="696"/>
        <v>28.227999999999991</v>
      </c>
      <c r="BR215" s="141">
        <f t="shared" si="696"/>
        <v>15.603999999999999</v>
      </c>
      <c r="BS215" s="141">
        <f t="shared" si="696"/>
        <v>10.872</v>
      </c>
      <c r="BT215" s="141">
        <f t="shared" si="696"/>
        <v>28.218</v>
      </c>
      <c r="BU215" s="141">
        <f t="shared" si="696"/>
        <v>8.8230000000000004</v>
      </c>
      <c r="BV215" s="141">
        <f t="shared" si="696"/>
        <v>0.60700000000000642</v>
      </c>
      <c r="BW215" s="141">
        <f t="shared" si="696"/>
        <v>2.5740000000000056</v>
      </c>
      <c r="BX215" s="141">
        <f t="shared" si="696"/>
        <v>8.1619999999999955</v>
      </c>
      <c r="BY215" s="141">
        <f t="shared" si="696"/>
        <v>6.5299999999999976</v>
      </c>
      <c r="BZ215" s="141">
        <f t="shared" si="696"/>
        <v>6.5879999999999894</v>
      </c>
      <c r="CA215" s="141">
        <f t="shared" si="696"/>
        <v>6.0479999999999956</v>
      </c>
      <c r="CB215" s="141">
        <f t="shared" si="696"/>
        <v>4.3470000000000049</v>
      </c>
      <c r="CC215" s="141">
        <f t="shared" si="696"/>
        <v>-12.623999999999981</v>
      </c>
      <c r="CD215" s="141">
        <f t="shared" si="696"/>
        <v>39.31</v>
      </c>
      <c r="CE215" s="141">
        <f t="shared" si="696"/>
        <v>22.350000000000012</v>
      </c>
      <c r="CF215" s="141">
        <f t="shared" si="696"/>
        <v>29.824999999999996</v>
      </c>
      <c r="CG215" s="141">
        <f t="shared" si="696"/>
        <v>36.121000000000016</v>
      </c>
      <c r="CH215" s="141">
        <f t="shared" si="696"/>
        <v>50.813999999999993</v>
      </c>
      <c r="CI215" s="141">
        <f t="shared" si="696"/>
        <v>64.572999999999979</v>
      </c>
      <c r="CJ215" s="141">
        <f t="shared" si="696"/>
        <v>79.975000000000037</v>
      </c>
      <c r="CK215" s="141">
        <f t="shared" si="696"/>
        <v>98.496000000000024</v>
      </c>
      <c r="CL215" s="141">
        <f t="shared" si="696"/>
        <v>110.78599999999997</v>
      </c>
      <c r="CM215" s="141">
        <f t="shared" si="696"/>
        <v>106.86099999999996</v>
      </c>
      <c r="CN215" s="141">
        <f t="shared" si="696"/>
        <v>115.20399999999994</v>
      </c>
      <c r="CO215" s="141">
        <f t="shared" si="696"/>
        <v>116.41000000000001</v>
      </c>
      <c r="CP215" s="141">
        <f t="shared" si="696"/>
        <v>107.83000000000008</v>
      </c>
      <c r="CQ215" s="141">
        <f t="shared" si="696"/>
        <v>102.05399999999995</v>
      </c>
      <c r="CR215" s="141">
        <f t="shared" si="696"/>
        <v>125.36900000000003</v>
      </c>
      <c r="CS215" s="141">
        <f t="shared" si="696"/>
        <v>126.48499999999994</v>
      </c>
      <c r="CT215" s="141">
        <f t="shared" ref="CT215:DY215" si="697">CT50</f>
        <v>145.27499999999998</v>
      </c>
      <c r="CU215" s="141">
        <f t="shared" si="697"/>
        <v>103.738</v>
      </c>
      <c r="CV215" s="141">
        <f t="shared" si="697"/>
        <v>53.044000000000054</v>
      </c>
      <c r="CW215" s="141">
        <f t="shared" si="697"/>
        <v>51.488000000000035</v>
      </c>
      <c r="CX215" s="141">
        <f t="shared" si="697"/>
        <v>63.235000000000099</v>
      </c>
      <c r="CY215" s="141">
        <f t="shared" si="697"/>
        <v>46.746999999999936</v>
      </c>
      <c r="CZ215" s="141">
        <f t="shared" si="697"/>
        <v>-36.715000000000003</v>
      </c>
      <c r="DA215" s="141">
        <f t="shared" si="697"/>
        <v>83.537000000000006</v>
      </c>
      <c r="DB215" s="141">
        <f t="shared" si="697"/>
        <v>104.14999999999992</v>
      </c>
      <c r="DC215" s="141">
        <f t="shared" si="697"/>
        <v>98.789999999999964</v>
      </c>
      <c r="DD215" s="141">
        <f t="shared" si="697"/>
        <v>109.82599999999991</v>
      </c>
      <c r="DE215" s="141">
        <f t="shared" si="697"/>
        <v>121.41999999999999</v>
      </c>
      <c r="DF215" s="141">
        <f t="shared" si="697"/>
        <v>144.28600000000003</v>
      </c>
      <c r="DG215" s="141">
        <f t="shared" si="697"/>
        <v>129.71899999999994</v>
      </c>
      <c r="DH215" s="141">
        <f t="shared" si="697"/>
        <v>149.92499999999984</v>
      </c>
      <c r="DI215" s="141">
        <f t="shared" si="697"/>
        <v>157.11500000000007</v>
      </c>
      <c r="DJ215" s="141">
        <f t="shared" si="697"/>
        <v>159.60299999999989</v>
      </c>
      <c r="DK215" s="141">
        <f t="shared" si="697"/>
        <v>151.08000000000004</v>
      </c>
      <c r="DL215" s="141">
        <f t="shared" si="697"/>
        <v>266.15899999999999</v>
      </c>
      <c r="DM215" s="141">
        <f t="shared" si="697"/>
        <v>159.79700000000003</v>
      </c>
      <c r="DN215" s="152">
        <f t="shared" si="697"/>
        <v>173.18199999999999</v>
      </c>
      <c r="DO215" s="152">
        <f t="shared" si="697"/>
        <v>174.57000000000011</v>
      </c>
      <c r="DP215" s="152">
        <f t="shared" si="697"/>
        <v>192.27899999999988</v>
      </c>
      <c r="DQ215" s="152">
        <f t="shared" si="697"/>
        <v>168.68799999999999</v>
      </c>
      <c r="DR215" s="152">
        <f t="shared" si="697"/>
        <v>203.04200000000006</v>
      </c>
      <c r="DS215" s="152">
        <f t="shared" si="697"/>
        <v>149.53693400000003</v>
      </c>
      <c r="DT215" s="152">
        <f t="shared" si="697"/>
        <v>90.859999999999985</v>
      </c>
      <c r="DU215" s="152">
        <f t="shared" si="697"/>
        <v>-21.214000000000087</v>
      </c>
      <c r="DV215" s="152">
        <f t="shared" si="697"/>
        <v>16.002000000000031</v>
      </c>
      <c r="DW215" s="152">
        <f t="shared" si="697"/>
        <v>21.204999999999981</v>
      </c>
      <c r="DX215" s="152">
        <f t="shared" si="697"/>
        <v>-21.199999999999939</v>
      </c>
      <c r="DY215" s="152">
        <f t="shared" si="697"/>
        <v>-72.834999999999994</v>
      </c>
      <c r="DZ215" s="152">
        <f t="shared" ref="DZ215:EP215" si="698">DZ50</f>
        <v>-35.063389999999977</v>
      </c>
      <c r="EA215" s="152">
        <f t="shared" ref="EA215" si="699">EA50</f>
        <v>-48.817999999999991</v>
      </c>
      <c r="EB215" s="152">
        <f t="shared" ref="EB215" si="700">EB50</f>
        <v>-21.798999999999978</v>
      </c>
      <c r="EC215" s="152">
        <f t="shared" si="698"/>
        <v>-22.532000000000107</v>
      </c>
      <c r="ED215" s="152">
        <f t="shared" si="698"/>
        <v>500.10555399999993</v>
      </c>
      <c r="EE215" s="141">
        <f t="shared" si="698"/>
        <v>-2.8319768100834279</v>
      </c>
      <c r="EF215" s="141">
        <f t="shared" si="698"/>
        <v>7.2119359954392648</v>
      </c>
      <c r="EG215" s="141">
        <f t="shared" si="698"/>
        <v>25.465732293438641</v>
      </c>
      <c r="EH215" s="141">
        <f t="shared" si="698"/>
        <v>37.147071388719212</v>
      </c>
      <c r="EI215" s="141">
        <f t="shared" si="698"/>
        <v>46.271763375570721</v>
      </c>
      <c r="EJ215" s="141">
        <f t="shared" si="698"/>
        <v>52.936727550966552</v>
      </c>
      <c r="EK215" s="141">
        <f t="shared" si="698"/>
        <v>58.675295095047488</v>
      </c>
      <c r="EL215" s="141">
        <f t="shared" si="698"/>
        <v>67.134166645629847</v>
      </c>
      <c r="EM215" s="141">
        <f t="shared" si="698"/>
        <v>63.198940952978433</v>
      </c>
      <c r="EN215" s="141">
        <f t="shared" si="698"/>
        <v>61.512198204638338</v>
      </c>
      <c r="EO215" s="141">
        <f t="shared" si="698"/>
        <v>61.992916471721713</v>
      </c>
      <c r="EP215" s="141">
        <f t="shared" si="698"/>
        <v>60.291562378347123</v>
      </c>
      <c r="EQ215" s="129"/>
      <c r="ER215" s="129"/>
      <c r="ES215" s="355">
        <f t="shared" si="632"/>
        <v>210</v>
      </c>
      <c r="ET215"/>
      <c r="EU215"/>
      <c r="EV215"/>
      <c r="EW215"/>
      <c r="EX215"/>
      <c r="EY215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</row>
    <row r="216" spans="1:257" s="4" customFormat="1" ht="12.75" customHeight="1" outlineLevel="1">
      <c r="A216" s="15"/>
      <c r="B216" s="37" t="s">
        <v>140</v>
      </c>
      <c r="C216" s="141"/>
      <c r="D216" s="141"/>
      <c r="E216" s="141">
        <f t="shared" ref="E216:U216" si="701">E48</f>
        <v>0</v>
      </c>
      <c r="F216" s="141">
        <f t="shared" si="701"/>
        <v>0</v>
      </c>
      <c r="G216" s="141">
        <f t="shared" si="701"/>
        <v>3.9630000000000001</v>
      </c>
      <c r="H216" s="141">
        <f t="shared" si="701"/>
        <v>27.14</v>
      </c>
      <c r="I216" s="141">
        <f t="shared" si="701"/>
        <v>0</v>
      </c>
      <c r="J216" s="141">
        <f t="shared" si="701"/>
        <v>0</v>
      </c>
      <c r="K216" s="141">
        <f t="shared" si="701"/>
        <v>0</v>
      </c>
      <c r="L216" s="141">
        <f t="shared" si="701"/>
        <v>0</v>
      </c>
      <c r="M216" s="141">
        <f t="shared" si="701"/>
        <v>-2.4E-2</v>
      </c>
      <c r="N216" s="141">
        <f t="shared" si="701"/>
        <v>9.8109999999999999</v>
      </c>
      <c r="O216" s="141">
        <f t="shared" si="701"/>
        <v>0</v>
      </c>
      <c r="P216" s="141">
        <f t="shared" si="701"/>
        <v>0</v>
      </c>
      <c r="Q216" s="141">
        <f t="shared" si="701"/>
        <v>0</v>
      </c>
      <c r="R216" s="141">
        <f t="shared" si="701"/>
        <v>0</v>
      </c>
      <c r="S216" s="141">
        <f t="shared" si="701"/>
        <v>0</v>
      </c>
      <c r="T216" s="141">
        <f t="shared" si="701"/>
        <v>0</v>
      </c>
      <c r="U216" s="141">
        <f t="shared" si="701"/>
        <v>0</v>
      </c>
      <c r="V216" s="129">
        <f>SUM(CX216:DA216)</f>
        <v>101.598</v>
      </c>
      <c r="W216" s="141">
        <f>W48</f>
        <v>-0.48199999999999998</v>
      </c>
      <c r="X216" s="141">
        <f>X48</f>
        <v>7.4359999999999999</v>
      </c>
      <c r="Y216" s="141">
        <f>Y48</f>
        <v>15.186</v>
      </c>
      <c r="Z216" s="141">
        <f t="shared" si="694"/>
        <v>4.7E-2</v>
      </c>
      <c r="AA216" s="141">
        <f t="shared" si="694"/>
        <v>4.6999999999999993E-2</v>
      </c>
      <c r="AB216" s="141">
        <f t="shared" si="694"/>
        <v>3.8380000000000001</v>
      </c>
      <c r="AC216" s="141">
        <f t="shared" si="694"/>
        <v>0.34899999999999987</v>
      </c>
      <c r="AD216" s="141">
        <f t="shared" si="694"/>
        <v>0.53600000000000003</v>
      </c>
      <c r="AE216" s="141">
        <f t="shared" si="694"/>
        <v>0</v>
      </c>
      <c r="AF216" s="141">
        <f t="shared" si="694"/>
        <v>0</v>
      </c>
      <c r="AG216" s="129"/>
      <c r="AH216" s="141">
        <f t="shared" ref="AH216:BM216" si="702">-AH48</f>
        <v>0</v>
      </c>
      <c r="AI216" s="141">
        <f t="shared" si="702"/>
        <v>0</v>
      </c>
      <c r="AJ216" s="141">
        <f t="shared" si="702"/>
        <v>0</v>
      </c>
      <c r="AK216" s="141">
        <f t="shared" si="702"/>
        <v>0</v>
      </c>
      <c r="AL216" s="141">
        <f t="shared" si="702"/>
        <v>0</v>
      </c>
      <c r="AM216" s="141">
        <f t="shared" si="702"/>
        <v>0</v>
      </c>
      <c r="AN216" s="141">
        <f t="shared" si="702"/>
        <v>0</v>
      </c>
      <c r="AO216" s="141">
        <f t="shared" si="702"/>
        <v>0</v>
      </c>
      <c r="AP216" s="141">
        <f t="shared" si="702"/>
        <v>0</v>
      </c>
      <c r="AQ216" s="141">
        <f t="shared" si="702"/>
        <v>0</v>
      </c>
      <c r="AR216" s="141">
        <f t="shared" si="702"/>
        <v>0</v>
      </c>
      <c r="AS216" s="141">
        <f t="shared" si="702"/>
        <v>-3.9630000000000001</v>
      </c>
      <c r="AT216" s="141">
        <f t="shared" si="702"/>
        <v>-1.625</v>
      </c>
      <c r="AU216" s="141">
        <f t="shared" si="702"/>
        <v>-1.2250000000000001</v>
      </c>
      <c r="AV216" s="141">
        <f t="shared" si="702"/>
        <v>-0.50800000000000001</v>
      </c>
      <c r="AW216" s="141">
        <f t="shared" si="702"/>
        <v>-23.782</v>
      </c>
      <c r="AX216" s="141">
        <f t="shared" si="702"/>
        <v>0</v>
      </c>
      <c r="AY216" s="141">
        <f t="shared" si="702"/>
        <v>0</v>
      </c>
      <c r="AZ216" s="141">
        <f t="shared" si="702"/>
        <v>0</v>
      </c>
      <c r="BA216" s="141">
        <f t="shared" si="702"/>
        <v>0</v>
      </c>
      <c r="BB216" s="141">
        <f t="shared" si="702"/>
        <v>0</v>
      </c>
      <c r="BC216" s="141">
        <f t="shared" si="702"/>
        <v>0</v>
      </c>
      <c r="BD216" s="141">
        <f t="shared" si="702"/>
        <v>0</v>
      </c>
      <c r="BE216" s="141">
        <f t="shared" si="702"/>
        <v>0</v>
      </c>
      <c r="BF216" s="141">
        <f t="shared" si="702"/>
        <v>0</v>
      </c>
      <c r="BG216" s="141">
        <f t="shared" si="702"/>
        <v>0</v>
      </c>
      <c r="BH216" s="141">
        <f t="shared" si="702"/>
        <v>0</v>
      </c>
      <c r="BI216" s="141">
        <f t="shared" si="702"/>
        <v>0</v>
      </c>
      <c r="BJ216" s="141">
        <f t="shared" si="702"/>
        <v>0</v>
      </c>
      <c r="BK216" s="141">
        <f t="shared" si="702"/>
        <v>0</v>
      </c>
      <c r="BL216" s="141">
        <f t="shared" si="702"/>
        <v>0</v>
      </c>
      <c r="BM216" s="141">
        <f t="shared" si="702"/>
        <v>0</v>
      </c>
      <c r="BN216" s="141">
        <f t="shared" ref="BN216:CS216" si="703">-BN48</f>
        <v>0</v>
      </c>
      <c r="BO216" s="141">
        <f t="shared" si="703"/>
        <v>0</v>
      </c>
      <c r="BP216" s="141">
        <f t="shared" si="703"/>
        <v>0</v>
      </c>
      <c r="BQ216" s="141">
        <f t="shared" si="703"/>
        <v>2.4E-2</v>
      </c>
      <c r="BR216" s="141">
        <f t="shared" si="703"/>
        <v>2.5230000000000001</v>
      </c>
      <c r="BS216" s="141">
        <f t="shared" si="703"/>
        <v>-2.7429999999999999</v>
      </c>
      <c r="BT216" s="141">
        <f t="shared" si="703"/>
        <v>-5.6669999999999998</v>
      </c>
      <c r="BU216" s="141">
        <f t="shared" si="703"/>
        <v>-3.9239999999999999</v>
      </c>
      <c r="BV216" s="141">
        <f t="shared" si="703"/>
        <v>0</v>
      </c>
      <c r="BW216" s="141">
        <f t="shared" si="703"/>
        <v>0</v>
      </c>
      <c r="BX216" s="141">
        <f t="shared" si="703"/>
        <v>0</v>
      </c>
      <c r="BY216" s="141">
        <f t="shared" si="703"/>
        <v>0</v>
      </c>
      <c r="BZ216" s="141">
        <f t="shared" si="703"/>
        <v>0</v>
      </c>
      <c r="CA216" s="141">
        <f t="shared" si="703"/>
        <v>0</v>
      </c>
      <c r="CB216" s="141">
        <f t="shared" si="703"/>
        <v>0</v>
      </c>
      <c r="CC216" s="141">
        <f t="shared" si="703"/>
        <v>0</v>
      </c>
      <c r="CD216" s="141">
        <f t="shared" si="703"/>
        <v>0</v>
      </c>
      <c r="CE216" s="141">
        <f t="shared" si="703"/>
        <v>0</v>
      </c>
      <c r="CF216" s="141">
        <f t="shared" si="703"/>
        <v>0</v>
      </c>
      <c r="CG216" s="141">
        <f t="shared" si="703"/>
        <v>0</v>
      </c>
      <c r="CH216" s="141">
        <f t="shared" si="703"/>
        <v>0</v>
      </c>
      <c r="CI216" s="141">
        <f t="shared" si="703"/>
        <v>0</v>
      </c>
      <c r="CJ216" s="141">
        <f t="shared" si="703"/>
        <v>0</v>
      </c>
      <c r="CK216" s="141">
        <f t="shared" si="703"/>
        <v>0</v>
      </c>
      <c r="CL216" s="141">
        <f t="shared" si="703"/>
        <v>0</v>
      </c>
      <c r="CM216" s="141">
        <f t="shared" si="703"/>
        <v>0</v>
      </c>
      <c r="CN216" s="141">
        <f t="shared" si="703"/>
        <v>0</v>
      </c>
      <c r="CO216" s="141">
        <f t="shared" si="703"/>
        <v>0</v>
      </c>
      <c r="CP216" s="141">
        <f t="shared" si="703"/>
        <v>0</v>
      </c>
      <c r="CQ216" s="141">
        <f t="shared" si="703"/>
        <v>0</v>
      </c>
      <c r="CR216" s="141">
        <f t="shared" si="703"/>
        <v>0</v>
      </c>
      <c r="CS216" s="141">
        <f t="shared" si="703"/>
        <v>0</v>
      </c>
      <c r="CT216" s="141">
        <f t="shared" ref="CT216:DY216" si="704">-CT48</f>
        <v>0</v>
      </c>
      <c r="CU216" s="141">
        <f t="shared" si="704"/>
        <v>0</v>
      </c>
      <c r="CV216" s="141">
        <f t="shared" si="704"/>
        <v>0</v>
      </c>
      <c r="CW216" s="141">
        <f t="shared" si="704"/>
        <v>0</v>
      </c>
      <c r="CX216" s="141">
        <f t="shared" si="704"/>
        <v>0</v>
      </c>
      <c r="CY216" s="141">
        <f t="shared" si="704"/>
        <v>0</v>
      </c>
      <c r="CZ216" s="141">
        <f t="shared" si="704"/>
        <v>101.598</v>
      </c>
      <c r="DA216" s="141">
        <f t="shared" si="704"/>
        <v>0</v>
      </c>
      <c r="DB216" s="141">
        <f t="shared" si="704"/>
        <v>0.215</v>
      </c>
      <c r="DC216" s="141">
        <f t="shared" si="704"/>
        <v>0.17100000000000001</v>
      </c>
      <c r="DD216" s="141">
        <f t="shared" si="704"/>
        <v>2E-3</v>
      </c>
      <c r="DE216" s="141">
        <f t="shared" si="704"/>
        <v>9.4E-2</v>
      </c>
      <c r="DF216" s="141">
        <f t="shared" si="704"/>
        <v>1.0999999999999999E-2</v>
      </c>
      <c r="DG216" s="141">
        <f t="shared" si="704"/>
        <v>4.3999999999999997E-2</v>
      </c>
      <c r="DH216" s="141">
        <f t="shared" si="704"/>
        <v>1.7999999999999999E-2</v>
      </c>
      <c r="DI216" s="141">
        <f t="shared" si="704"/>
        <v>-7.5090000000000003</v>
      </c>
      <c r="DJ216" s="141">
        <f t="shared" si="704"/>
        <v>8.0000000000000002E-3</v>
      </c>
      <c r="DK216" s="141">
        <f t="shared" si="704"/>
        <v>-1.2999999999999999E-2</v>
      </c>
      <c r="DL216" s="141">
        <f t="shared" si="704"/>
        <v>-15.180999999999999</v>
      </c>
      <c r="DM216" s="141">
        <f t="shared" si="704"/>
        <v>0</v>
      </c>
      <c r="DN216" s="152">
        <f t="shared" si="704"/>
        <v>0</v>
      </c>
      <c r="DO216" s="152">
        <f t="shared" si="704"/>
        <v>1.9E-2</v>
      </c>
      <c r="DP216" s="152">
        <f t="shared" si="704"/>
        <v>1.0999999999999999E-2</v>
      </c>
      <c r="DQ216" s="152">
        <f t="shared" si="704"/>
        <v>1.7000000000000001E-2</v>
      </c>
      <c r="DR216" s="152">
        <f t="shared" si="704"/>
        <v>1.4999999999999999E-2</v>
      </c>
      <c r="DS216" s="152">
        <f t="shared" si="704"/>
        <v>-1E-3</v>
      </c>
      <c r="DT216" s="152">
        <f t="shared" si="704"/>
        <v>2.7E-2</v>
      </c>
      <c r="DU216" s="152">
        <f t="shared" si="704"/>
        <v>6.0000000000000001E-3</v>
      </c>
      <c r="DV216" s="152">
        <f t="shared" si="704"/>
        <v>-0.104</v>
      </c>
      <c r="DW216" s="152">
        <f t="shared" si="704"/>
        <v>3.9689999999999999</v>
      </c>
      <c r="DX216" s="152">
        <f t="shared" si="704"/>
        <v>7.0000000000000001E-3</v>
      </c>
      <c r="DY216" s="152">
        <f t="shared" si="704"/>
        <v>-3.4000000000000002E-2</v>
      </c>
      <c r="DZ216" s="152">
        <f t="shared" ref="DZ216:EP216" si="705">-DZ48</f>
        <v>0.50900000000000001</v>
      </c>
      <c r="EA216" s="152">
        <f t="shared" ref="EA216" si="706">-EA48</f>
        <v>0.34499999999999997</v>
      </c>
      <c r="EB216" s="152">
        <f t="shared" ref="EB216" si="707">-EB48</f>
        <v>-1.3260000000000001</v>
      </c>
      <c r="EC216" s="152">
        <f t="shared" si="705"/>
        <v>0.82099999999999995</v>
      </c>
      <c r="ED216" s="152">
        <f t="shared" si="705"/>
        <v>0.53600000000000003</v>
      </c>
      <c r="EE216" s="141">
        <f t="shared" si="705"/>
        <v>0</v>
      </c>
      <c r="EF216" s="141">
        <f t="shared" si="705"/>
        <v>0</v>
      </c>
      <c r="EG216" s="141">
        <f t="shared" si="705"/>
        <v>0</v>
      </c>
      <c r="EH216" s="141">
        <f t="shared" si="705"/>
        <v>0</v>
      </c>
      <c r="EI216" s="141">
        <f t="shared" si="705"/>
        <v>0</v>
      </c>
      <c r="EJ216" s="141">
        <f t="shared" si="705"/>
        <v>0</v>
      </c>
      <c r="EK216" s="141">
        <f t="shared" si="705"/>
        <v>0</v>
      </c>
      <c r="EL216" s="141">
        <f t="shared" si="705"/>
        <v>0</v>
      </c>
      <c r="EM216" s="141">
        <f t="shared" si="705"/>
        <v>0</v>
      </c>
      <c r="EN216" s="141">
        <f t="shared" si="705"/>
        <v>0</v>
      </c>
      <c r="EO216" s="141">
        <f t="shared" si="705"/>
        <v>0</v>
      </c>
      <c r="EP216" s="141">
        <f t="shared" si="705"/>
        <v>0</v>
      </c>
      <c r="EQ216" s="129"/>
      <c r="ER216" s="129"/>
      <c r="ES216" s="355">
        <f t="shared" si="632"/>
        <v>211</v>
      </c>
      <c r="ET216"/>
      <c r="EU216"/>
      <c r="EV216"/>
      <c r="EW216"/>
      <c r="EX216"/>
      <c r="EY216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</row>
    <row r="217" spans="1:257" s="4" customFormat="1" ht="12.75" customHeight="1" outlineLevel="1">
      <c r="A217" s="15"/>
      <c r="B217" s="37" t="s">
        <v>139</v>
      </c>
      <c r="C217" s="141"/>
      <c r="D217" s="141"/>
      <c r="E217" s="141">
        <f t="shared" ref="E217:U217" si="708">E215-E216</f>
        <v>24.550000000000043</v>
      </c>
      <c r="F217" s="141">
        <f t="shared" si="708"/>
        <v>24.970999999999989</v>
      </c>
      <c r="G217" s="141">
        <f t="shared" si="708"/>
        <v>5.7879999999999905</v>
      </c>
      <c r="H217" s="141">
        <f t="shared" si="708"/>
        <v>45.426000000000002</v>
      </c>
      <c r="I217" s="141">
        <f t="shared" si="708"/>
        <v>84.189000000000007</v>
      </c>
      <c r="J217" s="141">
        <f t="shared" si="708"/>
        <v>101.15400000000005</v>
      </c>
      <c r="K217" s="141">
        <f t="shared" si="708"/>
        <v>42.788000000000025</v>
      </c>
      <c r="L217" s="141">
        <f t="shared" si="708"/>
        <v>82.300000000000011</v>
      </c>
      <c r="M217" s="141">
        <f t="shared" si="708"/>
        <v>144.27799999999999</v>
      </c>
      <c r="N217" s="141">
        <f t="shared" si="708"/>
        <v>53.706000000000024</v>
      </c>
      <c r="O217" s="141">
        <f t="shared" si="708"/>
        <v>17.872999999999976</v>
      </c>
      <c r="P217" s="141">
        <f t="shared" si="708"/>
        <v>4.3590000000000408</v>
      </c>
      <c r="Q217" s="141">
        <f t="shared" si="708"/>
        <v>127.60600000000012</v>
      </c>
      <c r="R217" s="141">
        <f t="shared" si="708"/>
        <v>293.858</v>
      </c>
      <c r="S217" s="141">
        <f t="shared" si="708"/>
        <v>449.26099999999957</v>
      </c>
      <c r="T217" s="141">
        <f t="shared" si="708"/>
        <v>461.73800000000006</v>
      </c>
      <c r="U217" s="141">
        <f t="shared" si="708"/>
        <v>353.54499999999996</v>
      </c>
      <c r="V217" s="141">
        <f>V215+V216</f>
        <v>258.40199999999999</v>
      </c>
      <c r="W217" s="141">
        <f>W215-W216</f>
        <v>434.66799999999995</v>
      </c>
      <c r="X217" s="141">
        <f>X215-X216</f>
        <v>573.60900000000015</v>
      </c>
      <c r="Y217" s="141">
        <f>Y215-Y216</f>
        <v>721.45299999999941</v>
      </c>
      <c r="Z217" s="141">
        <f t="shared" si="694"/>
        <v>708.76599999999985</v>
      </c>
      <c r="AA217" s="141">
        <f t="shared" si="694"/>
        <v>422.27193399999999</v>
      </c>
      <c r="AB217" s="141">
        <f t="shared" si="694"/>
        <v>-52.989999999999924</v>
      </c>
      <c r="AC217" s="141">
        <f t="shared" si="694"/>
        <v>-127.86339000000004</v>
      </c>
      <c r="AD217" s="141">
        <f t="shared" si="694"/>
        <v>530.48724547879442</v>
      </c>
      <c r="AE217" s="141">
        <f t="shared" si="694"/>
        <v>195.03085741030395</v>
      </c>
      <c r="AF217" s="141">
        <f t="shared" si="694"/>
        <v>253.83822227496833</v>
      </c>
      <c r="AG217" s="129"/>
      <c r="AH217" s="141">
        <f t="shared" ref="AH217:BM217" si="709">AH215+AH216</f>
        <v>7.2189999999999985</v>
      </c>
      <c r="AI217" s="141">
        <f t="shared" si="709"/>
        <v>7.2680000000000016</v>
      </c>
      <c r="AJ217" s="141">
        <f t="shared" si="709"/>
        <v>4.9309999999999992</v>
      </c>
      <c r="AK217" s="141">
        <f t="shared" si="709"/>
        <v>5.1320000000000219</v>
      </c>
      <c r="AL217" s="141">
        <f t="shared" si="709"/>
        <v>11.253000000000004</v>
      </c>
      <c r="AM217" s="141">
        <f t="shared" si="709"/>
        <v>6.1549999999999931</v>
      </c>
      <c r="AN217" s="141">
        <f t="shared" si="709"/>
        <v>4.6600000000000099</v>
      </c>
      <c r="AO217" s="141">
        <f t="shared" si="709"/>
        <v>2.9029999999999707</v>
      </c>
      <c r="AP217" s="141">
        <f t="shared" si="709"/>
        <v>4.4160000000000075</v>
      </c>
      <c r="AQ217" s="141">
        <f t="shared" si="709"/>
        <v>5.8199999999999976</v>
      </c>
      <c r="AR217" s="141">
        <f t="shared" si="709"/>
        <v>4.583999999999997</v>
      </c>
      <c r="AS217" s="141">
        <f t="shared" si="709"/>
        <v>-9.0320000000000107</v>
      </c>
      <c r="AT217" s="141">
        <f t="shared" si="709"/>
        <v>9.4680000000000089</v>
      </c>
      <c r="AU217" s="141">
        <f t="shared" si="709"/>
        <v>9.801999999999996</v>
      </c>
      <c r="AV217" s="141">
        <f t="shared" si="709"/>
        <v>12.650000000000002</v>
      </c>
      <c r="AW217" s="141">
        <f t="shared" si="709"/>
        <v>13.506000000000025</v>
      </c>
      <c r="AX217" s="141">
        <f t="shared" si="709"/>
        <v>20.125</v>
      </c>
      <c r="AY217" s="141">
        <f t="shared" si="709"/>
        <v>22.417999999999999</v>
      </c>
      <c r="AZ217" s="141">
        <f t="shared" si="709"/>
        <v>23.648000000000007</v>
      </c>
      <c r="BA217" s="141">
        <f t="shared" si="709"/>
        <v>17.998000000000058</v>
      </c>
      <c r="BB217" s="141">
        <f t="shared" si="709"/>
        <v>29.16500000000001</v>
      </c>
      <c r="BC217" s="141">
        <f t="shared" si="709"/>
        <v>19.337</v>
      </c>
      <c r="BD217" s="141">
        <f t="shared" si="709"/>
        <v>33.86099999999999</v>
      </c>
      <c r="BE217" s="141">
        <f t="shared" si="709"/>
        <v>18.791000000000128</v>
      </c>
      <c r="BF217" s="141">
        <f t="shared" si="709"/>
        <v>12.810999999999993</v>
      </c>
      <c r="BG217" s="141">
        <f t="shared" si="709"/>
        <v>7.352000000000003</v>
      </c>
      <c r="BH217" s="141">
        <f t="shared" si="709"/>
        <v>12.195999999999987</v>
      </c>
      <c r="BI217" s="141">
        <f t="shared" si="709"/>
        <v>10.429000000000061</v>
      </c>
      <c r="BJ217" s="141">
        <f t="shared" si="709"/>
        <v>20.460999999999991</v>
      </c>
      <c r="BK217" s="141">
        <f t="shared" si="709"/>
        <v>19.273000000000007</v>
      </c>
      <c r="BL217" s="141">
        <f t="shared" si="709"/>
        <v>18.556999999999995</v>
      </c>
      <c r="BM217" s="141">
        <f t="shared" si="709"/>
        <v>24.008999999999997</v>
      </c>
      <c r="BN217" s="141">
        <f t="shared" ref="BN217:CS217" si="710">BN215+BN216</f>
        <v>33.839999999999989</v>
      </c>
      <c r="BO217" s="141">
        <f t="shared" si="710"/>
        <v>41.749000000000017</v>
      </c>
      <c r="BP217" s="141">
        <f t="shared" si="710"/>
        <v>40.437000000000019</v>
      </c>
      <c r="BQ217" s="141">
        <f t="shared" si="710"/>
        <v>28.251999999999992</v>
      </c>
      <c r="BR217" s="141">
        <f t="shared" si="710"/>
        <v>18.126999999999999</v>
      </c>
      <c r="BS217" s="141">
        <f t="shared" si="710"/>
        <v>8.1289999999999996</v>
      </c>
      <c r="BT217" s="141">
        <f t="shared" si="710"/>
        <v>22.551000000000002</v>
      </c>
      <c r="BU217" s="141">
        <f t="shared" si="710"/>
        <v>4.8990000000000009</v>
      </c>
      <c r="BV217" s="141">
        <f t="shared" si="710"/>
        <v>0.60700000000000642</v>
      </c>
      <c r="BW217" s="141">
        <f t="shared" si="710"/>
        <v>2.5740000000000056</v>
      </c>
      <c r="BX217" s="141">
        <f t="shared" si="710"/>
        <v>8.1619999999999955</v>
      </c>
      <c r="BY217" s="141">
        <f t="shared" si="710"/>
        <v>6.5299999999999976</v>
      </c>
      <c r="BZ217" s="141">
        <f t="shared" si="710"/>
        <v>6.5879999999999894</v>
      </c>
      <c r="CA217" s="141">
        <f t="shared" si="710"/>
        <v>6.0479999999999956</v>
      </c>
      <c r="CB217" s="141">
        <f t="shared" si="710"/>
        <v>4.3470000000000049</v>
      </c>
      <c r="CC217" s="141">
        <f t="shared" si="710"/>
        <v>-12.623999999999981</v>
      </c>
      <c r="CD217" s="141">
        <f t="shared" si="710"/>
        <v>39.31</v>
      </c>
      <c r="CE217" s="141">
        <f t="shared" si="710"/>
        <v>22.350000000000012</v>
      </c>
      <c r="CF217" s="141">
        <f t="shared" si="710"/>
        <v>29.824999999999996</v>
      </c>
      <c r="CG217" s="141">
        <f t="shared" si="710"/>
        <v>36.121000000000016</v>
      </c>
      <c r="CH217" s="141">
        <f t="shared" si="710"/>
        <v>50.813999999999993</v>
      </c>
      <c r="CI217" s="141">
        <f t="shared" si="710"/>
        <v>64.572999999999979</v>
      </c>
      <c r="CJ217" s="141">
        <f t="shared" si="710"/>
        <v>79.975000000000037</v>
      </c>
      <c r="CK217" s="141">
        <f t="shared" si="710"/>
        <v>98.496000000000024</v>
      </c>
      <c r="CL217" s="141">
        <f t="shared" si="710"/>
        <v>110.78599999999997</v>
      </c>
      <c r="CM217" s="141">
        <f t="shared" si="710"/>
        <v>106.86099999999996</v>
      </c>
      <c r="CN217" s="141">
        <f t="shared" si="710"/>
        <v>115.20399999999994</v>
      </c>
      <c r="CO217" s="141">
        <f t="shared" si="710"/>
        <v>116.41000000000001</v>
      </c>
      <c r="CP217" s="141">
        <f t="shared" si="710"/>
        <v>107.83000000000008</v>
      </c>
      <c r="CQ217" s="141">
        <f t="shared" si="710"/>
        <v>102.05399999999995</v>
      </c>
      <c r="CR217" s="141">
        <f t="shared" si="710"/>
        <v>125.36900000000003</v>
      </c>
      <c r="CS217" s="141">
        <f t="shared" si="710"/>
        <v>126.48499999999994</v>
      </c>
      <c r="CT217" s="141">
        <f t="shared" ref="CT217:DY217" si="711">CT215+CT216</f>
        <v>145.27499999999998</v>
      </c>
      <c r="CU217" s="141">
        <f t="shared" si="711"/>
        <v>103.738</v>
      </c>
      <c r="CV217" s="141">
        <f t="shared" si="711"/>
        <v>53.044000000000054</v>
      </c>
      <c r="CW217" s="141">
        <f t="shared" si="711"/>
        <v>51.488000000000035</v>
      </c>
      <c r="CX217" s="141">
        <f t="shared" si="711"/>
        <v>63.235000000000099</v>
      </c>
      <c r="CY217" s="141">
        <f t="shared" si="711"/>
        <v>46.746999999999936</v>
      </c>
      <c r="CZ217" s="141">
        <f t="shared" si="711"/>
        <v>64.882999999999996</v>
      </c>
      <c r="DA217" s="141">
        <f t="shared" si="711"/>
        <v>83.537000000000006</v>
      </c>
      <c r="DB217" s="141">
        <f t="shared" si="711"/>
        <v>104.36499999999992</v>
      </c>
      <c r="DC217" s="141">
        <f t="shared" si="711"/>
        <v>98.96099999999997</v>
      </c>
      <c r="DD217" s="141">
        <f t="shared" si="711"/>
        <v>109.8279999999999</v>
      </c>
      <c r="DE217" s="141">
        <f t="shared" si="711"/>
        <v>121.51399999999998</v>
      </c>
      <c r="DF217" s="141">
        <f t="shared" si="711"/>
        <v>144.29700000000003</v>
      </c>
      <c r="DG217" s="141">
        <f t="shared" si="711"/>
        <v>129.76299999999995</v>
      </c>
      <c r="DH217" s="141">
        <f t="shared" si="711"/>
        <v>149.94299999999984</v>
      </c>
      <c r="DI217" s="141">
        <f t="shared" si="711"/>
        <v>149.60600000000005</v>
      </c>
      <c r="DJ217" s="141">
        <f t="shared" si="711"/>
        <v>159.6109999999999</v>
      </c>
      <c r="DK217" s="141">
        <f t="shared" si="711"/>
        <v>151.06700000000004</v>
      </c>
      <c r="DL217" s="141">
        <f t="shared" si="711"/>
        <v>250.97799999999998</v>
      </c>
      <c r="DM217" s="141">
        <f t="shared" si="711"/>
        <v>159.79700000000003</v>
      </c>
      <c r="DN217" s="152">
        <f t="shared" si="711"/>
        <v>173.18199999999999</v>
      </c>
      <c r="DO217" s="152">
        <f t="shared" si="711"/>
        <v>174.58900000000011</v>
      </c>
      <c r="DP217" s="152">
        <f t="shared" si="711"/>
        <v>192.28999999999988</v>
      </c>
      <c r="DQ217" s="152">
        <f t="shared" si="711"/>
        <v>168.70499999999998</v>
      </c>
      <c r="DR217" s="152">
        <f t="shared" si="711"/>
        <v>203.05700000000004</v>
      </c>
      <c r="DS217" s="152">
        <f t="shared" si="711"/>
        <v>149.53593400000003</v>
      </c>
      <c r="DT217" s="152">
        <f t="shared" si="711"/>
        <v>90.886999999999986</v>
      </c>
      <c r="DU217" s="152">
        <f t="shared" si="711"/>
        <v>-21.208000000000087</v>
      </c>
      <c r="DV217" s="152">
        <f t="shared" si="711"/>
        <v>15.898000000000032</v>
      </c>
      <c r="DW217" s="152">
        <f t="shared" si="711"/>
        <v>25.173999999999982</v>
      </c>
      <c r="DX217" s="152">
        <f t="shared" si="711"/>
        <v>-21.192999999999937</v>
      </c>
      <c r="DY217" s="152">
        <f t="shared" si="711"/>
        <v>-72.869</v>
      </c>
      <c r="DZ217" s="152">
        <f t="shared" ref="DZ217:EP217" si="712">DZ215+DZ216</f>
        <v>-34.554389999999977</v>
      </c>
      <c r="EA217" s="152">
        <f t="shared" si="712"/>
        <v>-48.472999999999992</v>
      </c>
      <c r="EB217" s="152">
        <f t="shared" ref="EB217" si="713">EB215+EB216</f>
        <v>-23.124999999999979</v>
      </c>
      <c r="EC217" s="152">
        <f t="shared" si="712"/>
        <v>-21.711000000000105</v>
      </c>
      <c r="ED217" s="152">
        <f t="shared" si="712"/>
        <v>500.64155399999993</v>
      </c>
      <c r="EE217" s="141">
        <f t="shared" si="712"/>
        <v>-2.8319768100834279</v>
      </c>
      <c r="EF217" s="141">
        <f t="shared" si="712"/>
        <v>7.2119359954392648</v>
      </c>
      <c r="EG217" s="141">
        <f t="shared" si="712"/>
        <v>25.465732293438641</v>
      </c>
      <c r="EH217" s="141">
        <f t="shared" si="712"/>
        <v>37.147071388719212</v>
      </c>
      <c r="EI217" s="141">
        <f t="shared" si="712"/>
        <v>46.271763375570721</v>
      </c>
      <c r="EJ217" s="141">
        <f t="shared" si="712"/>
        <v>52.936727550966552</v>
      </c>
      <c r="EK217" s="141">
        <f t="shared" si="712"/>
        <v>58.675295095047488</v>
      </c>
      <c r="EL217" s="141">
        <f t="shared" si="712"/>
        <v>67.134166645629847</v>
      </c>
      <c r="EM217" s="141">
        <f t="shared" si="712"/>
        <v>63.198940952978433</v>
      </c>
      <c r="EN217" s="141">
        <f t="shared" si="712"/>
        <v>61.512198204638338</v>
      </c>
      <c r="EO217" s="141">
        <f t="shared" si="712"/>
        <v>61.992916471721713</v>
      </c>
      <c r="EP217" s="141">
        <f t="shared" si="712"/>
        <v>60.291562378347123</v>
      </c>
      <c r="EQ217" s="129"/>
      <c r="ER217" s="129"/>
      <c r="ES217" s="355">
        <f t="shared" si="632"/>
        <v>212</v>
      </c>
      <c r="ET217"/>
      <c r="EU217"/>
      <c r="EV217"/>
      <c r="EW217"/>
      <c r="EX217"/>
      <c r="EY217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</row>
    <row r="218" spans="1:257" s="4" customFormat="1" ht="12.75" customHeight="1" outlineLevel="1">
      <c r="A218" s="15"/>
      <c r="B218" s="150" t="s">
        <v>138</v>
      </c>
      <c r="C218" s="141"/>
      <c r="D218" s="141"/>
      <c r="E218" s="141">
        <f>-E33</f>
        <v>48.609000000000002</v>
      </c>
      <c r="F218" s="141">
        <f>-F33</f>
        <v>50.067999999999998</v>
      </c>
      <c r="G218" s="141">
        <f>-G33+22</f>
        <v>76.442999999999998</v>
      </c>
      <c r="H218" s="141">
        <f t="shared" ref="H218:T218" si="714">-H33</f>
        <v>59.442</v>
      </c>
      <c r="I218" s="141">
        <f t="shared" si="714"/>
        <v>71.691000000000003</v>
      </c>
      <c r="J218" s="141">
        <f t="shared" si="714"/>
        <v>88.35</v>
      </c>
      <c r="K218" s="141">
        <f t="shared" si="714"/>
        <v>109.167</v>
      </c>
      <c r="L218" s="141">
        <f t="shared" si="714"/>
        <v>110.851</v>
      </c>
      <c r="M218" s="141">
        <f t="shared" si="714"/>
        <v>75.313000000000002</v>
      </c>
      <c r="N218" s="141">
        <f t="shared" si="714"/>
        <v>61.445999999999998</v>
      </c>
      <c r="O218" s="141">
        <f t="shared" si="714"/>
        <v>82.513000000000005</v>
      </c>
      <c r="P218" s="141">
        <f t="shared" si="714"/>
        <v>94.424999999999997</v>
      </c>
      <c r="Q218" s="141">
        <f t="shared" si="714"/>
        <v>96.274000000000001</v>
      </c>
      <c r="R218" s="141">
        <f t="shared" si="714"/>
        <v>101.583</v>
      </c>
      <c r="S218" s="141">
        <f t="shared" si="714"/>
        <v>146.042</v>
      </c>
      <c r="T218" s="141">
        <f t="shared" si="714"/>
        <v>210.76600000000002</v>
      </c>
      <c r="U218" s="129">
        <f>SUM(CT218:CW218)</f>
        <v>236.43700000000001</v>
      </c>
      <c r="V218" s="129">
        <f>SUM(CX218:DA218)</f>
        <v>262.65800000000002</v>
      </c>
      <c r="W218" s="141">
        <f>-W33</f>
        <v>315.46799999999996</v>
      </c>
      <c r="X218" s="141">
        <f>-X33</f>
        <v>392.40699999999998</v>
      </c>
      <c r="Y218" s="141">
        <f>-Y33</f>
        <v>455.62299999999999</v>
      </c>
      <c r="Z218" s="141">
        <f t="shared" si="694"/>
        <v>523.54899999999998</v>
      </c>
      <c r="AA218" s="141">
        <f t="shared" si="694"/>
        <v>606.99199999999996</v>
      </c>
      <c r="AB218" s="141">
        <f t="shared" si="694"/>
        <v>598.58699999999999</v>
      </c>
      <c r="AC218" s="141">
        <f t="shared" si="694"/>
        <v>585.54300000000001</v>
      </c>
      <c r="AD218" s="141">
        <f t="shared" si="694"/>
        <v>551.58562578500005</v>
      </c>
      <c r="AE218" s="141">
        <f t="shared" si="694"/>
        <v>546.46817807204309</v>
      </c>
      <c r="AF218" s="141">
        <f t="shared" si="694"/>
        <v>537.57712683875479</v>
      </c>
      <c r="AG218" s="129"/>
      <c r="AH218" s="138">
        <f t="shared" ref="AH218:AR218" si="715">-AH33</f>
        <v>12.853</v>
      </c>
      <c r="AI218" s="138">
        <f t="shared" si="715"/>
        <v>12.802</v>
      </c>
      <c r="AJ218" s="138">
        <f t="shared" si="715"/>
        <v>11.893000000000001</v>
      </c>
      <c r="AK218" s="138">
        <f t="shared" si="715"/>
        <v>11.061</v>
      </c>
      <c r="AL218" s="138">
        <f t="shared" si="715"/>
        <v>11.818</v>
      </c>
      <c r="AM218" s="138">
        <f t="shared" si="715"/>
        <v>13.444000000000001</v>
      </c>
      <c r="AN218" s="138">
        <f t="shared" si="715"/>
        <v>12.337</v>
      </c>
      <c r="AO218" s="138">
        <f t="shared" si="715"/>
        <v>12.468999999999994</v>
      </c>
      <c r="AP218" s="138">
        <f t="shared" si="715"/>
        <v>13.63</v>
      </c>
      <c r="AQ218" s="138">
        <f t="shared" si="715"/>
        <v>13.183999999999999</v>
      </c>
      <c r="AR218" s="138">
        <f t="shared" si="715"/>
        <v>13.792</v>
      </c>
      <c r="AS218" s="138">
        <f>-AS33+22</f>
        <v>35.836999999999996</v>
      </c>
      <c r="AT218" s="138">
        <f t="shared" ref="AT218:BY218" si="716">-AT33</f>
        <v>13.573</v>
      </c>
      <c r="AU218" s="138">
        <f t="shared" si="716"/>
        <v>14.432</v>
      </c>
      <c r="AV218" s="138">
        <f t="shared" si="716"/>
        <v>14.122999999999999</v>
      </c>
      <c r="AW218" s="138">
        <f t="shared" si="716"/>
        <v>17.314</v>
      </c>
      <c r="AX218" s="138">
        <f t="shared" si="716"/>
        <v>15.472</v>
      </c>
      <c r="AY218" s="138">
        <f t="shared" si="716"/>
        <v>17.379000000000001</v>
      </c>
      <c r="AZ218" s="138">
        <f t="shared" si="716"/>
        <v>18.739999999999998</v>
      </c>
      <c r="BA218" s="138">
        <f t="shared" si="716"/>
        <v>20.100000000000009</v>
      </c>
      <c r="BB218" s="138">
        <f t="shared" si="716"/>
        <v>18.651</v>
      </c>
      <c r="BC218" s="138">
        <f t="shared" si="716"/>
        <v>19.186</v>
      </c>
      <c r="BD218" s="138">
        <f t="shared" si="716"/>
        <v>21.195</v>
      </c>
      <c r="BE218" s="138">
        <f t="shared" si="716"/>
        <v>29.317999999999991</v>
      </c>
      <c r="BF218" s="138">
        <f t="shared" si="716"/>
        <v>23.998999999999999</v>
      </c>
      <c r="BG218" s="138">
        <f t="shared" si="716"/>
        <v>33.371000000000002</v>
      </c>
      <c r="BH218" s="138">
        <f t="shared" si="716"/>
        <v>25.341000000000001</v>
      </c>
      <c r="BI218" s="138">
        <f t="shared" si="716"/>
        <v>26.455999999999989</v>
      </c>
      <c r="BJ218" s="138">
        <f t="shared" si="716"/>
        <v>26.138000000000002</v>
      </c>
      <c r="BK218" s="138">
        <f t="shared" si="716"/>
        <v>27.702000000000002</v>
      </c>
      <c r="BL218" s="138">
        <f t="shared" si="716"/>
        <v>26.712</v>
      </c>
      <c r="BM218" s="138">
        <f t="shared" si="716"/>
        <v>30.298999999999999</v>
      </c>
      <c r="BN218" s="138">
        <f t="shared" si="716"/>
        <v>17.978000000000002</v>
      </c>
      <c r="BO218" s="138">
        <f t="shared" si="716"/>
        <v>22.783999999999999</v>
      </c>
      <c r="BP218" s="138">
        <f t="shared" si="716"/>
        <v>21.341000000000001</v>
      </c>
      <c r="BQ218" s="138">
        <f t="shared" si="716"/>
        <v>13.21</v>
      </c>
      <c r="BR218" s="138">
        <f t="shared" si="716"/>
        <v>13.833</v>
      </c>
      <c r="BS218" s="138">
        <f t="shared" si="716"/>
        <v>15.045999999999999</v>
      </c>
      <c r="BT218" s="138">
        <f t="shared" si="716"/>
        <v>15.247</v>
      </c>
      <c r="BU218" s="138">
        <f t="shared" si="716"/>
        <v>17.32</v>
      </c>
      <c r="BV218" s="138">
        <f t="shared" si="716"/>
        <v>18.236000000000001</v>
      </c>
      <c r="BW218" s="138">
        <f t="shared" si="716"/>
        <v>19.943000000000001</v>
      </c>
      <c r="BX218" s="138">
        <f t="shared" si="716"/>
        <v>21.516999999999999</v>
      </c>
      <c r="BY218" s="138">
        <f t="shared" si="716"/>
        <v>22.817</v>
      </c>
      <c r="BZ218" s="138">
        <f t="shared" ref="BZ218:CZ218" si="717">-BZ33</f>
        <v>22.268000000000001</v>
      </c>
      <c r="CA218" s="138">
        <f t="shared" si="717"/>
        <v>23.402000000000001</v>
      </c>
      <c r="CB218" s="138">
        <f t="shared" si="717"/>
        <v>23.934000000000001</v>
      </c>
      <c r="CC218" s="138">
        <f t="shared" si="717"/>
        <v>24.821000000000002</v>
      </c>
      <c r="CD218" s="138">
        <f t="shared" si="717"/>
        <v>23.262</v>
      </c>
      <c r="CE218" s="138">
        <f t="shared" si="717"/>
        <v>23.95</v>
      </c>
      <c r="CF218" s="138">
        <f t="shared" si="717"/>
        <v>23.419</v>
      </c>
      <c r="CG218" s="138">
        <f t="shared" si="717"/>
        <v>25.643000000000001</v>
      </c>
      <c r="CH218" s="138">
        <f t="shared" si="717"/>
        <v>22.922999999999998</v>
      </c>
      <c r="CI218" s="138">
        <f t="shared" si="717"/>
        <v>23.385000000000002</v>
      </c>
      <c r="CJ218" s="138">
        <f t="shared" si="717"/>
        <v>25.076000000000001</v>
      </c>
      <c r="CK218" s="138">
        <f t="shared" si="717"/>
        <v>30.199000000000002</v>
      </c>
      <c r="CL218" s="138">
        <f t="shared" si="717"/>
        <v>30.151</v>
      </c>
      <c r="CM218" s="138">
        <f t="shared" si="717"/>
        <v>32.951999999999998</v>
      </c>
      <c r="CN218" s="138">
        <f t="shared" si="717"/>
        <v>38.125</v>
      </c>
      <c r="CO218" s="138">
        <f t="shared" si="717"/>
        <v>44.814</v>
      </c>
      <c r="CP218" s="138">
        <f t="shared" si="717"/>
        <v>43.984000000000002</v>
      </c>
      <c r="CQ218" s="138">
        <f t="shared" si="717"/>
        <v>51.872</v>
      </c>
      <c r="CR218" s="138">
        <f t="shared" si="717"/>
        <v>51.21</v>
      </c>
      <c r="CS218" s="138">
        <f t="shared" si="717"/>
        <v>63.7</v>
      </c>
      <c r="CT218" s="138">
        <f t="shared" si="717"/>
        <v>54.771999999999998</v>
      </c>
      <c r="CU218" s="138">
        <f t="shared" si="717"/>
        <v>57.113</v>
      </c>
      <c r="CV218" s="138">
        <f t="shared" si="717"/>
        <v>61.042999999999999</v>
      </c>
      <c r="CW218" s="138">
        <f t="shared" si="717"/>
        <v>63.509</v>
      </c>
      <c r="CX218" s="138">
        <f t="shared" si="717"/>
        <v>62.802999999999997</v>
      </c>
      <c r="CY218" s="138">
        <f t="shared" si="717"/>
        <v>65.795000000000002</v>
      </c>
      <c r="CZ218" s="138">
        <f t="shared" si="717"/>
        <v>65.207999999999998</v>
      </c>
      <c r="DA218" s="138">
        <f>262.658-CZ218-CY218-CX218</f>
        <v>68.852000000000032</v>
      </c>
      <c r="DB218" s="138">
        <f>73.18</f>
        <v>73.180000000000007</v>
      </c>
      <c r="DC218" s="138">
        <f>149.341-DB218</f>
        <v>76.161000000000001</v>
      </c>
      <c r="DD218" s="138">
        <f>228.45-SUM(DB218:DC218)</f>
        <v>79.10899999999998</v>
      </c>
      <c r="DE218" s="138">
        <f>315.468-SUM(DB218:DD218)</f>
        <v>87.018000000000029</v>
      </c>
      <c r="DF218" s="138">
        <v>86.287999999999997</v>
      </c>
      <c r="DG218" s="138">
        <f>177.222-DF218</f>
        <v>90.934000000000012</v>
      </c>
      <c r="DH218" s="138">
        <f>272.404-DG218-DF218</f>
        <v>95.181999999999974</v>
      </c>
      <c r="DI218" s="138">
        <f>387.549-DH218-DG218-DF218+(4.858)</f>
        <v>120.003</v>
      </c>
      <c r="DJ218" s="138">
        <v>106.599</v>
      </c>
      <c r="DK218" s="138">
        <v>112.43300000000001</v>
      </c>
      <c r="DL218" s="138">
        <f>336.822-DK218-DJ218</f>
        <v>117.79</v>
      </c>
      <c r="DM218" s="138">
        <f>455.623-DJ218-DK218-DL218</f>
        <v>118.801</v>
      </c>
      <c r="DN218" s="140">
        <v>120.23699999999999</v>
      </c>
      <c r="DO218" s="140">
        <f>244.2-DN218</f>
        <v>123.96299999999999</v>
      </c>
      <c r="DP218" s="140">
        <f>373.178-SUM(DN218:DO218)</f>
        <v>128.97800000000001</v>
      </c>
      <c r="DQ218" s="140">
        <f>523.549-DP218-DO218-DN218</f>
        <v>150.37099999999995</v>
      </c>
      <c r="DR218" s="140">
        <v>137.613</v>
      </c>
      <c r="DS218" s="140">
        <f>287.321-DR218</f>
        <v>149.70800000000003</v>
      </c>
      <c r="DT218" s="140">
        <f>431.616-SUM(DR218:DS218)</f>
        <v>144.29499999999996</v>
      </c>
      <c r="DU218" s="140">
        <f>606.992-DT218-DS218-DR218</f>
        <v>175.37599999999998</v>
      </c>
      <c r="DV218" s="140">
        <v>142.12899999999999</v>
      </c>
      <c r="DW218" s="140">
        <f>283.646-DV218</f>
        <v>141.51700000000002</v>
      </c>
      <c r="DX218" s="140">
        <f>422.336-DW218-DV218</f>
        <v>138.68999999999997</v>
      </c>
      <c r="DY218" s="140">
        <f>598.587-DX218-DW218-DV218</f>
        <v>176.251</v>
      </c>
      <c r="DZ218" s="140">
        <v>133.84700000000001</v>
      </c>
      <c r="EA218" s="140">
        <f>286.624-DZ218</f>
        <v>152.77700000000002</v>
      </c>
      <c r="EB218" s="140">
        <f>431.667-EA218-DZ218</f>
        <v>145.04299999999998</v>
      </c>
      <c r="EC218" s="140">
        <f>585.543-EB218-EA218-DZ218</f>
        <v>153.87599999999995</v>
      </c>
      <c r="ED218" s="140">
        <v>143.267</v>
      </c>
      <c r="EE218" s="141">
        <f t="shared" ref="EE218:EP218" si="718">-EE33</f>
        <v>136.136</v>
      </c>
      <c r="EF218" s="141">
        <f t="shared" si="718"/>
        <v>135.69225999999998</v>
      </c>
      <c r="EG218" s="141">
        <f t="shared" si="718"/>
        <v>136.49036578499999</v>
      </c>
      <c r="EH218" s="141">
        <f t="shared" si="718"/>
        <v>137.25827847801997</v>
      </c>
      <c r="EI218" s="141">
        <f t="shared" si="718"/>
        <v>136.86625245456969</v>
      </c>
      <c r="EJ218" s="141">
        <f t="shared" si="718"/>
        <v>136.45677003354868</v>
      </c>
      <c r="EK218" s="141">
        <f t="shared" si="718"/>
        <v>135.88687710590477</v>
      </c>
      <c r="EL218" s="141">
        <f t="shared" si="718"/>
        <v>135.30278268814575</v>
      </c>
      <c r="EM218" s="141">
        <f t="shared" si="718"/>
        <v>134.70532959355322</v>
      </c>
      <c r="EN218" s="141">
        <f t="shared" si="718"/>
        <v>134.0953499739071</v>
      </c>
      <c r="EO218" s="141">
        <f t="shared" si="718"/>
        <v>133.47366458314869</v>
      </c>
      <c r="EP218" s="141">
        <f t="shared" si="718"/>
        <v>132.84108207912604</v>
      </c>
      <c r="EQ218" s="129"/>
      <c r="ER218" s="129"/>
      <c r="ES218" s="355">
        <f t="shared" si="632"/>
        <v>213</v>
      </c>
      <c r="ET218"/>
      <c r="EU218"/>
      <c r="EV218"/>
      <c r="EW218"/>
      <c r="EX218"/>
      <c r="EY218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</row>
    <row r="219" spans="1:257" s="4" customFormat="1" ht="12.75" customHeight="1" outlineLevel="1">
      <c r="A219" s="15"/>
      <c r="B219" s="150" t="s">
        <v>137</v>
      </c>
      <c r="C219" s="129"/>
      <c r="D219" s="129"/>
      <c r="E219" s="129">
        <f>SUM(AH219:AK219)</f>
        <v>1.716</v>
      </c>
      <c r="F219" s="129">
        <f>SUM(AL219:AO219)</f>
        <v>1.8149999999999999</v>
      </c>
      <c r="G219" s="129">
        <f>SUM(AP219:AS219)</f>
        <v>1.4730000000000001</v>
      </c>
      <c r="H219" s="129">
        <f>SUM(AT219:AW219)</f>
        <v>1.6830000000000001</v>
      </c>
      <c r="I219" s="129">
        <f>SUM(AX219:BA219)</f>
        <v>0.82</v>
      </c>
      <c r="J219" s="129">
        <f>SUM(BB219:BE219)</f>
        <v>1.3520000000000001</v>
      </c>
      <c r="K219" s="129">
        <f>SUM(BF219:BI219)</f>
        <v>1.5660000000000001</v>
      </c>
      <c r="L219" s="129">
        <f>SUM(BJ219:BM219)</f>
        <v>1.5349999999999999</v>
      </c>
      <c r="M219" s="129">
        <f>SUM(BN219:BQ219)</f>
        <v>1.135</v>
      </c>
      <c r="N219" s="129">
        <f>SUM(BR219:BU219)</f>
        <v>1.1220000000000001</v>
      </c>
      <c r="O219" s="129">
        <f>SUM(BV219:BY219)</f>
        <v>0.18</v>
      </c>
      <c r="P219" s="129">
        <f>SUM(BZ219:CC219)</f>
        <v>0.01</v>
      </c>
      <c r="Q219" s="129">
        <f>SUM(CD219:CG219)</f>
        <v>2.5999999999999999E-2</v>
      </c>
      <c r="R219" s="129">
        <f>SUM(CH219:CK219)</f>
        <v>9.7520000000000007</v>
      </c>
      <c r="S219" s="129">
        <f>SUM(CL219:CO219)</f>
        <v>7.01</v>
      </c>
      <c r="T219" s="129">
        <f>SUM(CP219:CS219)</f>
        <v>7.4560000000000004</v>
      </c>
      <c r="U219" s="129">
        <f>SUM(CT219:CW219)</f>
        <v>8.3480000000000008</v>
      </c>
      <c r="V219" s="129">
        <f>SUM(CX219:DA219)</f>
        <v>15.855</v>
      </c>
      <c r="W219" s="129">
        <f>SUM(DB219:DE219)</f>
        <v>12.101000000000001</v>
      </c>
      <c r="X219" s="129">
        <f>SUM(DF219:DI219)</f>
        <v>18.077999999999999</v>
      </c>
      <c r="Y219" s="129">
        <f>SUM(DJ219:DM219)</f>
        <v>23.271000000000001</v>
      </c>
      <c r="Z219" s="129">
        <f t="shared" si="694"/>
        <v>26.702999999999996</v>
      </c>
      <c r="AA219" s="129">
        <f t="shared" si="694"/>
        <v>25.195</v>
      </c>
      <c r="AB219" s="141">
        <f t="shared" si="694"/>
        <v>24.382999999999999</v>
      </c>
      <c r="AC219" s="141">
        <f t="shared" si="694"/>
        <v>26.183</v>
      </c>
      <c r="AD219" s="141">
        <f t="shared" si="694"/>
        <v>28.776061886999997</v>
      </c>
      <c r="AE219" s="141">
        <f t="shared" si="694"/>
        <v>29.944485391620368</v>
      </c>
      <c r="AF219" s="141">
        <f t="shared" si="694"/>
        <v>31.160351575906574</v>
      </c>
      <c r="AG219" s="96"/>
      <c r="AH219" s="139">
        <v>0.42899999999999999</v>
      </c>
      <c r="AI219" s="138">
        <f>0.858-AH219</f>
        <v>0.42899999999999999</v>
      </c>
      <c r="AJ219" s="138">
        <f>1.288-SUM(AH219:AI219)</f>
        <v>0.43000000000000005</v>
      </c>
      <c r="AK219" s="138">
        <f>1.716-SUM(AH219:AJ219)</f>
        <v>0.42799999999999994</v>
      </c>
      <c r="AL219" s="139">
        <v>0.439</v>
      </c>
      <c r="AM219" s="139">
        <f>0.897-AL219</f>
        <v>0.45800000000000002</v>
      </c>
      <c r="AN219" s="138">
        <f>1.356-SUM(AL219:AM219)</f>
        <v>0.45900000000000007</v>
      </c>
      <c r="AO219" s="138">
        <f>1.815-SUM(AL219:AN219)</f>
        <v>0.45899999999999985</v>
      </c>
      <c r="AP219" s="139">
        <v>0.45800000000000002</v>
      </c>
      <c r="AQ219" s="139">
        <f>0.612-AP219</f>
        <v>0.15399999999999997</v>
      </c>
      <c r="AR219" s="138">
        <f>1.037-SUM(AP219:AQ219)</f>
        <v>0.42499999999999993</v>
      </c>
      <c r="AS219" s="138">
        <f>1.473-SUM(AP219:AR219)</f>
        <v>0.43600000000000017</v>
      </c>
      <c r="AT219" s="139">
        <v>0.42499999999999999</v>
      </c>
      <c r="AU219" s="139">
        <f>0.866-AT219</f>
        <v>0.441</v>
      </c>
      <c r="AV219" s="139">
        <f>1.255-SUM(AT219:AU219)</f>
        <v>0.3889999999999999</v>
      </c>
      <c r="AW219" s="139">
        <f>1.683-SUM(AT219:AV219)</f>
        <v>0.42800000000000016</v>
      </c>
      <c r="AX219" s="139">
        <v>0.36799999999999999</v>
      </c>
      <c r="AY219" s="139">
        <f>0.737-AX219</f>
        <v>0.36899999999999999</v>
      </c>
      <c r="AZ219" s="139">
        <f>0.871-SUM(AX219:AY219)</f>
        <v>0.13400000000000001</v>
      </c>
      <c r="BA219" s="139">
        <f>0.82-SUM(AX219:AZ219)</f>
        <v>-5.1000000000000045E-2</v>
      </c>
      <c r="BB219" s="139">
        <v>0.20899999999999999</v>
      </c>
      <c r="BC219" s="139">
        <f>0.591-BB219</f>
        <v>0.38200000000000001</v>
      </c>
      <c r="BD219" s="139">
        <f>0.972-SUM(BB219:BC219)</f>
        <v>0.38100000000000001</v>
      </c>
      <c r="BE219" s="139">
        <f>1.352-SUM(BB219:BD219)</f>
        <v>0.38000000000000012</v>
      </c>
      <c r="BF219" s="139">
        <v>0.38600000000000001</v>
      </c>
      <c r="BG219" s="139">
        <f>0.781-BF219</f>
        <v>0.39500000000000002</v>
      </c>
      <c r="BH219" s="139">
        <f>1.177-SUM(BF219:BG219)</f>
        <v>0.39600000000000002</v>
      </c>
      <c r="BI219" s="139">
        <f>1.566-SUM(BF219:BH219)</f>
        <v>0.38900000000000001</v>
      </c>
      <c r="BJ219" s="139">
        <v>0.377</v>
      </c>
      <c r="BK219" s="139">
        <f>0.763-BJ219</f>
        <v>0.38600000000000001</v>
      </c>
      <c r="BL219" s="139">
        <f>1.148-SUM(BJ219:BK219)</f>
        <v>0.3849999999999999</v>
      </c>
      <c r="BM219" s="139">
        <f>1.535-SUM(BJ219:BL219)</f>
        <v>0.38700000000000001</v>
      </c>
      <c r="BN219" s="139">
        <v>0.379</v>
      </c>
      <c r="BO219" s="139">
        <f>0.746-BN219</f>
        <v>0.36699999999999999</v>
      </c>
      <c r="BP219" s="139">
        <f>1.112-SUM(BN219:BO219)</f>
        <v>0.3660000000000001</v>
      </c>
      <c r="BQ219" s="139">
        <f>1.135-SUM(BN219:BP219)</f>
        <v>2.2999999999999909E-2</v>
      </c>
      <c r="BR219" s="139">
        <v>0.28000000000000003</v>
      </c>
      <c r="BS219" s="139">
        <f>0.561-BR219</f>
        <v>0.28100000000000003</v>
      </c>
      <c r="BT219" s="139">
        <f>0.841-SUM(BR219:BS219)</f>
        <v>0.27999999999999992</v>
      </c>
      <c r="BU219" s="139">
        <f>1.122-SUM(BR219:BT219)</f>
        <v>0.28100000000000014</v>
      </c>
      <c r="BV219" s="139">
        <v>0.13700000000000001</v>
      </c>
      <c r="BW219" s="139">
        <f>0.152-BV219</f>
        <v>1.4999999999999986E-2</v>
      </c>
      <c r="BX219" s="139">
        <f>0.166-SUM(BV219:BW219)</f>
        <v>1.4000000000000012E-2</v>
      </c>
      <c r="BY219" s="139">
        <f>0.18-SUM(BV219:BX219)</f>
        <v>1.3999999999999985E-2</v>
      </c>
      <c r="BZ219" s="138">
        <v>0.01</v>
      </c>
      <c r="CA219" s="138">
        <f>0.01-BZ219</f>
        <v>0</v>
      </c>
      <c r="CB219" s="138">
        <f>0.01-SUM(BZ219:CA219)</f>
        <v>0</v>
      </c>
      <c r="CC219" s="138">
        <f>0.01-SUM(BZ219:CB219)</f>
        <v>0</v>
      </c>
      <c r="CD219" s="138">
        <v>3.0000000000000001E-3</v>
      </c>
      <c r="CE219" s="138">
        <f>0.011-CD219</f>
        <v>8.0000000000000002E-3</v>
      </c>
      <c r="CF219" s="138">
        <f>0.019-SUM(CD219:CE219)</f>
        <v>8.0000000000000002E-3</v>
      </c>
      <c r="CG219" s="138">
        <f>0.026-SUM(CD219:CF219)</f>
        <v>6.9999999999999993E-3</v>
      </c>
      <c r="CH219" s="138">
        <v>2.72</v>
      </c>
      <c r="CI219" s="138">
        <f>6.587-CH219</f>
        <v>3.8669999999999995</v>
      </c>
      <c r="CJ219" s="138">
        <f>8.131-SUM(CH219:CI219)</f>
        <v>1.5440000000000005</v>
      </c>
      <c r="CK219" s="138">
        <f>9.752-SUM(CH219:CJ219)</f>
        <v>1.6210000000000004</v>
      </c>
      <c r="CL219" s="138">
        <v>1.835</v>
      </c>
      <c r="CM219" s="138">
        <f>3.56-CL219</f>
        <v>1.7250000000000001</v>
      </c>
      <c r="CN219" s="138">
        <f>5.279-SUM(CL219:CM219)</f>
        <v>1.7189999999999999</v>
      </c>
      <c r="CO219" s="138">
        <f>7.01-SUM(CL219:CN219)</f>
        <v>1.7309999999999999</v>
      </c>
      <c r="CP219" s="138">
        <v>2.0590000000000002</v>
      </c>
      <c r="CQ219" s="138">
        <f>3.712-CP219</f>
        <v>1.653</v>
      </c>
      <c r="CR219" s="138">
        <f>5.61-SUM(CP219:CQ219)</f>
        <v>1.8980000000000001</v>
      </c>
      <c r="CS219" s="138">
        <f>7.456-SUM(CP219:CR219)</f>
        <v>1.8460000000000001</v>
      </c>
      <c r="CT219" s="138">
        <v>2.2000000000000002</v>
      </c>
      <c r="CU219" s="138">
        <f>4.238-CT219</f>
        <v>2.0380000000000003</v>
      </c>
      <c r="CV219" s="138">
        <f>6.292-CU219-CT219</f>
        <v>2.0539999999999994</v>
      </c>
      <c r="CW219" s="138">
        <f>8.348-SUM(CT219:CV219)</f>
        <v>2.0560000000000009</v>
      </c>
      <c r="CX219" s="138">
        <v>7.008</v>
      </c>
      <c r="CY219" s="138">
        <f>9.925-CX219</f>
        <v>2.9170000000000007</v>
      </c>
      <c r="CZ219" s="138">
        <f>12.874-CY219-CX219</f>
        <v>2.9490000000000007</v>
      </c>
      <c r="DA219" s="138">
        <f>15.855-SUM(CX219:CZ219)</f>
        <v>2.9809999999999981</v>
      </c>
      <c r="DB219" s="138">
        <f>3.187</f>
        <v>3.1869999999999998</v>
      </c>
      <c r="DC219" s="138">
        <f>6.144-DB219</f>
        <v>2.9570000000000003</v>
      </c>
      <c r="DD219" s="138">
        <f>9.114-SUM(DB219:DC219)</f>
        <v>2.9700000000000006</v>
      </c>
      <c r="DE219" s="138">
        <f>12.101-SUM(DB219:DD219)</f>
        <v>2.9870000000000001</v>
      </c>
      <c r="DF219" s="138">
        <v>3.9220000000000002</v>
      </c>
      <c r="DG219" s="138">
        <f>8.758-DF219</f>
        <v>4.8359999999999985</v>
      </c>
      <c r="DH219" s="138">
        <f>13.3-DG219-DF219</f>
        <v>4.5420000000000016</v>
      </c>
      <c r="DI219" s="138">
        <f>18.078-DH219-DG219-DF219</f>
        <v>4.7779999999999987</v>
      </c>
      <c r="DJ219" s="138">
        <v>6.0279999999999996</v>
      </c>
      <c r="DK219" s="138">
        <f>11.726-DJ219</f>
        <v>5.6980000000000013</v>
      </c>
      <c r="DL219" s="138">
        <f>17.471-DJ219-DK219</f>
        <v>5.7450000000000001</v>
      </c>
      <c r="DM219" s="138">
        <f>23.271-DJ219-DK219-DL219</f>
        <v>5.8000000000000016</v>
      </c>
      <c r="DN219" s="140">
        <v>7.01</v>
      </c>
      <c r="DO219" s="140">
        <f>12.804-DN219</f>
        <v>5.7940000000000005</v>
      </c>
      <c r="DP219" s="140">
        <f>21.089-SUM(DN219:DO219)</f>
        <v>8.2849999999999984</v>
      </c>
      <c r="DQ219" s="140">
        <f>26.703-DP219-DO219-DN219</f>
        <v>5.613999999999999</v>
      </c>
      <c r="DR219" s="140">
        <v>6.9820000000000002</v>
      </c>
      <c r="DS219" s="140">
        <f>13.079-DR219</f>
        <v>6.0970000000000004</v>
      </c>
      <c r="DT219" s="140">
        <f>19.12-SUM(DR219:DS219)</f>
        <v>6.0410000000000004</v>
      </c>
      <c r="DU219" s="140">
        <f>25.195-DT219-DS219-DR219</f>
        <v>6.0749999999999984</v>
      </c>
      <c r="DV219" s="140">
        <v>7.9210000000000003</v>
      </c>
      <c r="DW219" s="140">
        <f>13.987-DV219</f>
        <v>6.0659999999999998</v>
      </c>
      <c r="DX219" s="140">
        <f>19.661-DW219-DV219</f>
        <v>5.6740000000000022</v>
      </c>
      <c r="DY219" s="140">
        <f>24.383-DX219-DW219-DV219</f>
        <v>4.7219999999999969</v>
      </c>
      <c r="DZ219" s="140">
        <f>5.901</f>
        <v>5.9009999999999998</v>
      </c>
      <c r="EA219" s="140">
        <f>12.479-DZ219</f>
        <v>6.5779999999999994</v>
      </c>
      <c r="EB219" s="140">
        <f>19.247-EA219-DZ219</f>
        <v>6.7680000000000007</v>
      </c>
      <c r="EC219" s="140">
        <f>26.183-EB219-EA219-DZ219</f>
        <v>6.9359999999999999</v>
      </c>
      <c r="ED219" s="140">
        <v>7.0869999999999997</v>
      </c>
      <c r="EE219" s="138">
        <f>+ED219*1.01</f>
        <v>7.15787</v>
      </c>
      <c r="EF219" s="138">
        <f t="shared" ref="EF219:EP219" si="719">+EE219*1.01</f>
        <v>7.2294486999999998</v>
      </c>
      <c r="EG219" s="138">
        <f t="shared" si="719"/>
        <v>7.3017431869999996</v>
      </c>
      <c r="EH219" s="138">
        <f t="shared" si="719"/>
        <v>7.3747606188699999</v>
      </c>
      <c r="EI219" s="138">
        <f t="shared" si="719"/>
        <v>7.4485082250587</v>
      </c>
      <c r="EJ219" s="138">
        <f t="shared" si="719"/>
        <v>7.5229933073092869</v>
      </c>
      <c r="EK219" s="138">
        <f t="shared" si="719"/>
        <v>7.5982232403823797</v>
      </c>
      <c r="EL219" s="138">
        <f t="shared" si="719"/>
        <v>7.6742054727862037</v>
      </c>
      <c r="EM219" s="138">
        <f t="shared" si="719"/>
        <v>7.7509475275140653</v>
      </c>
      <c r="EN219" s="138">
        <f t="shared" si="719"/>
        <v>7.8284570027892064</v>
      </c>
      <c r="EO219" s="138">
        <f t="shared" si="719"/>
        <v>7.9067415728170989</v>
      </c>
      <c r="EP219" s="138">
        <f t="shared" si="719"/>
        <v>7.9858089885452701</v>
      </c>
      <c r="EQ219" s="129"/>
      <c r="ER219" s="129"/>
      <c r="ES219" s="355">
        <f t="shared" si="632"/>
        <v>214</v>
      </c>
      <c r="ET219"/>
      <c r="EU219"/>
      <c r="EV219"/>
      <c r="EW219"/>
      <c r="EX219"/>
      <c r="EY219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</row>
    <row r="220" spans="1:257" s="4" customFormat="1" ht="12.75" customHeight="1" outlineLevel="1">
      <c r="A220" s="15"/>
      <c r="B220" s="150" t="s">
        <v>136</v>
      </c>
      <c r="C220" s="129"/>
      <c r="D220" s="129"/>
      <c r="E220" s="129">
        <f>SUM(AH220:AK220)</f>
        <v>0</v>
      </c>
      <c r="F220" s="129">
        <f>SUM(AL220:AO220)</f>
        <v>-2.4649999999999999</v>
      </c>
      <c r="G220" s="129">
        <f>SUM(AP220:AS220)</f>
        <v>0</v>
      </c>
      <c r="H220" s="129">
        <f>SUM(AT220:AW220)</f>
        <v>0.30299999999999999</v>
      </c>
      <c r="I220" s="129">
        <f>SUM(AX220:BA220)</f>
        <v>-4.5449999999999999</v>
      </c>
      <c r="J220" s="129">
        <f>SUM(BB220:BE220)</f>
        <v>-2.9510000000000001</v>
      </c>
      <c r="K220" s="129">
        <f>SUM(BF220:BI220)</f>
        <v>-6.9</v>
      </c>
      <c r="L220" s="129">
        <f>SUM(BJ220:BM220)</f>
        <v>0</v>
      </c>
      <c r="M220" s="129">
        <f>SUM(BN220:BQ220)</f>
        <v>0</v>
      </c>
      <c r="N220" s="129">
        <f>SUM(BR220:BU220)</f>
        <v>0</v>
      </c>
      <c r="O220" s="129">
        <f>SUM(BV220:BY220)</f>
        <v>0</v>
      </c>
      <c r="P220" s="129">
        <f>SUM(BZ220:CC220)</f>
        <v>-5.3769999999999998</v>
      </c>
      <c r="Q220" s="129">
        <f>SUM(CD220:CG220)</f>
        <v>-13.55</v>
      </c>
      <c r="R220" s="129">
        <f>SUM(CH220:CK220)</f>
        <v>-7.492</v>
      </c>
      <c r="S220" s="129">
        <f>SUM(CL220:CO220)</f>
        <v>-41.697000000000003</v>
      </c>
      <c r="T220" s="129">
        <f>SUM(CP220:CS220)</f>
        <v>-13.49</v>
      </c>
      <c r="U220" s="129">
        <f>SUM(CT220:CW220)</f>
        <v>-6.032</v>
      </c>
      <c r="V220" s="129">
        <f>SUM(CX220:DA220)</f>
        <v>-4.992</v>
      </c>
      <c r="W220" s="129">
        <f>SUM(DB220:DE220)</f>
        <v>-13.903</v>
      </c>
      <c r="X220" s="129">
        <f>SUM(DF220:DI220)</f>
        <v>-19.222999999999999</v>
      </c>
      <c r="Y220" s="129">
        <f>SUM(DJ220:DM220)</f>
        <v>-18.922999999999998</v>
      </c>
      <c r="Z220" s="129">
        <f t="shared" si="694"/>
        <v>-19.585000000000001</v>
      </c>
      <c r="AA220" s="129">
        <f t="shared" si="694"/>
        <v>-11.715999999999999</v>
      </c>
      <c r="AB220" s="141">
        <f t="shared" si="694"/>
        <v>-9.8960000000000008</v>
      </c>
      <c r="AC220" s="141">
        <f t="shared" si="694"/>
        <v>-20.626999999999999</v>
      </c>
      <c r="AD220" s="141">
        <f t="shared" si="694"/>
        <v>-5.5650000000000004</v>
      </c>
      <c r="AE220" s="141">
        <f t="shared" si="694"/>
        <v>0</v>
      </c>
      <c r="AF220" s="141">
        <f t="shared" si="694"/>
        <v>0</v>
      </c>
      <c r="AG220" s="96"/>
      <c r="AH220" s="138">
        <v>0</v>
      </c>
      <c r="AI220" s="138">
        <f>0-AH220</f>
        <v>0</v>
      </c>
      <c r="AJ220" s="138">
        <f>0-SUM(AH220:AI220)</f>
        <v>0</v>
      </c>
      <c r="AK220" s="138">
        <f>0-SUM(AH220:AJ220)</f>
        <v>0</v>
      </c>
      <c r="AL220" s="138"/>
      <c r="AM220" s="139">
        <f>0-AL220</f>
        <v>0</v>
      </c>
      <c r="AN220" s="138">
        <f>0-SUM(AL220:AM220)</f>
        <v>0</v>
      </c>
      <c r="AO220" s="138">
        <f>-2.465-SUM(AL220:AN220)</f>
        <v>-2.4649999999999999</v>
      </c>
      <c r="AP220" s="138">
        <v>0</v>
      </c>
      <c r="AQ220" s="139">
        <f>0-AP220</f>
        <v>0</v>
      </c>
      <c r="AR220" s="138">
        <f>0-SUM(AP220:AQ220)</f>
        <v>0</v>
      </c>
      <c r="AS220" s="138">
        <f>0-SUM(AP220:AR220)</f>
        <v>0</v>
      </c>
      <c r="AT220" s="138">
        <v>0</v>
      </c>
      <c r="AU220" s="139">
        <f>0-AT220</f>
        <v>0</v>
      </c>
      <c r="AV220" s="138">
        <f>0-SUM(AT220:AU220)</f>
        <v>0</v>
      </c>
      <c r="AW220" s="138">
        <f>0.303-SUM(AT220:AV220)</f>
        <v>0.30299999999999999</v>
      </c>
      <c r="AX220" s="138">
        <v>0</v>
      </c>
      <c r="AY220" s="138">
        <f>0-AX220</f>
        <v>0</v>
      </c>
      <c r="AZ220" s="138">
        <f>0-SUM(AX220:AY220)</f>
        <v>0</v>
      </c>
      <c r="BA220" s="138">
        <f>-4.545-SUM(AX220:AZ220)</f>
        <v>-4.5449999999999999</v>
      </c>
      <c r="BB220" s="138">
        <v>0</v>
      </c>
      <c r="BC220" s="138">
        <f>0-BB220</f>
        <v>0</v>
      </c>
      <c r="BD220" s="138">
        <f>0-SUM(BB220:BC220)</f>
        <v>0</v>
      </c>
      <c r="BE220" s="138">
        <f>-2.951-SUM(BB220:BD220)</f>
        <v>-2.9510000000000001</v>
      </c>
      <c r="BF220" s="138">
        <v>0</v>
      </c>
      <c r="BG220" s="138">
        <f>0-BF220</f>
        <v>0</v>
      </c>
      <c r="BH220" s="138">
        <f>0-SUM(BF220:BG220)</f>
        <v>0</v>
      </c>
      <c r="BI220" s="138">
        <f>-6.9-SUM(BF220:BH220)</f>
        <v>-6.9</v>
      </c>
      <c r="BJ220" s="138">
        <v>0</v>
      </c>
      <c r="BK220" s="138">
        <f>0-BJ220</f>
        <v>0</v>
      </c>
      <c r="BL220" s="138">
        <f>0-SUM(BJ220:BK220)</f>
        <v>0</v>
      </c>
      <c r="BM220" s="138">
        <f>0-SUM(BJ220:BL220)</f>
        <v>0</v>
      </c>
      <c r="BN220" s="138"/>
      <c r="BO220" s="138">
        <f>0-BN220</f>
        <v>0</v>
      </c>
      <c r="BP220" s="138">
        <f>0-SUM(BN220:BO220)</f>
        <v>0</v>
      </c>
      <c r="BQ220" s="138">
        <f>0-SUM(BN220:BP220)</f>
        <v>0</v>
      </c>
      <c r="BR220" s="138">
        <v>0</v>
      </c>
      <c r="BS220" s="138">
        <f>0-BR220</f>
        <v>0</v>
      </c>
      <c r="BT220" s="138">
        <f>0-SUM(BR220:BS220)</f>
        <v>0</v>
      </c>
      <c r="BU220" s="138">
        <f>0-SUM(BR220:BT220)</f>
        <v>0</v>
      </c>
      <c r="BV220" s="138">
        <v>0</v>
      </c>
      <c r="BW220" s="138">
        <f>0-BV220</f>
        <v>0</v>
      </c>
      <c r="BX220" s="138">
        <f>0-SUM(BV220:BW220)</f>
        <v>0</v>
      </c>
      <c r="BY220" s="138">
        <f>0-SUM(BV220:BX220)</f>
        <v>0</v>
      </c>
      <c r="BZ220" s="138">
        <v>-0.88100000000000001</v>
      </c>
      <c r="CA220" s="138">
        <f>0-BZ220</f>
        <v>0.88100000000000001</v>
      </c>
      <c r="CB220" s="138">
        <f>-1.738-SUM(BZ220:CA220)</f>
        <v>-1.738</v>
      </c>
      <c r="CC220" s="138">
        <f>-5.377-SUM(BZ220:CB220)</f>
        <v>-3.6389999999999998</v>
      </c>
      <c r="CD220" s="138">
        <v>-10.816000000000001</v>
      </c>
      <c r="CE220" s="138">
        <f>-11.787-CD220</f>
        <v>-0.97100000000000009</v>
      </c>
      <c r="CF220" s="138">
        <f>-12.39-SUM(CD220:CE220)</f>
        <v>-0.60299999999999976</v>
      </c>
      <c r="CG220" s="138">
        <f>-13.55-SUM(CD220:CF220)</f>
        <v>-1.1600000000000001</v>
      </c>
      <c r="CH220" s="138">
        <v>-0.97299999999999998</v>
      </c>
      <c r="CI220" s="138">
        <f>-4.536-CH220</f>
        <v>-3.5629999999999997</v>
      </c>
      <c r="CJ220" s="138">
        <f>-6.431-SUM(CH220:CI220)</f>
        <v>-1.8950000000000005</v>
      </c>
      <c r="CK220" s="138">
        <f>-7.492-SUM(CH220:CJ220)</f>
        <v>-1.0609999999999999</v>
      </c>
      <c r="CL220" s="138">
        <v>-0.48599999999999999</v>
      </c>
      <c r="CM220" s="138">
        <f>-32.822-CL220</f>
        <v>-32.336000000000006</v>
      </c>
      <c r="CN220" s="138">
        <f>-39.008-SUM(CL220:CM220)</f>
        <v>-6.1859999999999999</v>
      </c>
      <c r="CO220" s="138">
        <f>-41.697-SUM(CL220:CN220)</f>
        <v>-2.6890000000000001</v>
      </c>
      <c r="CP220" s="138">
        <v>-0.84199999999999997</v>
      </c>
      <c r="CQ220" s="138">
        <f>-2.788-CP220</f>
        <v>-1.9459999999999997</v>
      </c>
      <c r="CR220" s="138">
        <f>-4.404-SUM(CP220:CQ220)</f>
        <v>-1.6160000000000001</v>
      </c>
      <c r="CS220" s="138">
        <f>-13.49-SUM(CP220:CR220)</f>
        <v>-9.0860000000000003</v>
      </c>
      <c r="CT220" s="138">
        <v>-0.91400000000000003</v>
      </c>
      <c r="CU220" s="138">
        <f>-2.969-CT220</f>
        <v>-2.0549999999999997</v>
      </c>
      <c r="CV220" s="138">
        <f>-4.754-CU220-CT220</f>
        <v>-1.7849999999999997</v>
      </c>
      <c r="CW220" s="138">
        <f>-6.032-SUM(CT220:CV220)</f>
        <v>-1.2780000000000005</v>
      </c>
      <c r="CX220" s="138">
        <v>-0.69799999999999995</v>
      </c>
      <c r="CY220" s="138">
        <f>-2.007-CX220</f>
        <v>-1.3090000000000002</v>
      </c>
      <c r="CZ220" s="138">
        <f>-4.245-CY220-CX220</f>
        <v>-2.238</v>
      </c>
      <c r="DA220" s="138">
        <f>-4.992-CZ220-CY220-CX220</f>
        <v>-0.74699999999999989</v>
      </c>
      <c r="DB220" s="138">
        <f>-2.669</f>
        <v>-2.669</v>
      </c>
      <c r="DC220" s="138">
        <f>-6.774-DB220</f>
        <v>-4.1050000000000004</v>
      </c>
      <c r="DD220" s="138">
        <f>-10.262-SUM(DB220:DC220)</f>
        <v>-3.4879999999999995</v>
      </c>
      <c r="DE220" s="138">
        <f>-13.903-SUM(DB220:DD220)</f>
        <v>-3.641</v>
      </c>
      <c r="DF220" s="138">
        <v>-4.6829999999999998</v>
      </c>
      <c r="DG220" s="138">
        <f>-12.503-DF220</f>
        <v>-7.82</v>
      </c>
      <c r="DH220" s="138">
        <f>-14.365-DG220-DF220</f>
        <v>-1.8620000000000001</v>
      </c>
      <c r="DI220" s="138">
        <f>-19.223-DH220-DG220-DF220</f>
        <v>-4.857999999999997</v>
      </c>
      <c r="DJ220" s="138">
        <v>-5.2190000000000003</v>
      </c>
      <c r="DK220" s="138">
        <f>-10.532-DJ220</f>
        <v>-5.3129999999999997</v>
      </c>
      <c r="DL220" s="138">
        <f>-14.538-DJ220-DK220</f>
        <v>-4.0059999999999993</v>
      </c>
      <c r="DM220" s="138">
        <f>-18.923-DJ220-DK220-DL220</f>
        <v>-4.3849999999999989</v>
      </c>
      <c r="DN220" s="140">
        <v>-5.6639999999999997</v>
      </c>
      <c r="DO220" s="140">
        <f>-9.762-DN220</f>
        <v>-4.0980000000000008</v>
      </c>
      <c r="DP220" s="140">
        <f>-11.89-SUM(DN220:DO220)</f>
        <v>-2.1280000000000001</v>
      </c>
      <c r="DQ220" s="140">
        <f>-19.585-DP220-DO220-DN220</f>
        <v>-7.6950000000000003</v>
      </c>
      <c r="DR220" s="140">
        <v>-4.1550000000000002</v>
      </c>
      <c r="DS220" s="140">
        <f>-7.07-DR220</f>
        <v>-2.915</v>
      </c>
      <c r="DT220" s="140">
        <f>-8.854-SUM(DR220:DS220)</f>
        <v>-1.7839999999999989</v>
      </c>
      <c r="DU220" s="140">
        <f>-11.716-DT220-DS220-DR220</f>
        <v>-2.8620000000000001</v>
      </c>
      <c r="DV220" s="140">
        <v>-4.5890000000000004</v>
      </c>
      <c r="DW220" s="140">
        <f>-7.273-DV220</f>
        <v>-2.6839999999999993</v>
      </c>
      <c r="DX220" s="140">
        <f>-7.82-DW220-DV220</f>
        <v>-0.5470000000000006</v>
      </c>
      <c r="DY220" s="140">
        <f>-9.896-DX220-DW220-DV220</f>
        <v>-2.0760000000000005</v>
      </c>
      <c r="DZ220" s="140">
        <f>-0.842</f>
        <v>-0.84199999999999997</v>
      </c>
      <c r="EA220" s="140">
        <f>-15.731-DZ220</f>
        <v>-14.888999999999999</v>
      </c>
      <c r="EB220" s="140">
        <f>-17.593-EA220-DZ220</f>
        <v>-1.8620000000000005</v>
      </c>
      <c r="EC220" s="140">
        <f>-20.627-EB220-EA220-DZ220</f>
        <v>-3.0339999999999976</v>
      </c>
      <c r="ED220" s="140">
        <v>-5.5650000000000004</v>
      </c>
      <c r="EE220" s="138">
        <f t="shared" ref="EE220:EP220" si="720">-EE45/(1-EE364)</f>
        <v>0</v>
      </c>
      <c r="EF220" s="138">
        <f t="shared" si="720"/>
        <v>0</v>
      </c>
      <c r="EG220" s="138">
        <f t="shared" si="720"/>
        <v>0</v>
      </c>
      <c r="EH220" s="138">
        <f t="shared" si="720"/>
        <v>0</v>
      </c>
      <c r="EI220" s="138">
        <f t="shared" si="720"/>
        <v>0</v>
      </c>
      <c r="EJ220" s="138">
        <f t="shared" si="720"/>
        <v>0</v>
      </c>
      <c r="EK220" s="138">
        <f t="shared" si="720"/>
        <v>0</v>
      </c>
      <c r="EL220" s="151">
        <f t="shared" si="720"/>
        <v>0</v>
      </c>
      <c r="EM220" s="151">
        <f t="shared" si="720"/>
        <v>0</v>
      </c>
      <c r="EN220" s="151">
        <f t="shared" si="720"/>
        <v>0</v>
      </c>
      <c r="EO220" s="151">
        <f t="shared" si="720"/>
        <v>0</v>
      </c>
      <c r="EP220" s="151">
        <f t="shared" si="720"/>
        <v>0</v>
      </c>
      <c r="EQ220" s="129"/>
      <c r="ER220" s="129"/>
      <c r="ES220" s="355">
        <f t="shared" si="632"/>
        <v>215</v>
      </c>
      <c r="ET220"/>
      <c r="EU220"/>
      <c r="EV220"/>
      <c r="EW220"/>
      <c r="EX220"/>
      <c r="EY220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</row>
    <row r="221" spans="1:257" s="4" customFormat="1" ht="12.75" customHeight="1" outlineLevel="1">
      <c r="A221" s="15"/>
      <c r="B221" s="150" t="s">
        <v>135</v>
      </c>
      <c r="C221" s="129"/>
      <c r="D221" s="129"/>
      <c r="E221" s="129">
        <f>SUM(AH221:AK221)</f>
        <v>0</v>
      </c>
      <c r="F221" s="129">
        <f>SUM(AL221:AO221)</f>
        <v>0</v>
      </c>
      <c r="G221" s="129">
        <f>SUM(AP221:AS221)</f>
        <v>0</v>
      </c>
      <c r="H221" s="129">
        <f>SUM(AT221:AW221)</f>
        <v>0</v>
      </c>
      <c r="I221" s="129">
        <f>SUM(AX221:BA221)</f>
        <v>0</v>
      </c>
      <c r="J221" s="129">
        <f>SUM(BB221:BE221)</f>
        <v>0</v>
      </c>
      <c r="K221" s="129">
        <f>SUM(BF221:BI221)</f>
        <v>0</v>
      </c>
      <c r="L221" s="129">
        <f>SUM(BJ221:BM221)</f>
        <v>0</v>
      </c>
      <c r="M221" s="129">
        <f>SUM(BN221:BQ221)</f>
        <v>0</v>
      </c>
      <c r="N221" s="129">
        <f>SUM(BR221:BU221)</f>
        <v>0</v>
      </c>
      <c r="O221" s="129">
        <f>SUM(BV221:BY221)</f>
        <v>41.390999999999998</v>
      </c>
      <c r="P221" s="129">
        <f>SUM(BZ221:CC221)</f>
        <v>5.9340000000000011</v>
      </c>
      <c r="Q221" s="129">
        <f>SUM(CD221:CG221)</f>
        <v>38.014000000000003</v>
      </c>
      <c r="R221" s="129">
        <f>SUM(CH221:CK221)</f>
        <v>3.5039999999999996</v>
      </c>
      <c r="S221" s="129">
        <f>SUM(CL221:CO221)</f>
        <v>82.293999999999997</v>
      </c>
      <c r="T221" s="129">
        <f>SUM(CP221:CS221)</f>
        <v>117.998</v>
      </c>
      <c r="U221" s="129">
        <f>SUM(CT221:CW221)</f>
        <v>158.15299999999999</v>
      </c>
      <c r="V221" s="129">
        <f>SUM(CX221:DA221)</f>
        <v>105.691</v>
      </c>
      <c r="W221" s="129">
        <f>SUM(DB221:DE221)</f>
        <v>187.65100000000001</v>
      </c>
      <c r="X221" s="129">
        <f>SUM(DF221:DI221)</f>
        <v>196.93100000000001</v>
      </c>
      <c r="Y221" s="129">
        <f>SUM(DJ221:DM221)</f>
        <v>29.556999999999995</v>
      </c>
      <c r="Z221" s="129">
        <f t="shared" si="694"/>
        <v>27.123999999999999</v>
      </c>
      <c r="AA221" s="129">
        <f t="shared" si="694"/>
        <v>131.58000000000001</v>
      </c>
      <c r="AB221" s="141">
        <f t="shared" si="694"/>
        <v>60.087999999999994</v>
      </c>
      <c r="AC221" s="141">
        <f t="shared" si="694"/>
        <v>-24.111000000000001</v>
      </c>
      <c r="AD221" s="141">
        <f t="shared" si="694"/>
        <v>-548.61568836145409</v>
      </c>
      <c r="AE221" s="141">
        <f t="shared" si="694"/>
        <v>-37.897101762343368</v>
      </c>
      <c r="AF221" s="141">
        <f t="shared" si="694"/>
        <v>-38.074825228578675</v>
      </c>
      <c r="AG221" s="96"/>
      <c r="AH221" s="139"/>
      <c r="AI221" s="139"/>
      <c r="AJ221" s="138">
        <f>0-SUM(AH221:AI221)</f>
        <v>0</v>
      </c>
      <c r="AK221" s="138">
        <f>0-SUM(AH221:AJ221)</f>
        <v>0</v>
      </c>
      <c r="AL221" s="139"/>
      <c r="AM221" s="139">
        <f>0-AL221</f>
        <v>0</v>
      </c>
      <c r="AN221" s="138">
        <f>0-SUM(AL221:AM221)</f>
        <v>0</v>
      </c>
      <c r="AO221" s="138">
        <f>0-SUM(AL221:AN221)</f>
        <v>0</v>
      </c>
      <c r="AP221" s="139"/>
      <c r="AQ221" s="139">
        <f>0-AP221</f>
        <v>0</v>
      </c>
      <c r="AR221" s="138">
        <f>0-SUM(AP221:AQ221)</f>
        <v>0</v>
      </c>
      <c r="AS221" s="138">
        <f>0-SUM(AP221:AR221)</f>
        <v>0</v>
      </c>
      <c r="AT221" s="139"/>
      <c r="AU221" s="139">
        <f>0-AT221</f>
        <v>0</v>
      </c>
      <c r="AV221" s="139">
        <f>0-SUM(AT221:AU221)</f>
        <v>0</v>
      </c>
      <c r="AW221" s="139"/>
      <c r="AX221" s="139"/>
      <c r="AY221" s="139"/>
      <c r="AZ221" s="139"/>
      <c r="BA221" s="139"/>
      <c r="BB221" s="139"/>
      <c r="BC221" s="139">
        <f>0-BB221</f>
        <v>0</v>
      </c>
      <c r="BD221" s="139">
        <f>0-SUM(BB221:BC221)</f>
        <v>0</v>
      </c>
      <c r="BE221" s="139">
        <f>0-SUM(BB221:BD221)</f>
        <v>0</v>
      </c>
      <c r="BF221" s="139"/>
      <c r="BG221" s="139">
        <f>0-BF221</f>
        <v>0</v>
      </c>
      <c r="BH221" s="139">
        <f>0-SUM(BF221:BG221)</f>
        <v>0</v>
      </c>
      <c r="BI221" s="139"/>
      <c r="BJ221" s="139"/>
      <c r="BK221" s="139">
        <f>0-BJ221</f>
        <v>0</v>
      </c>
      <c r="BL221" s="139">
        <f>0-SUM(BJ221:BK221)</f>
        <v>0</v>
      </c>
      <c r="BM221" s="139">
        <f>0-SUM(BJ221:BL221)</f>
        <v>0</v>
      </c>
      <c r="BN221" s="139"/>
      <c r="BO221" s="139">
        <f>0-BN221</f>
        <v>0</v>
      </c>
      <c r="BP221" s="139">
        <f>0-SUM(BN221:BO221)</f>
        <v>0</v>
      </c>
      <c r="BQ221" s="139">
        <f>0-SUM(BN221:BP221)</f>
        <v>0</v>
      </c>
      <c r="BR221" s="139"/>
      <c r="BS221" s="139">
        <f>0-BR221</f>
        <v>0</v>
      </c>
      <c r="BT221" s="139">
        <f>0-SUM(BR221:BS221)</f>
        <v>0</v>
      </c>
      <c r="BU221" s="139">
        <f>0-SUM(BR221:BT221)</f>
        <v>0</v>
      </c>
      <c r="BV221" s="139">
        <v>0</v>
      </c>
      <c r="BW221" s="139">
        <f>16.822-BV221</f>
        <v>16.821999999999999</v>
      </c>
      <c r="BX221" s="139">
        <f>33.205-SUM(BV221:BW221)</f>
        <v>16.382999999999999</v>
      </c>
      <c r="BY221" s="139">
        <f>41.391-SUM(BV221:BX221)</f>
        <v>8.1859999999999999</v>
      </c>
      <c r="BZ221" s="138">
        <v>10.242000000000001</v>
      </c>
      <c r="CA221" s="138">
        <f>18.652-BZ221</f>
        <v>8.41</v>
      </c>
      <c r="CB221" s="138">
        <f>31.004-SUM(BZ221:CA221)</f>
        <v>12.352</v>
      </c>
      <c r="CC221" s="138">
        <f>5.934-SUM(BZ221:CB221)</f>
        <v>-25.07</v>
      </c>
      <c r="CD221" s="138">
        <v>17.349</v>
      </c>
      <c r="CE221" s="138">
        <f>21.947-CD221</f>
        <v>4.597999999999999</v>
      </c>
      <c r="CF221" s="138">
        <f>30.417-SUM(CD221:CE221)</f>
        <v>8.4700000000000024</v>
      </c>
      <c r="CG221" s="138">
        <f>38.014-SUM(CD221:CF221)</f>
        <v>7.5970000000000013</v>
      </c>
      <c r="CH221" s="138">
        <v>2.7120000000000002</v>
      </c>
      <c r="CI221" s="138">
        <f>7.317-CH221</f>
        <v>4.6050000000000004</v>
      </c>
      <c r="CJ221" s="138">
        <f>11.581-SUM(CH221:CI221)</f>
        <v>4.2639999999999993</v>
      </c>
      <c r="CK221" s="138">
        <f>3.504-SUM(CH221:CJ221)</f>
        <v>-8.077</v>
      </c>
      <c r="CL221" s="138">
        <v>12.173</v>
      </c>
      <c r="CM221" s="138">
        <f>27.354-CL221</f>
        <v>15.180999999999999</v>
      </c>
      <c r="CN221" s="138">
        <f>51.768-SUM(CL221:CM221)</f>
        <v>24.414000000000001</v>
      </c>
      <c r="CO221" s="138">
        <f>82.294-SUM(CL221:CN221)</f>
        <v>30.525999999999996</v>
      </c>
      <c r="CP221" s="138">
        <v>22.943999999999999</v>
      </c>
      <c r="CQ221" s="138">
        <f>42.029-CP221</f>
        <v>19.085000000000004</v>
      </c>
      <c r="CR221" s="138">
        <f>66.593-SUM(CP221:CQ221)</f>
        <v>24.564</v>
      </c>
      <c r="CS221" s="138">
        <f>117.998-SUM(CP221:CR221)</f>
        <v>51.405000000000001</v>
      </c>
      <c r="CT221" s="138">
        <v>28.140999999999998</v>
      </c>
      <c r="CU221" s="138">
        <f>115.237-CT221</f>
        <v>87.096000000000004</v>
      </c>
      <c r="CV221" s="138">
        <f>153.997-CU221-CT221</f>
        <v>38.760000000000012</v>
      </c>
      <c r="CW221" s="138">
        <f>158.153-SUM(CT221:CV221)</f>
        <v>4.1559999999999775</v>
      </c>
      <c r="CX221" s="138">
        <v>8.2349999999999994</v>
      </c>
      <c r="CY221" s="138">
        <f>23.673-CX221</f>
        <v>15.437999999999999</v>
      </c>
      <c r="CZ221" s="138">
        <f>36.714-CY221-CX221</f>
        <v>13.041</v>
      </c>
      <c r="DA221" s="138">
        <f>105.691-SUM(CX221:CZ221)</f>
        <v>68.977000000000004</v>
      </c>
      <c r="DB221" s="138">
        <f>42.08</f>
        <v>42.08</v>
      </c>
      <c r="DC221" s="138">
        <f>95.619-DB221</f>
        <v>53.539000000000001</v>
      </c>
      <c r="DD221" s="138">
        <f>155.63-SUM(DB221:DC221)</f>
        <v>60.010999999999996</v>
      </c>
      <c r="DE221" s="138">
        <f>187.651-SUM(DB221:DD221)</f>
        <v>32.021000000000015</v>
      </c>
      <c r="DF221" s="138">
        <v>57.585000000000001</v>
      </c>
      <c r="DG221" s="138">
        <f>100.143-DF221</f>
        <v>42.558</v>
      </c>
      <c r="DH221" s="138">
        <f>144.729-DG221-DF221</f>
        <v>44.58600000000002</v>
      </c>
      <c r="DI221" s="138">
        <f>196.931-DH221-DG221-DF221</f>
        <v>52.202000000000005</v>
      </c>
      <c r="DJ221" s="138">
        <v>11.638</v>
      </c>
      <c r="DK221" s="138">
        <f>20.127-DJ221</f>
        <v>8.488999999999999</v>
      </c>
      <c r="DL221" s="138">
        <f>15.822-DJ221-DK221</f>
        <v>-4.3049999999999997</v>
      </c>
      <c r="DM221" s="138">
        <f>29.557-DJ221-DK221-DL221</f>
        <v>13.734999999999998</v>
      </c>
      <c r="DN221" s="140">
        <v>1.9430000000000001</v>
      </c>
      <c r="DO221" s="140">
        <f>13.751-DN221</f>
        <v>11.808</v>
      </c>
      <c r="DP221" s="140">
        <f>28.665-SUM(DN221:DO221)</f>
        <v>14.914</v>
      </c>
      <c r="DQ221" s="140">
        <f>27.124-DP221-DO221-DN221</f>
        <v>-1.5410000000000008</v>
      </c>
      <c r="DR221" s="140">
        <v>129.548</v>
      </c>
      <c r="DS221" s="140">
        <f>134.185-DR221</f>
        <v>4.6370000000000005</v>
      </c>
      <c r="DT221" s="140">
        <f>146.864-SUM(DR221:DS221)</f>
        <v>12.679000000000002</v>
      </c>
      <c r="DU221" s="140">
        <f>131.58-DT221-DS221-DR221</f>
        <v>-15.283999999999992</v>
      </c>
      <c r="DV221" s="140">
        <v>20.169</v>
      </c>
      <c r="DW221" s="140">
        <f>4.877-DV221</f>
        <v>-15.292000000000002</v>
      </c>
      <c r="DX221" s="140">
        <f>77.886-DW221-DV221</f>
        <v>73.009</v>
      </c>
      <c r="DY221" s="140">
        <f>60.088-DX221-DW221-DV221</f>
        <v>-17.797999999999998</v>
      </c>
      <c r="DZ221" s="140">
        <f>-17.073</f>
        <v>-17.073</v>
      </c>
      <c r="EA221" s="140">
        <f>-34.038-DZ221</f>
        <v>-16.964999999999996</v>
      </c>
      <c r="EB221" s="140">
        <f>-27.798-EA221-DZ221</f>
        <v>6.2399999999999984</v>
      </c>
      <c r="EC221" s="140">
        <f>-24.111-EB221-EA221-DZ221</f>
        <v>3.6869999999999976</v>
      </c>
      <c r="ED221" s="140">
        <v>-503.74400000000003</v>
      </c>
      <c r="EE221" s="141">
        <f t="shared" ref="EE221:EP221" si="721">(EE271-ED271)-(EE255-ED255)</f>
        <v>-15.04268391402718</v>
      </c>
      <c r="EF221" s="141">
        <f t="shared" si="721"/>
        <v>-14.889779456391352</v>
      </c>
      <c r="EG221" s="141">
        <f t="shared" si="721"/>
        <v>-14.93922499103553</v>
      </c>
      <c r="EH221" s="141">
        <f t="shared" si="721"/>
        <v>-9.1763840018974179</v>
      </c>
      <c r="EI221" s="141">
        <f t="shared" si="721"/>
        <v>-9.1135567317534196</v>
      </c>
      <c r="EJ221" s="141">
        <f t="shared" si="721"/>
        <v>-9.8492468920563851</v>
      </c>
      <c r="EK221" s="141">
        <f t="shared" si="721"/>
        <v>-9.7579141366361455</v>
      </c>
      <c r="EL221" s="141">
        <f t="shared" si="721"/>
        <v>-9.6643054076769204</v>
      </c>
      <c r="EM221" s="141">
        <f t="shared" si="721"/>
        <v>-9.5685557769712659</v>
      </c>
      <c r="EN221" s="141">
        <f t="shared" si="721"/>
        <v>-9.4707986076678026</v>
      </c>
      <c r="EO221" s="141">
        <f t="shared" si="721"/>
        <v>-9.3711654362626859</v>
      </c>
      <c r="EP221" s="141">
        <f t="shared" si="721"/>
        <v>-9.2697858606957197</v>
      </c>
      <c r="EQ221" s="129"/>
      <c r="ER221" s="129"/>
      <c r="ES221" s="355">
        <f t="shared" si="632"/>
        <v>216</v>
      </c>
      <c r="ET221"/>
      <c r="EU221"/>
      <c r="EV221"/>
      <c r="EW221"/>
      <c r="EX221"/>
      <c r="EY22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</row>
    <row r="222" spans="1:257" s="4" customFormat="1" ht="12.75" customHeight="1" outlineLevel="1">
      <c r="A222" s="15"/>
      <c r="B222" s="150" t="s">
        <v>38</v>
      </c>
      <c r="C222" s="129"/>
      <c r="D222" s="129"/>
      <c r="E222" s="129">
        <f>SUM(AH222:AK222)</f>
        <v>3.8570000000000029</v>
      </c>
      <c r="F222" s="129">
        <f>SUM(AL222:AO222)</f>
        <v>4.7869999999999973</v>
      </c>
      <c r="G222" s="129">
        <f>SUM(AP222:AS222)</f>
        <v>1.4510000000000041</v>
      </c>
      <c r="H222" s="129">
        <f>SUM(AT222:AW222)</f>
        <v>5.1730000000000089</v>
      </c>
      <c r="I222" s="129">
        <f>SUM(AX222:BA222)</f>
        <v>1.3029999999999902</v>
      </c>
      <c r="J222" s="129">
        <f>SUM(BB222:BE222)</f>
        <v>-34.924999999999997</v>
      </c>
      <c r="K222" s="129">
        <f>SUM(BF222:BI222)</f>
        <v>5.5929999999999929</v>
      </c>
      <c r="L222" s="129">
        <f>SUM(BJ222:BM222)</f>
        <v>-8.0389999999999731</v>
      </c>
      <c r="M222" s="129">
        <f>SUM(BN222:BQ222)</f>
        <v>-8.1070000000000135</v>
      </c>
      <c r="N222" s="129">
        <f>SUM(BR222:BU222)</f>
        <v>-29.96200000000001</v>
      </c>
      <c r="O222" s="129">
        <f>SUM(BV222:BY222)</f>
        <v>-6.5920000000000094</v>
      </c>
      <c r="P222" s="129">
        <f>SUM(BZ222:CC222)</f>
        <v>24.963000000000001</v>
      </c>
      <c r="Q222" s="129">
        <f>SUM(CD222:CG222)</f>
        <v>-31.209000000000003</v>
      </c>
      <c r="R222" s="129">
        <f>SUM(CH222:CK222)</f>
        <v>-32.190000000000012</v>
      </c>
      <c r="S222" s="129">
        <f>SUM(CL222:CO222)</f>
        <v>-95.905000000000058</v>
      </c>
      <c r="T222" s="129">
        <f>SUM(CP222:CS222)</f>
        <v>-48.275999999999925</v>
      </c>
      <c r="U222" s="129">
        <f>SUM(CT222:CW222)</f>
        <v>-17.49199999999999</v>
      </c>
      <c r="V222" s="129">
        <f>SUM(CX222:DA222)</f>
        <v>20.140000000000043</v>
      </c>
      <c r="W222" s="129">
        <f>SUM(DB222:DE222)</f>
        <v>-1.2889999999999873</v>
      </c>
      <c r="X222" s="129">
        <f>SUM(DF222:DI222)</f>
        <v>-4.7170000000000982</v>
      </c>
      <c r="Y222" s="129">
        <f>SUM(DJ222:DM222)</f>
        <v>-155.57000000000008</v>
      </c>
      <c r="Z222" s="129">
        <f t="shared" si="694"/>
        <v>-44.056000000000211</v>
      </c>
      <c r="AA222" s="129">
        <f t="shared" si="694"/>
        <v>48.529999999999973</v>
      </c>
      <c r="AB222" s="141">
        <f t="shared" si="694"/>
        <v>36.555999999999941</v>
      </c>
      <c r="AC222" s="141">
        <f t="shared" si="694"/>
        <v>5.1043900000000235</v>
      </c>
      <c r="AD222" s="141">
        <f t="shared" si="694"/>
        <v>4.0614460000002168</v>
      </c>
      <c r="AE222" s="141">
        <f t="shared" si="694"/>
        <v>0</v>
      </c>
      <c r="AF222" s="141">
        <f t="shared" si="694"/>
        <v>0</v>
      </c>
      <c r="AG222" s="96"/>
      <c r="AH222" s="149">
        <f t="shared" ref="AH222:BM222" si="722">AH231-SUM(AH217:AH221,AH224:AH230)</f>
        <v>-0.4129999999999967</v>
      </c>
      <c r="AI222" s="149">
        <f t="shared" si="722"/>
        <v>0.13599999999999923</v>
      </c>
      <c r="AJ222" s="149">
        <f t="shared" si="722"/>
        <v>1.527000000000001</v>
      </c>
      <c r="AK222" s="149">
        <f t="shared" si="722"/>
        <v>2.6069999999999993</v>
      </c>
      <c r="AL222" s="149">
        <f t="shared" si="722"/>
        <v>-2.9440000000000026</v>
      </c>
      <c r="AM222" s="149">
        <f t="shared" si="722"/>
        <v>1.7000000000003013E-2</v>
      </c>
      <c r="AN222" s="149">
        <f t="shared" si="722"/>
        <v>2.2469999999999999</v>
      </c>
      <c r="AO222" s="149">
        <f t="shared" si="722"/>
        <v>5.466999999999997</v>
      </c>
      <c r="AP222" s="149">
        <f t="shared" si="722"/>
        <v>1.5560000000000009</v>
      </c>
      <c r="AQ222" s="149">
        <f t="shared" si="722"/>
        <v>-0.34099999999999397</v>
      </c>
      <c r="AR222" s="149">
        <f t="shared" si="722"/>
        <v>0.36299999999999955</v>
      </c>
      <c r="AS222" s="149">
        <f t="shared" si="722"/>
        <v>-0.12700000000000244</v>
      </c>
      <c r="AT222" s="149">
        <f t="shared" si="722"/>
        <v>1.0420000000000016</v>
      </c>
      <c r="AU222" s="149">
        <f t="shared" si="722"/>
        <v>2.4239999999999995</v>
      </c>
      <c r="AV222" s="149">
        <f t="shared" si="722"/>
        <v>1.4410000000000025</v>
      </c>
      <c r="AW222" s="149">
        <f t="shared" si="722"/>
        <v>0.26600000000000534</v>
      </c>
      <c r="AX222" s="149">
        <f t="shared" si="722"/>
        <v>-0.6839999999999975</v>
      </c>
      <c r="AY222" s="149">
        <f t="shared" si="722"/>
        <v>0.27900000000000347</v>
      </c>
      <c r="AZ222" s="149">
        <f t="shared" si="722"/>
        <v>-5.2810000000000059</v>
      </c>
      <c r="BA222" s="149">
        <f t="shared" si="722"/>
        <v>6.9889999999999901</v>
      </c>
      <c r="BB222" s="149">
        <f t="shared" si="722"/>
        <v>-4.0189999999999984</v>
      </c>
      <c r="BC222" s="149">
        <f t="shared" si="722"/>
        <v>-0.34200000000000585</v>
      </c>
      <c r="BD222" s="149">
        <f t="shared" si="722"/>
        <v>-23.74499999999999</v>
      </c>
      <c r="BE222" s="149">
        <f t="shared" si="722"/>
        <v>-6.8190000000000026</v>
      </c>
      <c r="BF222" s="149">
        <f t="shared" si="722"/>
        <v>-4.3080000000000034</v>
      </c>
      <c r="BG222" s="149">
        <f t="shared" si="722"/>
        <v>0.64499999999999602</v>
      </c>
      <c r="BH222" s="149">
        <f t="shared" si="722"/>
        <v>-1.335000000000008</v>
      </c>
      <c r="BI222" s="149">
        <f t="shared" si="722"/>
        <v>10.591000000000008</v>
      </c>
      <c r="BJ222" s="149">
        <f t="shared" si="722"/>
        <v>-11.253999999999998</v>
      </c>
      <c r="BK222" s="149">
        <f t="shared" si="722"/>
        <v>-7.7589999999999861</v>
      </c>
      <c r="BL222" s="149">
        <f t="shared" si="722"/>
        <v>6.2309999999999945</v>
      </c>
      <c r="BM222" s="149">
        <f t="shared" si="722"/>
        <v>4.7430000000000163</v>
      </c>
      <c r="BN222" s="149">
        <f t="shared" ref="BN222:CS222" si="723">BN231-SUM(BN217:BN221,BN224:BN230)</f>
        <v>9.6170000000000044</v>
      </c>
      <c r="BO222" s="149">
        <f t="shared" si="723"/>
        <v>3.2189999999999941</v>
      </c>
      <c r="BP222" s="149">
        <f t="shared" si="723"/>
        <v>3.5209999999999866</v>
      </c>
      <c r="BQ222" s="149">
        <f t="shared" si="723"/>
        <v>-24.463999999999999</v>
      </c>
      <c r="BR222" s="149">
        <f t="shared" si="723"/>
        <v>-2.419000000000004</v>
      </c>
      <c r="BS222" s="149">
        <f t="shared" si="723"/>
        <v>-0.93700000000000472</v>
      </c>
      <c r="BT222" s="149">
        <f t="shared" si="723"/>
        <v>-27.172000000000004</v>
      </c>
      <c r="BU222" s="149">
        <f t="shared" si="723"/>
        <v>0.5660000000000025</v>
      </c>
      <c r="BV222" s="149">
        <f t="shared" si="723"/>
        <v>-0.75100000000000477</v>
      </c>
      <c r="BW222" s="149">
        <f t="shared" si="723"/>
        <v>-0.52200000000000557</v>
      </c>
      <c r="BX222" s="149">
        <f t="shared" si="723"/>
        <v>-0.58299999999999841</v>
      </c>
      <c r="BY222" s="149">
        <f t="shared" si="723"/>
        <v>-4.7360000000000007</v>
      </c>
      <c r="BZ222" s="149">
        <f t="shared" si="723"/>
        <v>-3.5289999999999964</v>
      </c>
      <c r="CA222" s="149">
        <f t="shared" si="723"/>
        <v>-9.5470000000000041</v>
      </c>
      <c r="CB222" s="149">
        <f t="shared" si="723"/>
        <v>0.24699999999999989</v>
      </c>
      <c r="CC222" s="149">
        <f t="shared" si="723"/>
        <v>37.792000000000002</v>
      </c>
      <c r="CD222" s="149">
        <f t="shared" si="723"/>
        <v>-27.49199999999999</v>
      </c>
      <c r="CE222" s="149">
        <f t="shared" si="723"/>
        <v>-1.416000000000011</v>
      </c>
      <c r="CF222" s="149">
        <f t="shared" si="723"/>
        <v>-0.73999999999999488</v>
      </c>
      <c r="CG222" s="149">
        <f t="shared" si="723"/>
        <v>-1.561000000000007</v>
      </c>
      <c r="CH222" s="149">
        <f t="shared" si="723"/>
        <v>-3.4809999999999945</v>
      </c>
      <c r="CI222" s="149">
        <f t="shared" si="723"/>
        <v>-4.0330000000000155</v>
      </c>
      <c r="CJ222" s="149">
        <f t="shared" si="723"/>
        <v>-12.045999999999992</v>
      </c>
      <c r="CK222" s="149">
        <f t="shared" si="723"/>
        <v>-12.63000000000001</v>
      </c>
      <c r="CL222" s="149">
        <f t="shared" si="723"/>
        <v>-28.625</v>
      </c>
      <c r="CM222" s="149">
        <f t="shared" si="723"/>
        <v>-9.3619999999999948</v>
      </c>
      <c r="CN222" s="149">
        <f t="shared" si="723"/>
        <v>-35.101000000000056</v>
      </c>
      <c r="CO222" s="149">
        <f t="shared" si="723"/>
        <v>-22.817000000000007</v>
      </c>
      <c r="CP222" s="149">
        <f t="shared" si="723"/>
        <v>-9.8479999999999848</v>
      </c>
      <c r="CQ222" s="149">
        <f t="shared" si="723"/>
        <v>-10.411999999999978</v>
      </c>
      <c r="CR222" s="149">
        <f t="shared" si="723"/>
        <v>-18.599999999999966</v>
      </c>
      <c r="CS222" s="149">
        <f t="shared" si="723"/>
        <v>-9.4159999999999968</v>
      </c>
      <c r="CT222" s="149">
        <f t="shared" ref="CT222:DY222" si="724">CT231-SUM(CT217:CT221,CT224:CT230)</f>
        <v>-9.7680000000000007</v>
      </c>
      <c r="CU222" s="149">
        <f t="shared" si="724"/>
        <v>-6.8019999999999925</v>
      </c>
      <c r="CV222" s="149">
        <f t="shared" si="724"/>
        <v>0.30099999999998772</v>
      </c>
      <c r="CW222" s="149">
        <f t="shared" si="724"/>
        <v>-1.2229999999999848</v>
      </c>
      <c r="CX222" s="149">
        <f t="shared" si="724"/>
        <v>2.0000000000095497E-3</v>
      </c>
      <c r="CY222" s="149">
        <f t="shared" si="724"/>
        <v>9.3000000000017735E-2</v>
      </c>
      <c r="CZ222" s="149">
        <f t="shared" si="724"/>
        <v>3.9840000000000089</v>
      </c>
      <c r="DA222" s="149">
        <f t="shared" si="724"/>
        <v>16.061000000000007</v>
      </c>
      <c r="DB222" s="149">
        <f t="shared" si="724"/>
        <v>-0.21500000000003183</v>
      </c>
      <c r="DC222" s="149">
        <f t="shared" si="724"/>
        <v>-0.16899999999998272</v>
      </c>
      <c r="DD222" s="149">
        <f t="shared" si="724"/>
        <v>-0.91100000000000136</v>
      </c>
      <c r="DE222" s="149">
        <f t="shared" si="724"/>
        <v>6.0000000000286491E-3</v>
      </c>
      <c r="DF222" s="149">
        <f t="shared" si="724"/>
        <v>-9.0000000000429736E-3</v>
      </c>
      <c r="DG222" s="149">
        <f t="shared" si="724"/>
        <v>-24.547999999999973</v>
      </c>
      <c r="DH222" s="149">
        <f t="shared" si="724"/>
        <v>24.710000000000036</v>
      </c>
      <c r="DI222" s="149">
        <f t="shared" si="724"/>
        <v>-4.8700000000001182</v>
      </c>
      <c r="DJ222" s="149">
        <f t="shared" si="724"/>
        <v>-8.7569999999998913</v>
      </c>
      <c r="DK222" s="149">
        <f t="shared" si="724"/>
        <v>4.573999999999927</v>
      </c>
      <c r="DL222" s="149">
        <f t="shared" si="724"/>
        <v>-152.81499999999994</v>
      </c>
      <c r="DM222" s="149">
        <f t="shared" si="724"/>
        <v>1.4279999999998267</v>
      </c>
      <c r="DN222" s="149">
        <f t="shared" si="724"/>
        <v>0</v>
      </c>
      <c r="DO222" s="149">
        <f t="shared" si="724"/>
        <v>-21.54600000000022</v>
      </c>
      <c r="DP222" s="149">
        <f t="shared" si="724"/>
        <v>-23.881000000000029</v>
      </c>
      <c r="DQ222" s="149">
        <f t="shared" si="724"/>
        <v>1.3710000000000377</v>
      </c>
      <c r="DR222" s="149">
        <f t="shared" si="724"/>
        <v>0</v>
      </c>
      <c r="DS222" s="149">
        <f t="shared" si="724"/>
        <v>0.21899999999999409</v>
      </c>
      <c r="DT222" s="149">
        <f t="shared" si="724"/>
        <v>1.4660000000000082</v>
      </c>
      <c r="DU222" s="149">
        <f t="shared" si="724"/>
        <v>46.84499999999997</v>
      </c>
      <c r="DV222" s="149">
        <f t="shared" si="724"/>
        <v>0.59800000000001319</v>
      </c>
      <c r="DW222" s="149">
        <f t="shared" si="724"/>
        <v>1.6169999999999618</v>
      </c>
      <c r="DX222" s="149">
        <f t="shared" si="724"/>
        <v>5.5150000000000148</v>
      </c>
      <c r="DY222" s="149">
        <f t="shared" si="724"/>
        <v>28.825999999999951</v>
      </c>
      <c r="DZ222" s="149">
        <f t="shared" ref="DZ222:ED222" si="725">DZ231-SUM(DZ217:DZ221,DZ224:DZ230)</f>
        <v>2.6233899999999721</v>
      </c>
      <c r="EA222" s="149">
        <f t="shared" si="725"/>
        <v>1.673999999999964</v>
      </c>
      <c r="EB222" s="149">
        <f t="shared" si="725"/>
        <v>1.7079999999999558</v>
      </c>
      <c r="EC222" s="149">
        <f>EC231-SUM(EC217:EC221,EC224:EC230)</f>
        <v>-0.90099999999986835</v>
      </c>
      <c r="ED222" s="149">
        <f t="shared" si="725"/>
        <v>4.0614460000002168</v>
      </c>
      <c r="EE222" s="138">
        <v>0</v>
      </c>
      <c r="EF222" s="138">
        <v>0</v>
      </c>
      <c r="EG222" s="138">
        <v>0</v>
      </c>
      <c r="EH222" s="138">
        <v>0</v>
      </c>
      <c r="EI222" s="138">
        <v>0</v>
      </c>
      <c r="EJ222" s="138">
        <v>0</v>
      </c>
      <c r="EK222" s="138">
        <v>0</v>
      </c>
      <c r="EL222" s="138">
        <v>0</v>
      </c>
      <c r="EM222" s="138">
        <v>0</v>
      </c>
      <c r="EN222" s="138">
        <v>0</v>
      </c>
      <c r="EO222" s="138">
        <v>0</v>
      </c>
      <c r="EP222" s="138">
        <v>0</v>
      </c>
      <c r="EQ222" s="129"/>
      <c r="ER222" s="129"/>
      <c r="ES222" s="355">
        <f t="shared" si="632"/>
        <v>217</v>
      </c>
      <c r="ET222"/>
      <c r="EU222"/>
      <c r="EV222"/>
      <c r="EW222"/>
      <c r="EX222"/>
      <c r="EY222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</row>
    <row r="223" spans="1:257" s="4" customFormat="1" ht="12.75" customHeight="1" outlineLevel="1">
      <c r="A223" s="15"/>
      <c r="B223" s="14" t="s">
        <v>134</v>
      </c>
      <c r="C223" s="129"/>
      <c r="D223" s="129"/>
      <c r="E223" s="129"/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9"/>
      <c r="AF223" s="129"/>
      <c r="AG223" s="96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8"/>
      <c r="CA223" s="138"/>
      <c r="CB223" s="138"/>
      <c r="CC223" s="138"/>
      <c r="CD223" s="138"/>
      <c r="CE223" s="138"/>
      <c r="CF223" s="138"/>
      <c r="CG223" s="138"/>
      <c r="CH223" s="138"/>
      <c r="CI223" s="138"/>
      <c r="CJ223" s="138"/>
      <c r="CK223" s="138"/>
      <c r="CL223" s="138"/>
      <c r="CM223" s="138"/>
      <c r="CN223" s="138"/>
      <c r="CO223" s="138"/>
      <c r="CP223" s="138"/>
      <c r="CQ223" s="138"/>
      <c r="CR223" s="138"/>
      <c r="CS223" s="138"/>
      <c r="CT223" s="138"/>
      <c r="CU223" s="138"/>
      <c r="CV223" s="138"/>
      <c r="CW223" s="138"/>
      <c r="CX223" s="138"/>
      <c r="CY223" s="138"/>
      <c r="CZ223" s="138"/>
      <c r="DA223" s="138"/>
      <c r="DB223" s="138"/>
      <c r="DC223" s="138"/>
      <c r="DD223" s="138"/>
      <c r="DE223" s="138"/>
      <c r="DF223" s="138"/>
      <c r="DG223" s="138"/>
      <c r="DH223" s="138"/>
      <c r="DI223" s="138"/>
      <c r="DJ223" s="138"/>
      <c r="DK223" s="138"/>
      <c r="DL223" s="138"/>
      <c r="DM223" s="138"/>
      <c r="DN223" s="140"/>
      <c r="DO223" s="140"/>
      <c r="DP223" s="140"/>
      <c r="DQ223" s="140"/>
      <c r="DR223" s="140"/>
      <c r="DS223" s="140"/>
      <c r="DT223" s="140"/>
      <c r="DU223" s="140"/>
      <c r="DV223" s="140"/>
      <c r="DW223" s="140"/>
      <c r="DX223" s="140"/>
      <c r="DY223" s="140"/>
      <c r="DZ223" s="140"/>
      <c r="EA223" s="140"/>
      <c r="EB223" s="360"/>
      <c r="EC223" s="360"/>
      <c r="ED223" s="360"/>
      <c r="EE223" s="141"/>
      <c r="EF223" s="141"/>
      <c r="EG223" s="141"/>
      <c r="EH223" s="141"/>
      <c r="EI223" s="141"/>
      <c r="EJ223" s="141"/>
      <c r="EK223" s="141"/>
      <c r="EL223" s="141"/>
      <c r="EM223" s="141"/>
      <c r="EN223" s="141"/>
      <c r="EO223" s="141"/>
      <c r="EP223" s="141"/>
      <c r="EQ223" s="129"/>
      <c r="ER223" s="129"/>
      <c r="ES223" s="355">
        <f t="shared" si="632"/>
        <v>218</v>
      </c>
      <c r="ET223"/>
      <c r="EU223"/>
      <c r="EV223"/>
      <c r="EW223"/>
      <c r="EX223"/>
      <c r="EY223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</row>
    <row r="224" spans="1:257" s="4" customFormat="1" ht="12.75" customHeight="1" outlineLevel="1">
      <c r="A224" s="15"/>
      <c r="B224" s="147" t="s">
        <v>133</v>
      </c>
      <c r="C224" s="129"/>
      <c r="D224" s="129"/>
      <c r="E224" s="129">
        <f t="shared" ref="E224:E230" si="726">SUM(AH224:AK224)</f>
        <v>-13.486000000000001</v>
      </c>
      <c r="F224" s="129">
        <f t="shared" ref="F224:F230" si="727">SUM(AL224:AO224)</f>
        <v>-3.5920000000000001</v>
      </c>
      <c r="G224" s="129">
        <f t="shared" ref="G224:G230" si="728">SUM(AP224:AS224)</f>
        <v>0.27499999999999991</v>
      </c>
      <c r="H224" s="129">
        <f t="shared" ref="H224:H230" si="729">SUM(AT224:AW224)</f>
        <v>-18.34</v>
      </c>
      <c r="I224" s="129">
        <f t="shared" ref="I224:I230" si="730">SUM(AX224:BA224)</f>
        <v>-23.323</v>
      </c>
      <c r="J224" s="129">
        <f t="shared" ref="J224:J230" si="731">SUM(BB224:BE224)</f>
        <v>-20.698</v>
      </c>
      <c r="K224" s="129">
        <f t="shared" ref="K224:K230" si="732">SUM(BF224:BI224)</f>
        <v>19.797000000000001</v>
      </c>
      <c r="L224" s="129">
        <f t="shared" ref="L224:L230" si="733">SUM(BJ224:BM224)</f>
        <v>-7.032</v>
      </c>
      <c r="M224" s="141">
        <f t="shared" ref="M224:M230" si="734">SUM(BN224:BQ224)</f>
        <v>-49.405000000000001</v>
      </c>
      <c r="N224" s="141">
        <f t="shared" ref="N224:N230" si="735">SUM(BR224:BU224)</f>
        <v>24.148</v>
      </c>
      <c r="O224" s="129">
        <f t="shared" ref="O224:O230" si="736">SUM(BV224:BY224)</f>
        <v>1.5160000000000018</v>
      </c>
      <c r="P224" s="129">
        <f t="shared" ref="P224:P230" si="737">SUM(BZ224:CC224)</f>
        <v>-25.335000000000001</v>
      </c>
      <c r="Q224" s="129">
        <f t="shared" ref="Q224:Q230" si="738">SUM(CD224:CG224)</f>
        <v>-46.222999999999999</v>
      </c>
      <c r="R224" s="129">
        <f t="shared" ref="R224:R230" si="739">SUM(CH224:CK224)</f>
        <v>-120.74</v>
      </c>
      <c r="S224" s="129">
        <f t="shared" ref="S224:S230" si="740">SUM(CL224:CO224)</f>
        <v>-53.773000000000003</v>
      </c>
      <c r="T224" s="129">
        <f t="shared" ref="T224:T230" si="741">SUM(CP224:CS224)</f>
        <v>-127.992</v>
      </c>
      <c r="U224" s="129">
        <f t="shared" ref="U224:U230" si="742">SUM(CT224:CW224)</f>
        <v>216.68799999999999</v>
      </c>
      <c r="V224" s="129">
        <f t="shared" ref="V224:V230" si="743">SUM(CX224:DA224)</f>
        <v>-223.916</v>
      </c>
      <c r="W224" s="129">
        <f t="shared" ref="W224:W230" si="744">SUM(DB224:DE224)</f>
        <v>-2.9870000000000019</v>
      </c>
      <c r="X224" s="129">
        <f t="shared" ref="X224:X232" si="745">SUM(DF224:DI224)</f>
        <v>-160.154</v>
      </c>
      <c r="Y224" s="129">
        <f t="shared" ref="Y224:Y230" si="746">SUM(DJ224:DM224)</f>
        <v>-4.8059999999999974</v>
      </c>
      <c r="Z224" s="129">
        <f t="shared" ref="Z224:AF230" si="747">SUMIF($AH$5:$ER$5,Z$5,$AH224:$ER224)</f>
        <v>-83.593999999999994</v>
      </c>
      <c r="AA224" s="129">
        <f t="shared" si="747"/>
        <v>249.87299999999999</v>
      </c>
      <c r="AB224" s="141">
        <f t="shared" si="747"/>
        <v>72.792000000000002</v>
      </c>
      <c r="AC224" s="141">
        <f t="shared" si="747"/>
        <v>-97.114000000000004</v>
      </c>
      <c r="AD224" s="141">
        <f t="shared" si="747"/>
        <v>-119.7719872991706</v>
      </c>
      <c r="AE224" s="141">
        <f t="shared" si="747"/>
        <v>-81.022938209573681</v>
      </c>
      <c r="AF224" s="141">
        <f t="shared" si="747"/>
        <v>-19.038528515634425</v>
      </c>
      <c r="AG224" s="96"/>
      <c r="AH224" s="139">
        <v>-12.332000000000001</v>
      </c>
      <c r="AI224" s="138">
        <f>-18.723-AH224</f>
        <v>-6.3909999999999982</v>
      </c>
      <c r="AJ224" s="138">
        <f>-16.87-SUM(AH224:AI224)</f>
        <v>1.852999999999998</v>
      </c>
      <c r="AK224" s="138">
        <f>-13.486-SUM(AH224:AJ224)</f>
        <v>3.3840000000000003</v>
      </c>
      <c r="AL224" s="139">
        <v>-5.702</v>
      </c>
      <c r="AM224" s="139">
        <f>-2.802-AL224</f>
        <v>2.9</v>
      </c>
      <c r="AN224" s="138">
        <f>0.166-SUM(AL224:AM224)</f>
        <v>2.968</v>
      </c>
      <c r="AO224" s="138">
        <f>-3.592-SUM(AL224:AN224)</f>
        <v>-3.758</v>
      </c>
      <c r="AP224" s="139">
        <v>-2.5999999999999999E-2</v>
      </c>
      <c r="AQ224" s="139">
        <f>8.025-AP224</f>
        <v>8.0510000000000002</v>
      </c>
      <c r="AR224" s="138">
        <f>-0.811-SUM(AP224:AQ224)</f>
        <v>-8.8360000000000003</v>
      </c>
      <c r="AS224" s="139">
        <f>0.275-SUM(AP224:AR224)</f>
        <v>1.0859999999999999</v>
      </c>
      <c r="AT224" s="139">
        <v>-5.9370000000000003</v>
      </c>
      <c r="AU224" s="139">
        <f>-5.209-AT224</f>
        <v>0.72800000000000065</v>
      </c>
      <c r="AV224" s="139">
        <f>-15.643-SUM(AT224:AU224)</f>
        <v>-10.434000000000001</v>
      </c>
      <c r="AW224" s="139">
        <f>-18.34-SUM(AT224:AV224)</f>
        <v>-2.6969999999999992</v>
      </c>
      <c r="AX224" s="139">
        <v>-10.159000000000001</v>
      </c>
      <c r="AY224" s="139">
        <f>-11.334-AX224</f>
        <v>-1.1749999999999989</v>
      </c>
      <c r="AZ224" s="139">
        <f>-12.498-SUM(AX224:AY224)</f>
        <v>-1.1639999999999997</v>
      </c>
      <c r="BA224" s="139">
        <f>-23.323-SUM(AX224:AZ224)</f>
        <v>-10.825000000000001</v>
      </c>
      <c r="BB224" s="139">
        <v>-13.782</v>
      </c>
      <c r="BC224" s="139">
        <f>-21.99-BB224</f>
        <v>-8.2079999999999984</v>
      </c>
      <c r="BD224" s="139">
        <f>-21.905-SUM(BB224:BC224)</f>
        <v>8.49999999999973E-2</v>
      </c>
      <c r="BE224" s="139">
        <f>-20.698-SUM(BB224:BD224)</f>
        <v>1.2070000000000007</v>
      </c>
      <c r="BF224" s="139">
        <v>2.5019999999999998</v>
      </c>
      <c r="BG224" s="139">
        <f>6.953-BF224</f>
        <v>4.4510000000000005</v>
      </c>
      <c r="BH224" s="139">
        <f>21.057-SUM(BF224:BG224)</f>
        <v>14.103999999999999</v>
      </c>
      <c r="BI224" s="139">
        <f>19.797-SUM(BF224:BH224)</f>
        <v>-1.259999999999998</v>
      </c>
      <c r="BJ224" s="139">
        <v>2.879</v>
      </c>
      <c r="BK224" s="139">
        <f>8.731-BJ224</f>
        <v>5.8520000000000003</v>
      </c>
      <c r="BL224" s="139">
        <f>-0.092-SUM(BJ224:BK224)</f>
        <v>-8.8230000000000004</v>
      </c>
      <c r="BM224" s="139">
        <f>-7.032-SUM(BJ224:BL224)</f>
        <v>-6.9399999999999995</v>
      </c>
      <c r="BN224" s="139">
        <v>-18.652999999999999</v>
      </c>
      <c r="BO224" s="139">
        <f>-14.799-BN224</f>
        <v>3.8539999999999992</v>
      </c>
      <c r="BP224" s="139">
        <f>-28.112-SUM(BN224:BO224)</f>
        <v>-13.312999999999999</v>
      </c>
      <c r="BQ224" s="139">
        <f>-49.405-SUM(BN224:BP224)</f>
        <v>-21.293000000000003</v>
      </c>
      <c r="BR224" s="139">
        <v>4.508</v>
      </c>
      <c r="BS224" s="139">
        <f>11.36-BR224</f>
        <v>6.8519999999999994</v>
      </c>
      <c r="BT224" s="139">
        <f>24.197-SUM(BR224:BS224)</f>
        <v>12.837</v>
      </c>
      <c r="BU224" s="139">
        <f>24.148-SUM(BR224:BT224)</f>
        <v>-4.8999999999999488E-2</v>
      </c>
      <c r="BV224" s="139">
        <v>8.76</v>
      </c>
      <c r="BW224" s="139">
        <f>2.689-BV224</f>
        <v>-6.0709999999999997</v>
      </c>
      <c r="BX224" s="139">
        <f>-14.855-SUM(BV224:BW224)</f>
        <v>-17.544</v>
      </c>
      <c r="BY224" s="139">
        <f>1.516-SUM(BV224:BX224)</f>
        <v>16.371000000000002</v>
      </c>
      <c r="BZ224" s="138">
        <v>1.49</v>
      </c>
      <c r="CA224" s="138">
        <f>-10.894-BZ224</f>
        <v>-12.384</v>
      </c>
      <c r="CB224" s="138">
        <f>-11.17-SUM(BZ224:CA224)</f>
        <v>-0.2759999999999998</v>
      </c>
      <c r="CC224" s="138">
        <f>-25.335-SUM(BZ224:CB224)</f>
        <v>-14.165000000000001</v>
      </c>
      <c r="CD224" s="138">
        <v>-7.2380000000000004</v>
      </c>
      <c r="CE224" s="138">
        <f>-16.761-CD224</f>
        <v>-9.5229999999999997</v>
      </c>
      <c r="CF224" s="138">
        <f>-34.438-SUM(CD224:CE224)</f>
        <v>-17.677000000000003</v>
      </c>
      <c r="CG224" s="138">
        <f>-46.223-SUM(CD224:CF224)</f>
        <v>-11.784999999999997</v>
      </c>
      <c r="CH224" s="138">
        <v>-23.925000000000001</v>
      </c>
      <c r="CI224" s="138">
        <f>-30.796-CH224</f>
        <v>-6.8709999999999987</v>
      </c>
      <c r="CJ224" s="138">
        <f>-78.155-SUM(CH224:CI224)</f>
        <v>-47.359000000000002</v>
      </c>
      <c r="CK224" s="138">
        <f>-120.74-SUM(CH224:CJ224)</f>
        <v>-42.584999999999994</v>
      </c>
      <c r="CL224" s="138">
        <v>-45.764000000000003</v>
      </c>
      <c r="CM224" s="138">
        <f>-21.115-CL224</f>
        <v>24.649000000000004</v>
      </c>
      <c r="CN224" s="138">
        <f>-37.184-SUM(CL224:CM224)</f>
        <v>-16.068999999999999</v>
      </c>
      <c r="CO224" s="138">
        <f>-53.773-SUM(CL224:CN224)</f>
        <v>-16.589000000000006</v>
      </c>
      <c r="CP224" s="138">
        <v>-30.280999999999999</v>
      </c>
      <c r="CQ224" s="138">
        <f>-25.809-CP224</f>
        <v>4.4719999999999978</v>
      </c>
      <c r="CR224" s="138">
        <f>-61.787-SUM(CP224:CQ224)</f>
        <v>-35.977999999999994</v>
      </c>
      <c r="CS224" s="138">
        <f>-127.992-SUM(CP224:CR224)</f>
        <v>-66.205000000000013</v>
      </c>
      <c r="CT224" s="138">
        <v>2.2589999999999999</v>
      </c>
      <c r="CU224" s="138">
        <f>1.819-CT224</f>
        <v>-0.43999999999999995</v>
      </c>
      <c r="CV224" s="138">
        <f>142.426-SUM(CT224:CU224)</f>
        <v>140.607</v>
      </c>
      <c r="CW224" s="138">
        <f>216.688-SUM(CT224:CV224)</f>
        <v>74.262</v>
      </c>
      <c r="CX224" s="138">
        <v>-23.721</v>
      </c>
      <c r="CY224" s="138">
        <f>-41.86-CX224</f>
        <v>-18.138999999999999</v>
      </c>
      <c r="CZ224" s="138">
        <f>-101.055-CY224-CX224</f>
        <v>-59.195000000000007</v>
      </c>
      <c r="DA224" s="138">
        <f>-223.916-SUM(CX224:CZ224)</f>
        <v>-122.86099999999999</v>
      </c>
      <c r="DB224" s="138">
        <v>45.259</v>
      </c>
      <c r="DC224" s="138">
        <f>24.476-DB224</f>
        <v>-20.783000000000001</v>
      </c>
      <c r="DD224" s="138">
        <f>13.442-SUM(DB224:DC224)</f>
        <v>-11.033999999999999</v>
      </c>
      <c r="DE224" s="138">
        <f>-2.987-SUM(DB224:DD224)</f>
        <v>-16.429000000000002</v>
      </c>
      <c r="DF224" s="138">
        <v>-34.850999999999999</v>
      </c>
      <c r="DG224" s="138">
        <f>-50.665-DF224</f>
        <v>-15.814</v>
      </c>
      <c r="DH224" s="138">
        <f>-143.809-DG224-DF224</f>
        <v>-93.144000000000005</v>
      </c>
      <c r="DI224" s="138">
        <f>-160.154-DH224-DG224-DF224</f>
        <v>-16.344999999999992</v>
      </c>
      <c r="DJ224" s="138">
        <v>40.314</v>
      </c>
      <c r="DK224" s="138">
        <f>13.459-DJ224</f>
        <v>-26.855</v>
      </c>
      <c r="DL224" s="138">
        <f>-5.697-DJ224-DK224</f>
        <v>-19.156000000000002</v>
      </c>
      <c r="DM224" s="138">
        <f>-4.806-DJ224-DK224-DL224</f>
        <v>0.89100000000000534</v>
      </c>
      <c r="DN224" s="140">
        <v>-8.82</v>
      </c>
      <c r="DO224" s="140">
        <f>-2.494-DN224</f>
        <v>6.3260000000000005</v>
      </c>
      <c r="DP224" s="140">
        <f>-84.173-SUM(DN224:DO224)</f>
        <v>-81.679000000000002</v>
      </c>
      <c r="DQ224" s="140">
        <f>-83.594-DP224-DO224-DN224</f>
        <v>0.57900000000000773</v>
      </c>
      <c r="DR224" s="140">
        <v>-29.114999999999998</v>
      </c>
      <c r="DS224" s="140">
        <f>81.508-DR224</f>
        <v>110.62299999999999</v>
      </c>
      <c r="DT224" s="140">
        <f>215.027-SUM(DR224:DS224)</f>
        <v>133.51900000000001</v>
      </c>
      <c r="DU224" s="140">
        <f>249.873-DT224-DS224-DR224</f>
        <v>34.845999999999989</v>
      </c>
      <c r="DV224" s="140">
        <v>72.082999999999998</v>
      </c>
      <c r="DW224" s="140">
        <f>115.222-DV224</f>
        <v>43.138999999999996</v>
      </c>
      <c r="DX224" s="140">
        <f>97.698-DW224-DV224</f>
        <v>-17.524000000000001</v>
      </c>
      <c r="DY224" s="140">
        <f>72.792-DX224-DW224-DV224</f>
        <v>-24.905999999999992</v>
      </c>
      <c r="DZ224" s="140">
        <f>46.048</f>
        <v>46.048000000000002</v>
      </c>
      <c r="EA224" s="140">
        <f>30.278-DZ224</f>
        <v>-15.770000000000003</v>
      </c>
      <c r="EB224" s="140">
        <f>-62.942-EA224-DZ224</f>
        <v>-93.22</v>
      </c>
      <c r="EC224" s="140">
        <f>-97.114-EB224-EA224-DZ224</f>
        <v>-34.172000000000004</v>
      </c>
      <c r="ED224" s="140">
        <v>-53.777999999999999</v>
      </c>
      <c r="EE224" s="141">
        <f t="shared" ref="EE224:EP224" si="748">-(EE253-ED253)</f>
        <v>-7.754154141829531</v>
      </c>
      <c r="EF224" s="141">
        <f t="shared" si="748"/>
        <v>-28.353547297119235</v>
      </c>
      <c r="EG224" s="141">
        <f t="shared" si="748"/>
        <v>-29.886285860221847</v>
      </c>
      <c r="EH224" s="141">
        <f t="shared" si="748"/>
        <v>-25.037379669828738</v>
      </c>
      <c r="EI224" s="141">
        <f t="shared" si="748"/>
        <v>-28.133145592333904</v>
      </c>
      <c r="EJ224" s="141">
        <f t="shared" si="748"/>
        <v>-14.681135705351835</v>
      </c>
      <c r="EK224" s="141">
        <f t="shared" si="748"/>
        <v>-13.171277242059205</v>
      </c>
      <c r="EL224" s="141">
        <f t="shared" si="748"/>
        <v>-26.009983287099544</v>
      </c>
      <c r="EM224" s="141">
        <f t="shared" si="748"/>
        <v>1.5464807433445458</v>
      </c>
      <c r="EN224" s="141">
        <f t="shared" si="748"/>
        <v>2.3232549232902784</v>
      </c>
      <c r="EO224" s="141">
        <f t="shared" si="748"/>
        <v>3.1017191048302948</v>
      </c>
      <c r="EP224" s="141">
        <f t="shared" si="748"/>
        <v>2.3233043790711463</v>
      </c>
      <c r="EQ224" s="129"/>
      <c r="ER224" s="129"/>
      <c r="ES224" s="355">
        <f t="shared" si="632"/>
        <v>219</v>
      </c>
      <c r="ET224"/>
      <c r="EU224"/>
      <c r="EV224"/>
      <c r="EW224"/>
      <c r="EX224"/>
      <c r="EY224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</row>
    <row r="225" spans="1:257" s="4" customFormat="1" ht="12.75" customHeight="1" outlineLevel="1">
      <c r="A225" s="15"/>
      <c r="B225" s="147" t="s">
        <v>132</v>
      </c>
      <c r="C225" s="129"/>
      <c r="D225" s="129"/>
      <c r="E225" s="129">
        <f t="shared" si="726"/>
        <v>-3.5000000000000031E-2</v>
      </c>
      <c r="F225" s="129">
        <f t="shared" si="727"/>
        <v>-3.3490000000000002</v>
      </c>
      <c r="G225" s="129">
        <f t="shared" si="728"/>
        <v>8.5999999999999965E-2</v>
      </c>
      <c r="H225" s="129">
        <f t="shared" si="729"/>
        <v>2.4350000000000001</v>
      </c>
      <c r="I225" s="129">
        <f t="shared" si="730"/>
        <v>-2.7240000000000002</v>
      </c>
      <c r="J225" s="129">
        <f t="shared" si="731"/>
        <v>-5.7619999999999996</v>
      </c>
      <c r="K225" s="129">
        <f t="shared" si="732"/>
        <v>0.21399999999999997</v>
      </c>
      <c r="L225" s="129">
        <f t="shared" si="733"/>
        <v>-0.41099999999999992</v>
      </c>
      <c r="M225" s="141">
        <f t="shared" si="734"/>
        <v>-6.7999999999999616E-2</v>
      </c>
      <c r="N225" s="141">
        <f t="shared" si="735"/>
        <v>1.042</v>
      </c>
      <c r="O225" s="129">
        <f t="shared" si="736"/>
        <v>0.251</v>
      </c>
      <c r="P225" s="129">
        <f t="shared" si="737"/>
        <v>1.7070000000000001</v>
      </c>
      <c r="Q225" s="129">
        <f t="shared" si="738"/>
        <v>-0.4870000000000001</v>
      </c>
      <c r="R225" s="129">
        <f t="shared" si="739"/>
        <v>-4.8520000000000003</v>
      </c>
      <c r="S225" s="129">
        <f t="shared" si="740"/>
        <v>-2.98</v>
      </c>
      <c r="T225" s="129">
        <f t="shared" si="741"/>
        <v>-3.9529999999999998</v>
      </c>
      <c r="U225" s="129">
        <f t="shared" si="742"/>
        <v>-11.625</v>
      </c>
      <c r="V225" s="129">
        <f t="shared" si="743"/>
        <v>-3.8580000000000001</v>
      </c>
      <c r="W225" s="129">
        <f t="shared" si="744"/>
        <v>-11.005000000000001</v>
      </c>
      <c r="X225" s="129">
        <f t="shared" si="745"/>
        <v>-22.17</v>
      </c>
      <c r="Y225" s="129">
        <f t="shared" si="746"/>
        <v>-12.289</v>
      </c>
      <c r="Z225" s="129">
        <f t="shared" si="747"/>
        <v>-17.375</v>
      </c>
      <c r="AA225" s="129">
        <f t="shared" si="747"/>
        <v>-22.488</v>
      </c>
      <c r="AB225" s="141">
        <f t="shared" si="747"/>
        <v>1.944</v>
      </c>
      <c r="AC225" s="141">
        <f t="shared" si="747"/>
        <v>-10.606999999999999</v>
      </c>
      <c r="AD225" s="141">
        <f t="shared" si="747"/>
        <v>-14.892121235716905</v>
      </c>
      <c r="AE225" s="141">
        <f t="shared" si="747"/>
        <v>-13.541953277437898</v>
      </c>
      <c r="AF225" s="141">
        <f t="shared" si="747"/>
        <v>-6.0327851195461335</v>
      </c>
      <c r="AG225" s="96"/>
      <c r="AH225" s="139">
        <v>6.7000000000000004E-2</v>
      </c>
      <c r="AI225" s="138">
        <f>0.781-AH225</f>
        <v>0.71399999999999997</v>
      </c>
      <c r="AJ225" s="138">
        <f>0.991-SUM(AH225:AI225)</f>
        <v>0.21000000000000008</v>
      </c>
      <c r="AK225" s="138">
        <f>-0.035-SUM(AH225:AJ225)</f>
        <v>-1.026</v>
      </c>
      <c r="AL225" s="139">
        <v>-1.1970000000000001</v>
      </c>
      <c r="AM225" s="139">
        <f>-1.108-AL225</f>
        <v>8.8999999999999968E-2</v>
      </c>
      <c r="AN225" s="138">
        <f>-3.29-SUM(AL225:AM225)</f>
        <v>-2.1819999999999999</v>
      </c>
      <c r="AO225" s="138">
        <f>-3.349-SUM(AL225:AN225)</f>
        <v>-5.9000000000000163E-2</v>
      </c>
      <c r="AP225" s="139">
        <v>-0.29499999999999998</v>
      </c>
      <c r="AQ225" s="139">
        <f>-0.521-AP225</f>
        <v>-0.22600000000000003</v>
      </c>
      <c r="AR225" s="138">
        <f>0.902-SUM(AP225:AQ225)</f>
        <v>1.423</v>
      </c>
      <c r="AS225" s="139">
        <f>0.086-SUM(AP225:AR225)</f>
        <v>-0.81600000000000006</v>
      </c>
      <c r="AT225" s="139">
        <v>-0.14799999999999999</v>
      </c>
      <c r="AU225" s="139">
        <f>0.045-AT225</f>
        <v>0.193</v>
      </c>
      <c r="AV225" s="139">
        <f>0.497-SUM(AT225:AU225)</f>
        <v>0.45199999999999996</v>
      </c>
      <c r="AW225" s="139">
        <f>2.435-SUM(AT225:AV225)</f>
        <v>1.9380000000000002</v>
      </c>
      <c r="AX225" s="139">
        <v>7.5999999999999998E-2</v>
      </c>
      <c r="AY225" s="139">
        <f>-0.979-AX225</f>
        <v>-1.0549999999999999</v>
      </c>
      <c r="AZ225" s="139">
        <f>-1.682-SUM(AX225:AY225)</f>
        <v>-0.70299999999999996</v>
      </c>
      <c r="BA225" s="139">
        <f>-2.724-SUM(AX225:AZ225)</f>
        <v>-1.0420000000000003</v>
      </c>
      <c r="BB225" s="139">
        <v>-1.3160000000000001</v>
      </c>
      <c r="BC225" s="139">
        <f>-2.516-BB225</f>
        <v>-1.2</v>
      </c>
      <c r="BD225" s="139">
        <f>-3.609-SUM(BB225:BC225)</f>
        <v>-1.093</v>
      </c>
      <c r="BE225" s="139">
        <f>-5.762-SUM(BB225:BD225)</f>
        <v>-2.1529999999999996</v>
      </c>
      <c r="BF225" s="139">
        <v>-1.581</v>
      </c>
      <c r="BG225" s="139">
        <f>-1.088-BF225</f>
        <v>0.49299999999999988</v>
      </c>
      <c r="BH225" s="139">
        <f>-1.062-SUM(BF225:BG225)</f>
        <v>2.6000000000000023E-2</v>
      </c>
      <c r="BI225" s="139">
        <f>0.214-SUM(BF225:BH225)</f>
        <v>1.276</v>
      </c>
      <c r="BJ225" s="139">
        <v>0.76600000000000001</v>
      </c>
      <c r="BK225" s="139">
        <f>0.751-BJ225</f>
        <v>-1.5000000000000013E-2</v>
      </c>
      <c r="BL225" s="139">
        <f>0.181-SUM(BJ225:BK225)</f>
        <v>-0.57000000000000006</v>
      </c>
      <c r="BM225" s="139">
        <f>-0.411-SUM(BJ225:BL225)</f>
        <v>-0.59199999999999986</v>
      </c>
      <c r="BN225" s="139">
        <v>9.8000000000000004E-2</v>
      </c>
      <c r="BO225" s="139">
        <f>-2.544-BN225</f>
        <v>-2.6419999999999999</v>
      </c>
      <c r="BP225" s="139">
        <f>-5.274-SUM(BN225:BO225)</f>
        <v>-2.73</v>
      </c>
      <c r="BQ225" s="139">
        <f>-0.068-SUM(BN225:BP225)</f>
        <v>5.2060000000000004</v>
      </c>
      <c r="BR225" s="139">
        <v>3.649</v>
      </c>
      <c r="BS225" s="139">
        <f>0.493-BR225</f>
        <v>-3.1560000000000001</v>
      </c>
      <c r="BT225" s="139">
        <f>0.771-SUM(BR225:BS225)</f>
        <v>0.27800000000000014</v>
      </c>
      <c r="BU225" s="139">
        <f>1.042-SUM(BR225:BT225)</f>
        <v>0.27100000000000002</v>
      </c>
      <c r="BV225" s="139">
        <v>0.497</v>
      </c>
      <c r="BW225" s="139">
        <f>0.4-BV225</f>
        <v>-9.6999999999999975E-2</v>
      </c>
      <c r="BX225" s="139">
        <f>0.984-SUM(BV225:BW225)</f>
        <v>0.58399999999999996</v>
      </c>
      <c r="BY225" s="139">
        <f>0.251-SUM(BV225:BX225)</f>
        <v>-0.73299999999999998</v>
      </c>
      <c r="BZ225" s="138">
        <v>0.46300000000000002</v>
      </c>
      <c r="CA225" s="138">
        <f>0.821-BZ225</f>
        <v>0.35799999999999993</v>
      </c>
      <c r="CB225" s="138">
        <f>1.771-SUM(BZ225:CA225)</f>
        <v>0.95</v>
      </c>
      <c r="CC225" s="138">
        <f>1.707-SUM(BZ225:CB225)</f>
        <v>-6.3999999999999835E-2</v>
      </c>
      <c r="CD225" s="138">
        <v>0.91500000000000004</v>
      </c>
      <c r="CE225" s="138">
        <f>0.067-CD225</f>
        <v>-0.84800000000000009</v>
      </c>
      <c r="CF225" s="138">
        <f>0.718-SUM(CD225:CE225)</f>
        <v>0.65100000000000002</v>
      </c>
      <c r="CG225" s="138">
        <f>-0.487-SUM(CD225:CF225)</f>
        <v>-1.2050000000000001</v>
      </c>
      <c r="CH225" s="138">
        <v>-0.34499999999999997</v>
      </c>
      <c r="CI225" s="138">
        <f>-2.684-CH225</f>
        <v>-2.3390000000000004</v>
      </c>
      <c r="CJ225" s="138">
        <f>-3.129-SUM(CH225:CI225)</f>
        <v>-0.44499999999999984</v>
      </c>
      <c r="CK225" s="138">
        <f>-4.852-SUM(CH225:CJ225)</f>
        <v>-1.7230000000000003</v>
      </c>
      <c r="CL225" s="138">
        <v>-0.25700000000000001</v>
      </c>
      <c r="CM225" s="138">
        <f>0.14-CL225</f>
        <v>0.39700000000000002</v>
      </c>
      <c r="CN225" s="138">
        <f>-2.233-SUM(CL225:CM225)</f>
        <v>-2.3730000000000002</v>
      </c>
      <c r="CO225" s="138">
        <f>-2.98-SUM(CL225:CN225)</f>
        <v>-0.74699999999999989</v>
      </c>
      <c r="CP225" s="138">
        <v>-0.10199999999999999</v>
      </c>
      <c r="CQ225" s="138">
        <f>-4.354-CP225</f>
        <v>-4.2519999999999998</v>
      </c>
      <c r="CR225" s="138">
        <f>-2.735-SUM(CP225:CQ225)</f>
        <v>1.6190000000000002</v>
      </c>
      <c r="CS225" s="138">
        <f>-3.953-SUM(CP225:CR225)</f>
        <v>-1.218</v>
      </c>
      <c r="CT225" s="138">
        <v>-8.8960000000000008</v>
      </c>
      <c r="CU225" s="138">
        <f>-8.577-CT225</f>
        <v>0.31900000000000084</v>
      </c>
      <c r="CV225" s="138">
        <f>-12.587-SUM(CT225:CU225)</f>
        <v>-4.01</v>
      </c>
      <c r="CW225" s="138">
        <f>-11.625-SUM(CT225:CV225)</f>
        <v>0.96199999999999974</v>
      </c>
      <c r="CX225" s="138">
        <v>-1.647</v>
      </c>
      <c r="CY225" s="138">
        <f>-1.181-CX225</f>
        <v>0.46599999999999997</v>
      </c>
      <c r="CZ225" s="138">
        <f>-3.961-CY225-CX225</f>
        <v>-2.7799999999999994</v>
      </c>
      <c r="DA225" s="138">
        <f>-3.858-SUM(CX225:CZ225)</f>
        <v>0.10299999999999931</v>
      </c>
      <c r="DB225" s="138">
        <v>-0.28499999999999998</v>
      </c>
      <c r="DC225" s="138">
        <f>-2.441-DB225</f>
        <v>-2.1559999999999997</v>
      </c>
      <c r="DD225" s="138">
        <f>-6.204-SUM(DB225:DC225)</f>
        <v>-3.7629999999999999</v>
      </c>
      <c r="DE225" s="138">
        <f>-11.005-SUM(DB225:DD225)</f>
        <v>-4.801000000000001</v>
      </c>
      <c r="DF225" s="138">
        <v>-4.5</v>
      </c>
      <c r="DG225" s="138">
        <f>-7.003-DF225</f>
        <v>-2.5030000000000001</v>
      </c>
      <c r="DH225" s="138">
        <f>-16.102-DG225-DF225</f>
        <v>-9.0990000000000002</v>
      </c>
      <c r="DI225" s="138">
        <f>-22.17-DH225-DG225-DF225</f>
        <v>-6.0680000000000014</v>
      </c>
      <c r="DJ225" s="138">
        <v>-1.9730000000000001</v>
      </c>
      <c r="DK225" s="138">
        <f>-6.148-DJ225</f>
        <v>-4.1749999999999998</v>
      </c>
      <c r="DL225" s="138">
        <f>-10.009-DJ225-DK225</f>
        <v>-3.8609999999999998</v>
      </c>
      <c r="DM225" s="138">
        <f>-12.289-DJ225-DK225-DL225</f>
        <v>-2.2799999999999994</v>
      </c>
      <c r="DN225" s="140">
        <v>-8.4689999999999994</v>
      </c>
      <c r="DO225" s="140">
        <f>-10.963-DN225</f>
        <v>-2.4939999999999998</v>
      </c>
      <c r="DP225" s="140">
        <f>-17.384-SUM(DN225:DO225)</f>
        <v>-6.4210000000000012</v>
      </c>
      <c r="DQ225" s="140">
        <f>-17.375-DP225-DO225-DN225</f>
        <v>9.0000000000003411E-3</v>
      </c>
      <c r="DR225" s="140">
        <f>DQ254-DR254</f>
        <v>-4.5319999999999965</v>
      </c>
      <c r="DS225" s="140">
        <f>-18.028-DR225</f>
        <v>-13.496000000000002</v>
      </c>
      <c r="DT225" s="140">
        <f>-21.976-SUM(DR225:DS225)</f>
        <v>-3.9480000000000004</v>
      </c>
      <c r="DU225" s="140">
        <f>-22.488-DT225-DS225-DR225</f>
        <v>-0.51200000000000045</v>
      </c>
      <c r="DV225" s="140">
        <v>1.2989999999999999</v>
      </c>
      <c r="DW225" s="140">
        <f>-1.108-DV225</f>
        <v>-2.407</v>
      </c>
      <c r="DX225" s="140">
        <f>-0.344-DW225-DV225</f>
        <v>0.76400000000000023</v>
      </c>
      <c r="DY225" s="140">
        <f>1.944-DX225-DW225-DV225</f>
        <v>2.2879999999999998</v>
      </c>
      <c r="DZ225" s="140">
        <f>-1.721</f>
        <v>-1.7210000000000001</v>
      </c>
      <c r="EA225" s="140">
        <f>-7.273-DZ225</f>
        <v>-5.5519999999999996</v>
      </c>
      <c r="EB225" s="140">
        <f>-11.806-EA225-DZ225</f>
        <v>-4.5329999999999995</v>
      </c>
      <c r="EC225" s="140">
        <f>-10.607-EB225-EA225-DZ225</f>
        <v>1.1989999999999998</v>
      </c>
      <c r="ED225" s="140">
        <v>-1.8620000000000001</v>
      </c>
      <c r="EE225" s="141">
        <f t="shared" ref="EE225:EP225" si="749">-(EE254-ED254)</f>
        <v>-4.1889397859378619</v>
      </c>
      <c r="EF225" s="141">
        <f t="shared" si="749"/>
        <v>-5.8443667669328647</v>
      </c>
      <c r="EG225" s="141">
        <f t="shared" si="749"/>
        <v>-2.9968146828461784</v>
      </c>
      <c r="EH225" s="141">
        <f t="shared" si="749"/>
        <v>-3.4239786417899722</v>
      </c>
      <c r="EI225" s="141">
        <f t="shared" si="749"/>
        <v>-3.3077536909480045</v>
      </c>
      <c r="EJ225" s="141">
        <f t="shared" si="749"/>
        <v>-3.4021766993920721</v>
      </c>
      <c r="EK225" s="141">
        <f t="shared" si="749"/>
        <v>-3.408044245307849</v>
      </c>
      <c r="EL225" s="141">
        <f t="shared" si="749"/>
        <v>-5.9961795357278902</v>
      </c>
      <c r="EM225" s="141">
        <f t="shared" si="749"/>
        <v>-0.28584846502286609</v>
      </c>
      <c r="EN225" s="141">
        <f t="shared" si="749"/>
        <v>-1.2335845373030452E-2</v>
      </c>
      <c r="EO225" s="141">
        <f t="shared" si="749"/>
        <v>0.26157872657765324</v>
      </c>
      <c r="EP225" s="141">
        <f t="shared" si="749"/>
        <v>-1.2324082742281917E-2</v>
      </c>
      <c r="EQ225" s="129"/>
      <c r="ER225" s="129"/>
      <c r="ES225" s="355">
        <f t="shared" si="632"/>
        <v>220</v>
      </c>
      <c r="ET225"/>
      <c r="EU225"/>
      <c r="EV225"/>
      <c r="EW225"/>
      <c r="EX225"/>
      <c r="EY225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</row>
    <row r="226" spans="1:257" s="4" customFormat="1" ht="12.75" customHeight="1" outlineLevel="1">
      <c r="A226" s="15"/>
      <c r="B226" s="147" t="s">
        <v>131</v>
      </c>
      <c r="C226" s="129"/>
      <c r="D226" s="129"/>
      <c r="E226" s="129">
        <f t="shared" si="726"/>
        <v>-0.49199999999999999</v>
      </c>
      <c r="F226" s="129">
        <f t="shared" si="727"/>
        <v>5.05</v>
      </c>
      <c r="G226" s="129">
        <f t="shared" si="728"/>
        <v>-2.7679999999999998</v>
      </c>
      <c r="H226" s="129">
        <f t="shared" si="729"/>
        <v>1.706</v>
      </c>
      <c r="I226" s="129">
        <f t="shared" si="730"/>
        <v>-5.0199999999999996</v>
      </c>
      <c r="J226" s="129">
        <f t="shared" si="731"/>
        <v>-4.6820000000000004</v>
      </c>
      <c r="K226" s="129">
        <f t="shared" si="732"/>
        <v>-5.0789999999999997</v>
      </c>
      <c r="L226" s="129">
        <f t="shared" si="733"/>
        <v>-7.7799999999999994</v>
      </c>
      <c r="M226" s="141">
        <f t="shared" si="734"/>
        <v>-11.410999999999998</v>
      </c>
      <c r="N226" s="141">
        <f t="shared" si="735"/>
        <v>24.381</v>
      </c>
      <c r="O226" s="129">
        <f t="shared" si="736"/>
        <v>-29.355</v>
      </c>
      <c r="P226" s="129">
        <f t="shared" si="737"/>
        <v>24.141999999999996</v>
      </c>
      <c r="Q226" s="129">
        <f t="shared" si="738"/>
        <v>1.4510000000000001</v>
      </c>
      <c r="R226" s="129">
        <f t="shared" si="739"/>
        <v>0.372</v>
      </c>
      <c r="S226" s="129">
        <f t="shared" si="740"/>
        <v>-18.606000000000002</v>
      </c>
      <c r="T226" s="129">
        <f t="shared" si="741"/>
        <v>-25.602</v>
      </c>
      <c r="U226" s="129">
        <f t="shared" si="742"/>
        <v>-12.241</v>
      </c>
      <c r="V226" s="129">
        <f t="shared" si="743"/>
        <v>-12.8</v>
      </c>
      <c r="W226" s="129">
        <f t="shared" si="744"/>
        <v>12.623000000000001</v>
      </c>
      <c r="X226" s="129">
        <f t="shared" si="745"/>
        <v>-27.757999999999996</v>
      </c>
      <c r="Y226" s="129">
        <f t="shared" si="746"/>
        <v>5.73</v>
      </c>
      <c r="Z226" s="129">
        <f t="shared" si="747"/>
        <v>-6.286999999999999</v>
      </c>
      <c r="AA226" s="129">
        <f t="shared" si="747"/>
        <v>-13.811999999999998</v>
      </c>
      <c r="AB226" s="141">
        <f t="shared" si="747"/>
        <v>-2.4600000000000009</v>
      </c>
      <c r="AC226" s="141">
        <f t="shared" si="747"/>
        <v>31.434000000000001</v>
      </c>
      <c r="AD226" s="141">
        <f t="shared" si="747"/>
        <v>-16.675027494922418</v>
      </c>
      <c r="AE226" s="141">
        <f t="shared" si="747"/>
        <v>-9.9606244798294625</v>
      </c>
      <c r="AF226" s="141">
        <f t="shared" si="747"/>
        <v>-2.3405178506640709</v>
      </c>
      <c r="AG226" s="96"/>
      <c r="AH226" s="139">
        <v>-2.8050000000000002</v>
      </c>
      <c r="AI226" s="138">
        <f>-6.382-AH226</f>
        <v>-3.5769999999999995</v>
      </c>
      <c r="AJ226" s="138">
        <f>-2.806-SUM(AH226:AI226)</f>
        <v>3.5759999999999996</v>
      </c>
      <c r="AK226" s="138">
        <f>-0.492-SUM(AH226:AJ226)</f>
        <v>2.3140000000000001</v>
      </c>
      <c r="AL226" s="139">
        <v>-6.8440000000000003</v>
      </c>
      <c r="AM226" s="139">
        <f>-3.056-AL226</f>
        <v>3.7880000000000003</v>
      </c>
      <c r="AN226" s="138">
        <f>-0.78-SUM(AL226:AM226)</f>
        <v>2.2759999999999998</v>
      </c>
      <c r="AO226" s="138">
        <f>5.05-SUM(AL226:AN226)</f>
        <v>5.83</v>
      </c>
      <c r="AP226" s="139">
        <v>-2.0870000000000002</v>
      </c>
      <c r="AQ226" s="139">
        <f>-0.943-AP226</f>
        <v>1.1440000000000001</v>
      </c>
      <c r="AR226" s="138">
        <f>-3.785-SUM(AP226:AQ226)</f>
        <v>-2.8420000000000001</v>
      </c>
      <c r="AS226" s="139">
        <f>-2.768-SUM(AP226:AR226)</f>
        <v>1.0170000000000003</v>
      </c>
      <c r="AT226" s="139">
        <v>-0.64100000000000001</v>
      </c>
      <c r="AU226" s="139">
        <f>-0.435-AT226</f>
        <v>0.20600000000000002</v>
      </c>
      <c r="AV226" s="139">
        <f>0.762-SUM(AT226:AU226)</f>
        <v>1.1970000000000001</v>
      </c>
      <c r="AW226" s="139">
        <f>1.706-SUM(AT226:AV226)</f>
        <v>0.94399999999999995</v>
      </c>
      <c r="AX226" s="139">
        <v>-3.3839999999999999</v>
      </c>
      <c r="AY226" s="139">
        <f>-6.272-AX226</f>
        <v>-2.8880000000000003</v>
      </c>
      <c r="AZ226" s="139">
        <f>-4.17-SUM(AX226:AY226)</f>
        <v>2.1020000000000003</v>
      </c>
      <c r="BA226" s="139">
        <f>-5.02-SUM(AX226:AZ226)</f>
        <v>-0.84999999999999964</v>
      </c>
      <c r="BB226" s="139">
        <v>-6.6390000000000002</v>
      </c>
      <c r="BC226" s="139">
        <f>-4.5-BB226</f>
        <v>2.1390000000000002</v>
      </c>
      <c r="BD226" s="139">
        <f>-5.4-SUM(BB226:BC226)</f>
        <v>-0.90000000000000036</v>
      </c>
      <c r="BE226" s="139">
        <f>-4.682-SUM(BB226:BD226)</f>
        <v>0.71799999999999997</v>
      </c>
      <c r="BF226" s="139">
        <v>-10.852</v>
      </c>
      <c r="BG226" s="139">
        <f>-6.896-BF226</f>
        <v>3.9560000000000004</v>
      </c>
      <c r="BH226" s="139">
        <f>-6.826-SUM(BF226:BG226)</f>
        <v>7.0000000000000284E-2</v>
      </c>
      <c r="BI226" s="139">
        <f>-5.079-SUM(BF226:BH226)</f>
        <v>1.7469999999999999</v>
      </c>
      <c r="BJ226" s="139">
        <v>-4.5640000000000001</v>
      </c>
      <c r="BK226" s="139">
        <f>-3.63-BJ226</f>
        <v>0.93400000000000016</v>
      </c>
      <c r="BL226" s="139">
        <f>-3.318-SUM(BJ226:BK226)</f>
        <v>0.31199999999999983</v>
      </c>
      <c r="BM226" s="139">
        <f>-7.78-SUM(BJ226:BL226)</f>
        <v>-4.4619999999999997</v>
      </c>
      <c r="BN226" s="139">
        <v>1.389</v>
      </c>
      <c r="BO226" s="139">
        <f>1.475-BN226</f>
        <v>8.6000000000000076E-2</v>
      </c>
      <c r="BP226" s="139">
        <f>11.2-SUM(BN226:BO226)</f>
        <v>9.7249999999999996</v>
      </c>
      <c r="BQ226" s="139">
        <f>-11.411-SUM(BN226:BP226)</f>
        <v>-22.610999999999997</v>
      </c>
      <c r="BR226" s="139">
        <v>3.3</v>
      </c>
      <c r="BS226" s="139">
        <f>11.422-BR226</f>
        <v>8.1219999999999999</v>
      </c>
      <c r="BT226" s="139">
        <f>17.718-SUM(BR226:BS226)</f>
        <v>6.2959999999999994</v>
      </c>
      <c r="BU226" s="139">
        <f>24.381-SUM(BR226:BT226)</f>
        <v>6.6630000000000003</v>
      </c>
      <c r="BV226" s="139">
        <v>-14.177</v>
      </c>
      <c r="BW226" s="139">
        <f>-4.058-16.127-BV226</f>
        <v>-6.0079999999999991</v>
      </c>
      <c r="BX226" s="139">
        <f>-3.27-25.978-SUM(BV226:BW226)</f>
        <v>-9.0630000000000024</v>
      </c>
      <c r="BY226" s="139">
        <f>-29.355-SUM(BV226:BX226)</f>
        <v>-0.10699999999999932</v>
      </c>
      <c r="BZ226" s="138">
        <v>-12.435</v>
      </c>
      <c r="CA226" s="138">
        <f>-1.039-11.541-BZ226</f>
        <v>-0.14499999999999957</v>
      </c>
      <c r="CB226" s="138">
        <f>(-1.213-22.772)-SUM(BZ226:CA226)</f>
        <v>-11.404999999999999</v>
      </c>
      <c r="CC226" s="138">
        <f>24.142-SUM(BZ226:CB226)</f>
        <v>48.126999999999995</v>
      </c>
      <c r="CD226" s="138">
        <v>-4.2380000000000004</v>
      </c>
      <c r="CE226" s="138">
        <f>-1.539-CD226</f>
        <v>2.6990000000000007</v>
      </c>
      <c r="CF226" s="138">
        <f>-2.429-SUM(CD226:CE226)</f>
        <v>-0.89000000000000012</v>
      </c>
      <c r="CG226" s="138">
        <f>1.451-SUM(CD226:CF226)</f>
        <v>3.88</v>
      </c>
      <c r="CH226" s="138">
        <v>-12.336</v>
      </c>
      <c r="CI226" s="138">
        <f>-8.849-CH226</f>
        <v>3.4870000000000001</v>
      </c>
      <c r="CJ226" s="138">
        <f>0.7-SUM(CH226:CI226)</f>
        <v>9.5489999999999995</v>
      </c>
      <c r="CK226" s="138">
        <f>0.372-SUM(CH226:CJ226)</f>
        <v>-0.32799999999999929</v>
      </c>
      <c r="CL226" s="138">
        <v>-14.715999999999999</v>
      </c>
      <c r="CM226" s="138">
        <f>-18.566-CL226</f>
        <v>-3.8499999999999996</v>
      </c>
      <c r="CN226" s="138">
        <f>-16.832-SUM(CL226:CM226)</f>
        <v>1.7339999999999982</v>
      </c>
      <c r="CO226" s="138">
        <f>-18.606-SUM(CL226:CN226)</f>
        <v>-1.7740000000000009</v>
      </c>
      <c r="CP226" s="138">
        <v>-7.1230000000000002</v>
      </c>
      <c r="CQ226" s="138">
        <f>-11.919-CP226</f>
        <v>-4.7960000000000003</v>
      </c>
      <c r="CR226" s="138">
        <f>-31.594-SUM(CP226:CQ226)</f>
        <v>-19.675000000000001</v>
      </c>
      <c r="CS226" s="138">
        <f>-25.602-SUM(CP226:CR226)</f>
        <v>5.9920000000000009</v>
      </c>
      <c r="CT226" s="138">
        <v>-5.6749999999999998</v>
      </c>
      <c r="CU226" s="138">
        <f>5.716-CT226</f>
        <v>11.391</v>
      </c>
      <c r="CV226" s="138">
        <f>-7.882-SUM(CT226:CU226)</f>
        <v>-13.597999999999999</v>
      </c>
      <c r="CW226" s="138">
        <f>-12.241-SUM(CT226:CV226)</f>
        <v>-4.3590000000000009</v>
      </c>
      <c r="CX226" s="138">
        <v>-12.978</v>
      </c>
      <c r="CY226" s="138">
        <f>-6.636-CX226</f>
        <v>6.3419999999999996</v>
      </c>
      <c r="CZ226" s="138">
        <f>-11.739-CY226-CX226</f>
        <v>-5.1029999999999998</v>
      </c>
      <c r="DA226" s="138">
        <f>-12.8-SUM(CX226:CZ226)</f>
        <v>-1.0609999999999999</v>
      </c>
      <c r="DB226" s="138">
        <v>4.91</v>
      </c>
      <c r="DC226" s="138">
        <f>4.037-DB226</f>
        <v>-0.87300000000000022</v>
      </c>
      <c r="DD226" s="138">
        <f>-7.04-SUM(DB226:DC226)</f>
        <v>-11.077</v>
      </c>
      <c r="DE226" s="138">
        <f>12.623-SUM(DB226:DD226)</f>
        <v>19.663</v>
      </c>
      <c r="DF226" s="138">
        <v>-24.44</v>
      </c>
      <c r="DG226" s="138">
        <f>-22.719-DF226</f>
        <v>1.7210000000000001</v>
      </c>
      <c r="DH226" s="138">
        <f>-41.287-DG226-DF226</f>
        <v>-18.567999999999994</v>
      </c>
      <c r="DI226" s="138">
        <f>-27.758-DH226-DG226-DF226</f>
        <v>13.528999999999996</v>
      </c>
      <c r="DJ226" s="138">
        <v>29.459</v>
      </c>
      <c r="DK226" s="138">
        <f>31.046-DJ226</f>
        <v>1.5869999999999997</v>
      </c>
      <c r="DL226" s="138">
        <f>15.564-DJ226-DK226</f>
        <v>-15.481999999999999</v>
      </c>
      <c r="DM226" s="138">
        <f>5.73-DJ226-DK226-DL226</f>
        <v>-9.8339999999999996</v>
      </c>
      <c r="DN226" s="140">
        <v>20.003</v>
      </c>
      <c r="DO226" s="140">
        <f>21.815-DN226</f>
        <v>1.8120000000000012</v>
      </c>
      <c r="DP226" s="140">
        <f>5.4-SUM(DN226:DO226)</f>
        <v>-16.414999999999999</v>
      </c>
      <c r="DQ226" s="140">
        <f>-6.287-DP226-DO226-DN226</f>
        <v>-11.687000000000001</v>
      </c>
      <c r="DR226" s="140">
        <v>-15.464</v>
      </c>
      <c r="DS226" s="140">
        <f>-17.726-DR226</f>
        <v>-2.2619999999999987</v>
      </c>
      <c r="DT226" s="140">
        <f>-39.445-SUM(DR226:DS226)</f>
        <v>-21.719000000000001</v>
      </c>
      <c r="DU226" s="140">
        <f>-13.812-DT226-DS226-DR226</f>
        <v>25.633000000000003</v>
      </c>
      <c r="DV226" s="140">
        <v>-3.657</v>
      </c>
      <c r="DW226" s="140">
        <f>13.753-DV226</f>
        <v>17.41</v>
      </c>
      <c r="DX226" s="140">
        <f>-6.537-DW226-DV226</f>
        <v>-20.29</v>
      </c>
      <c r="DY226" s="140">
        <f>-2.46-DX226-DW226-DV226</f>
        <v>4.0769999999999982</v>
      </c>
      <c r="DZ226" s="140">
        <f>7.288</f>
        <v>7.2880000000000003</v>
      </c>
      <c r="EA226" s="140">
        <f>17.83-DZ226</f>
        <v>10.541999999999998</v>
      </c>
      <c r="EB226" s="140">
        <f>26.82-EA226-DZ226</f>
        <v>8.990000000000002</v>
      </c>
      <c r="EC226" s="140">
        <f>31.434-EB226-EA226-DZ226</f>
        <v>4.6140000000000008</v>
      </c>
      <c r="ED226" s="140">
        <v>-8.5619999999999994</v>
      </c>
      <c r="EE226" s="141">
        <f t="shared" ref="EE226:EP226" si="750">-(EE256-ED256)-(EE257-ED257)</f>
        <v>0.49798126322104963</v>
      </c>
      <c r="EF226" s="141">
        <f t="shared" si="750"/>
        <v>-4.1734024211883565</v>
      </c>
      <c r="EG226" s="141">
        <f t="shared" si="750"/>
        <v>-4.4376063369551133</v>
      </c>
      <c r="EH226" s="141">
        <f t="shared" si="750"/>
        <v>-3.0779917682695697</v>
      </c>
      <c r="EI226" s="141">
        <f t="shared" si="750"/>
        <v>-1.7095812868247577</v>
      </c>
      <c r="EJ226" s="141">
        <f t="shared" si="750"/>
        <v>-2.6597157810775087</v>
      </c>
      <c r="EK226" s="141">
        <f t="shared" si="750"/>
        <v>-2.5133356436576264</v>
      </c>
      <c r="EL226" s="141">
        <f t="shared" si="750"/>
        <v>-3.1975596290930923</v>
      </c>
      <c r="EM226" s="141">
        <f t="shared" si="750"/>
        <v>1.1345211301010636</v>
      </c>
      <c r="EN226" s="141">
        <f t="shared" si="750"/>
        <v>0.28250686780255307</v>
      </c>
      <c r="EO226" s="141">
        <f t="shared" si="750"/>
        <v>-0.55998621947459526</v>
      </c>
      <c r="EP226" s="141">
        <f t="shared" si="750"/>
        <v>0.28561741876619351</v>
      </c>
      <c r="EQ226" s="129"/>
      <c r="ER226" s="129"/>
      <c r="ES226" s="355">
        <f t="shared" si="632"/>
        <v>221</v>
      </c>
      <c r="ET226"/>
      <c r="EU226"/>
      <c r="EV226"/>
      <c r="EW226"/>
      <c r="EX226"/>
      <c r="EY226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</row>
    <row r="227" spans="1:257" s="4" customFormat="1" ht="12.75" customHeight="1" outlineLevel="1">
      <c r="A227" s="15"/>
      <c r="B227" s="147" t="s">
        <v>130</v>
      </c>
      <c r="C227" s="129"/>
      <c r="D227" s="129"/>
      <c r="E227" s="129">
        <f t="shared" si="726"/>
        <v>7.5229999999999997</v>
      </c>
      <c r="F227" s="129">
        <f t="shared" si="727"/>
        <v>-1.1909999999999998</v>
      </c>
      <c r="G227" s="129">
        <f t="shared" si="728"/>
        <v>3.03</v>
      </c>
      <c r="H227" s="129">
        <f t="shared" si="729"/>
        <v>-1.1150000000000002</v>
      </c>
      <c r="I227" s="129">
        <f t="shared" si="730"/>
        <v>18.619</v>
      </c>
      <c r="J227" s="129">
        <f t="shared" si="731"/>
        <v>-0.19399999999999995</v>
      </c>
      <c r="K227" s="129">
        <f t="shared" si="732"/>
        <v>-16.146999999999998</v>
      </c>
      <c r="L227" s="129">
        <f t="shared" si="733"/>
        <v>6.5750000000000002</v>
      </c>
      <c r="M227" s="141">
        <f t="shared" si="734"/>
        <v>29.29</v>
      </c>
      <c r="N227" s="141">
        <f t="shared" si="735"/>
        <v>-3.7689999999999984</v>
      </c>
      <c r="O227" s="129">
        <f t="shared" si="736"/>
        <v>-11.414999999999999</v>
      </c>
      <c r="P227" s="129">
        <f t="shared" si="737"/>
        <v>-0.37800000000000011</v>
      </c>
      <c r="Q227" s="129">
        <f t="shared" si="738"/>
        <v>8.5169999999999995</v>
      </c>
      <c r="R227" s="129">
        <f t="shared" si="739"/>
        <v>-11.064</v>
      </c>
      <c r="S227" s="129">
        <f t="shared" si="740"/>
        <v>73.78</v>
      </c>
      <c r="T227" s="129">
        <f t="shared" si="741"/>
        <v>-15.651999999999999</v>
      </c>
      <c r="U227" s="129">
        <f t="shared" si="742"/>
        <v>-28.64</v>
      </c>
      <c r="V227" s="129">
        <f t="shared" si="743"/>
        <v>16.760000000000002</v>
      </c>
      <c r="W227" s="129">
        <f t="shared" si="744"/>
        <v>17.362000000000002</v>
      </c>
      <c r="X227" s="129">
        <f t="shared" si="745"/>
        <v>54.905999999999992</v>
      </c>
      <c r="Y227" s="129">
        <f t="shared" si="746"/>
        <v>-52.076000000000001</v>
      </c>
      <c r="Z227" s="129">
        <f t="shared" si="747"/>
        <v>-21.082000000000001</v>
      </c>
      <c r="AA227" s="129">
        <f t="shared" si="747"/>
        <v>-34.15</v>
      </c>
      <c r="AB227" s="141">
        <f t="shared" si="747"/>
        <v>-10.907</v>
      </c>
      <c r="AC227" s="141">
        <f t="shared" si="747"/>
        <v>39.411999999999999</v>
      </c>
      <c r="AD227" s="141">
        <f t="shared" si="747"/>
        <v>2.896571895193361</v>
      </c>
      <c r="AE227" s="141">
        <f t="shared" si="747"/>
        <v>12.360759504299097</v>
      </c>
      <c r="AF227" s="141">
        <f t="shared" si="747"/>
        <v>5.5065768191700784</v>
      </c>
      <c r="AG227" s="96"/>
      <c r="AH227" s="148">
        <v>6.7359999999999998</v>
      </c>
      <c r="AI227" s="138">
        <f>4.059-AH227</f>
        <v>-2.6769999999999996</v>
      </c>
      <c r="AJ227" s="138">
        <f>2.255-SUM(AH227:AI227)</f>
        <v>-1.8040000000000003</v>
      </c>
      <c r="AK227" s="138">
        <f>7.523-SUM(AH227:AJ227)</f>
        <v>5.2679999999999998</v>
      </c>
      <c r="AL227" s="148">
        <v>-1.6519999999999999</v>
      </c>
      <c r="AM227" s="139">
        <f>1.442-AL227</f>
        <v>3.0939999999999999</v>
      </c>
      <c r="AN227" s="138">
        <f>-4.652-SUM(AL227:AM227)</f>
        <v>-6.0940000000000003</v>
      </c>
      <c r="AO227" s="138">
        <f>-1.191-SUM(AL227:AN227)</f>
        <v>3.4610000000000003</v>
      </c>
      <c r="AP227" s="148">
        <v>3.601</v>
      </c>
      <c r="AQ227" s="139">
        <f>5.154-AP227</f>
        <v>1.5529999999999999</v>
      </c>
      <c r="AR227" s="138">
        <f>4.477-SUM(AP227:AQ227)</f>
        <v>-0.6769999999999996</v>
      </c>
      <c r="AS227" s="148">
        <f>3.03-SUM(AP227:AR227)</f>
        <v>-1.4470000000000005</v>
      </c>
      <c r="AT227" s="148">
        <v>-0.66800000000000004</v>
      </c>
      <c r="AU227" s="139">
        <f>-0.128-AT227</f>
        <v>0.54</v>
      </c>
      <c r="AV227" s="148">
        <f>0.961-SUM(AT227:AU227)</f>
        <v>1.089</v>
      </c>
      <c r="AW227" s="148">
        <f>-1.115-SUM(AT227:AV227)</f>
        <v>-2.0760000000000001</v>
      </c>
      <c r="AX227" s="148">
        <v>6.1189999999999998</v>
      </c>
      <c r="AY227" s="148">
        <f>3.292-AX227</f>
        <v>-2.827</v>
      </c>
      <c r="AZ227" s="148">
        <f>4.968-SUM(AX227:AY227)</f>
        <v>1.6760000000000002</v>
      </c>
      <c r="BA227" s="148">
        <f>18.619-SUM(AX227:AZ227)</f>
        <v>13.651</v>
      </c>
      <c r="BB227" s="148">
        <v>-3.2000000000000001E-2</v>
      </c>
      <c r="BC227" s="148">
        <f>-1.515-BB227</f>
        <v>-1.4829999999999999</v>
      </c>
      <c r="BD227" s="148">
        <f>-1.028-SUM(BB227:BC227)</f>
        <v>0.48699999999999988</v>
      </c>
      <c r="BE227" s="148">
        <f>-0.194-SUM(BB227:BD227)</f>
        <v>0.83400000000000007</v>
      </c>
      <c r="BF227" s="148">
        <v>-8.7490000000000006</v>
      </c>
      <c r="BG227" s="148">
        <f>-15.216-BF227</f>
        <v>-6.4669999999999987</v>
      </c>
      <c r="BH227" s="148">
        <f>-17.346-SUM(BF227:BG227)</f>
        <v>-2.1300000000000008</v>
      </c>
      <c r="BI227" s="148">
        <f>-16.147-SUM(BF227:BH227)</f>
        <v>1.1990000000000016</v>
      </c>
      <c r="BJ227" s="148">
        <v>7.3999999999999996E-2</v>
      </c>
      <c r="BK227" s="148">
        <f>0.469-BJ227</f>
        <v>0.39499999999999996</v>
      </c>
      <c r="BL227" s="148">
        <f>1.461-SUM(BJ227:BK227)</f>
        <v>0.9920000000000001</v>
      </c>
      <c r="BM227" s="148">
        <f>6.575-SUM(BJ227:BL227)</f>
        <v>5.1139999999999999</v>
      </c>
      <c r="BN227" s="148">
        <v>5.8719999999999999</v>
      </c>
      <c r="BO227" s="148">
        <f>-0.213-BN227</f>
        <v>-6.085</v>
      </c>
      <c r="BP227" s="148">
        <f>15.432-SUM(BN227:BO227)</f>
        <v>15.645</v>
      </c>
      <c r="BQ227" s="148">
        <f>29.29-SUM(BN227:BP227)</f>
        <v>13.858000000000001</v>
      </c>
      <c r="BR227" s="148">
        <v>-21.946999999999999</v>
      </c>
      <c r="BS227" s="148">
        <f>-22.505-BR227</f>
        <v>-0.55799999999999983</v>
      </c>
      <c r="BT227" s="148">
        <f>-23.333-SUM(BR227:BS227)</f>
        <v>-0.8279999999999994</v>
      </c>
      <c r="BU227" s="148">
        <f>-3.769-SUM(BR227:BT227)</f>
        <v>19.564</v>
      </c>
      <c r="BV227" s="148">
        <v>3.0489999999999999</v>
      </c>
      <c r="BW227" s="148">
        <f>-1.019-BV227</f>
        <v>-4.0679999999999996</v>
      </c>
      <c r="BX227" s="148">
        <f>-0.985-SUM(BV227:BW227)</f>
        <v>3.3999999999999697E-2</v>
      </c>
      <c r="BY227" s="148">
        <f>-11.415-SUM(BV227:BX227)</f>
        <v>-10.43</v>
      </c>
      <c r="BZ227" s="138">
        <v>0.73099999999999998</v>
      </c>
      <c r="CA227" s="138">
        <f>-6.8-BZ227</f>
        <v>-7.5309999999999997</v>
      </c>
      <c r="CB227" s="138">
        <f>-4.689-SUM(BZ227:CA227)</f>
        <v>2.1109999999999998</v>
      </c>
      <c r="CC227" s="138">
        <f>-0.378-SUM(BZ227:CB227)</f>
        <v>4.3109999999999999</v>
      </c>
      <c r="CD227" s="138">
        <v>-5.2060000000000004</v>
      </c>
      <c r="CE227" s="138">
        <f>-3.745-CD227</f>
        <v>1.4610000000000003</v>
      </c>
      <c r="CF227" s="138">
        <f>-2.514-SUM(CD227:CE227)</f>
        <v>1.2310000000000003</v>
      </c>
      <c r="CG227" s="138">
        <f>8.517-SUM(CD227:CF227)</f>
        <v>11.030999999999999</v>
      </c>
      <c r="CH227" s="138">
        <v>-6.3330000000000002</v>
      </c>
      <c r="CI227" s="138">
        <f>4.749-CH227</f>
        <v>11.082000000000001</v>
      </c>
      <c r="CJ227" s="138">
        <f>4.162-SUM(CH227:CI227)</f>
        <v>-0.58700000000000063</v>
      </c>
      <c r="CK227" s="138">
        <f>-11.064-SUM(CH227:CJ227)</f>
        <v>-15.225999999999999</v>
      </c>
      <c r="CL227" s="138">
        <v>30.773</v>
      </c>
      <c r="CM227" s="138">
        <f>34.92-CL227</f>
        <v>4.147000000000002</v>
      </c>
      <c r="CN227" s="138">
        <f>51.707-SUM(CL227:CM227)</f>
        <v>16.786999999999999</v>
      </c>
      <c r="CO227" s="138">
        <f>73.78-SUM(CL227:CN227)</f>
        <v>22.073</v>
      </c>
      <c r="CP227" s="138">
        <v>-42.533000000000001</v>
      </c>
      <c r="CQ227" s="138">
        <f>-31.994-CP227</f>
        <v>10.539000000000001</v>
      </c>
      <c r="CR227" s="138">
        <f>-0.974-SUM(CP227:CQ227)</f>
        <v>31.02</v>
      </c>
      <c r="CS227" s="138">
        <f>-15.652-SUM(CP227:CR227)</f>
        <v>-14.677999999999999</v>
      </c>
      <c r="CT227" s="138">
        <v>20.611000000000001</v>
      </c>
      <c r="CU227" s="138">
        <f>15.008-CT227</f>
        <v>-5.6030000000000015</v>
      </c>
      <c r="CV227" s="138">
        <f>-15.72-SUM(CT227:CU227)</f>
        <v>-30.728000000000002</v>
      </c>
      <c r="CW227" s="138">
        <f>-28.64-SUM(CT227:CV227)</f>
        <v>-12.919999999999998</v>
      </c>
      <c r="CX227" s="138">
        <v>-15.747</v>
      </c>
      <c r="CY227" s="138">
        <f>-5.982-CX227</f>
        <v>9.7650000000000006</v>
      </c>
      <c r="CZ227" s="138">
        <f>6.785-CY227-CX227</f>
        <v>12.766999999999999</v>
      </c>
      <c r="DA227" s="138">
        <f>16.76-SUM(CX227:CZ227)</f>
        <v>9.9750000000000014</v>
      </c>
      <c r="DB227" s="138">
        <v>-24.582999999999998</v>
      </c>
      <c r="DC227" s="138">
        <f>-17.287-DB227</f>
        <v>7.2959999999999994</v>
      </c>
      <c r="DD227" s="138">
        <f>-14.379-SUM(DB227:DC227)</f>
        <v>2.9079999999999995</v>
      </c>
      <c r="DE227" s="138">
        <f>17.362-SUM(DB227:DD227)</f>
        <v>31.741</v>
      </c>
      <c r="DF227" s="138">
        <v>18.382999999999999</v>
      </c>
      <c r="DG227" s="138">
        <f>12.253-DF227</f>
        <v>-6.129999999999999</v>
      </c>
      <c r="DH227" s="138">
        <f>-13.899-DG227-DF227</f>
        <v>-26.152000000000001</v>
      </c>
      <c r="DI227" s="138">
        <f>54.906-DH227-DG227-DF227</f>
        <v>68.804999999999993</v>
      </c>
      <c r="DJ227" s="138">
        <v>-54.316000000000003</v>
      </c>
      <c r="DK227" s="138">
        <f>-70-DJ227</f>
        <v>-15.683999999999997</v>
      </c>
      <c r="DL227" s="138">
        <f>-62.83-DJ227-DK227</f>
        <v>7.1700000000000017</v>
      </c>
      <c r="DM227" s="138">
        <f>-52.076-DJ227-DK227-DL227</f>
        <v>10.753999999999998</v>
      </c>
      <c r="DN227" s="140">
        <v>-25.701000000000001</v>
      </c>
      <c r="DO227" s="140">
        <f>-25.337-DN227</f>
        <v>0.36400000000000077</v>
      </c>
      <c r="DP227" s="140">
        <f>-31.24-SUM(DN227:DO227)</f>
        <v>-5.9029999999999987</v>
      </c>
      <c r="DQ227" s="140">
        <f>-21.082-DP227-DO227-DN227</f>
        <v>10.157999999999998</v>
      </c>
      <c r="DR227" s="140">
        <v>-4.3730000000000002</v>
      </c>
      <c r="DS227" s="140">
        <f>1.12-DR227</f>
        <v>5.4930000000000003</v>
      </c>
      <c r="DT227" s="140">
        <f>-31.465-SUM(DR227:DS227)</f>
        <v>-32.585000000000001</v>
      </c>
      <c r="DU227" s="140">
        <f>-34.15-DT227-DS227-DR227</f>
        <v>-2.6849999999999978</v>
      </c>
      <c r="DV227" s="140">
        <v>-10.554</v>
      </c>
      <c r="DW227" s="140">
        <f>-13.574-DV227</f>
        <v>-3.0199999999999996</v>
      </c>
      <c r="DX227" s="140">
        <f>-13.643-DW227-DV227</f>
        <v>-6.9000000000000838E-2</v>
      </c>
      <c r="DY227" s="140">
        <f>-10.907-DX227-DW227-DV227</f>
        <v>2.7360000000000007</v>
      </c>
      <c r="DZ227" s="140">
        <f>15.883</f>
        <v>15.882999999999999</v>
      </c>
      <c r="EA227" s="140">
        <f>31.359-DZ227</f>
        <v>15.476000000000003</v>
      </c>
      <c r="EB227" s="140">
        <f>41.398-EA227-DZ227</f>
        <v>10.039000000000001</v>
      </c>
      <c r="EC227" s="140">
        <f>39.412-EB227-EA227-DZ227</f>
        <v>-1.9860000000000042</v>
      </c>
      <c r="ED227" s="140">
        <v>-8.9969999999999999</v>
      </c>
      <c r="EE227" s="141">
        <f t="shared" ref="EE227:EP227" si="751">EE265-ED265</f>
        <v>3.823560472493682</v>
      </c>
      <c r="EF227" s="141">
        <f t="shared" si="751"/>
        <v>5.3345932142104573</v>
      </c>
      <c r="EG227" s="141">
        <f t="shared" si="751"/>
        <v>2.7354182084892216</v>
      </c>
      <c r="EH227" s="141">
        <f t="shared" si="751"/>
        <v>3.1253228889466413</v>
      </c>
      <c r="EI227" s="141">
        <f t="shared" si="751"/>
        <v>3.0192356328230687</v>
      </c>
      <c r="EJ227" s="141">
        <f t="shared" si="751"/>
        <v>3.1054226159811549</v>
      </c>
      <c r="EK227" s="141">
        <f t="shared" si="751"/>
        <v>3.1107783665482316</v>
      </c>
      <c r="EL227" s="141">
        <f t="shared" si="751"/>
        <v>5.4731641490166965</v>
      </c>
      <c r="EM227" s="141">
        <f t="shared" si="751"/>
        <v>0.26091539812850328</v>
      </c>
      <c r="EN227" s="141">
        <f t="shared" si="751"/>
        <v>1.1259854085636789E-2</v>
      </c>
      <c r="EO227" s="141">
        <f t="shared" si="751"/>
        <v>-0.23876258206075818</v>
      </c>
      <c r="EP227" s="141">
        <f t="shared" si="751"/>
        <v>1.124911744764745E-2</v>
      </c>
      <c r="EQ227" s="129"/>
      <c r="ER227" s="129"/>
      <c r="ES227" s="355">
        <f t="shared" si="632"/>
        <v>222</v>
      </c>
      <c r="ET227"/>
      <c r="EU227"/>
      <c r="EV227"/>
      <c r="EW227"/>
      <c r="EX227"/>
      <c r="EY227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</row>
    <row r="228" spans="1:257" s="4" customFormat="1" ht="12.75" customHeight="1" outlineLevel="1">
      <c r="A228" s="15"/>
      <c r="B228" s="147" t="s">
        <v>129</v>
      </c>
      <c r="C228" s="129"/>
      <c r="D228" s="129"/>
      <c r="E228" s="129">
        <f t="shared" si="726"/>
        <v>-1.6190000000000007</v>
      </c>
      <c r="F228" s="129">
        <f t="shared" si="727"/>
        <v>1.617</v>
      </c>
      <c r="G228" s="129">
        <f t="shared" si="728"/>
        <v>-2.7010000000000001</v>
      </c>
      <c r="H228" s="129">
        <f t="shared" si="729"/>
        <v>14.237</v>
      </c>
      <c r="I228" s="129">
        <f t="shared" si="730"/>
        <v>15.582000000000001</v>
      </c>
      <c r="J228" s="129">
        <f t="shared" si="731"/>
        <v>-8.6920000000000002</v>
      </c>
      <c r="K228" s="129">
        <f t="shared" si="732"/>
        <v>2.367</v>
      </c>
      <c r="L228" s="129">
        <f t="shared" si="733"/>
        <v>7.5570000000000004</v>
      </c>
      <c r="M228" s="141">
        <f t="shared" si="734"/>
        <v>18.434999999999999</v>
      </c>
      <c r="N228" s="141">
        <f t="shared" si="735"/>
        <v>0.95500000000000007</v>
      </c>
      <c r="O228" s="129">
        <f t="shared" si="736"/>
        <v>-1.2809999999999997</v>
      </c>
      <c r="P228" s="129">
        <f t="shared" si="737"/>
        <v>2.8699999999999997</v>
      </c>
      <c r="Q228" s="129">
        <f t="shared" si="738"/>
        <v>12.736000000000001</v>
      </c>
      <c r="R228" s="129">
        <f t="shared" si="739"/>
        <v>55.112000000000002</v>
      </c>
      <c r="S228" s="129">
        <f t="shared" si="740"/>
        <v>5.2990000000000004</v>
      </c>
      <c r="T228" s="129">
        <f t="shared" si="741"/>
        <v>28.213999999999999</v>
      </c>
      <c r="U228" s="129">
        <f t="shared" si="742"/>
        <v>-1.2609999999999992</v>
      </c>
      <c r="V228" s="129">
        <f t="shared" si="743"/>
        <v>14.031000000000001</v>
      </c>
      <c r="W228" s="129">
        <f t="shared" si="744"/>
        <v>20.483000000000001</v>
      </c>
      <c r="X228" s="129">
        <f t="shared" si="745"/>
        <v>0.19500000000000117</v>
      </c>
      <c r="Y228" s="129">
        <f t="shared" si="746"/>
        <v>24.259</v>
      </c>
      <c r="Z228" s="129">
        <f t="shared" si="747"/>
        <v>35.844999999999999</v>
      </c>
      <c r="AA228" s="129">
        <f t="shared" si="747"/>
        <v>-22.901</v>
      </c>
      <c r="AB228" s="141">
        <f t="shared" si="747"/>
        <v>49.562000000000005</v>
      </c>
      <c r="AC228" s="141">
        <f t="shared" si="747"/>
        <v>-36.119999999999997</v>
      </c>
      <c r="AD228" s="141">
        <f t="shared" si="747"/>
        <v>43.524550194039833</v>
      </c>
      <c r="AE228" s="141">
        <f t="shared" si="747"/>
        <v>34.622721392625806</v>
      </c>
      <c r="AF228" s="141">
        <f t="shared" si="747"/>
        <v>8.1355438729879097</v>
      </c>
      <c r="AG228" s="96"/>
      <c r="AH228" s="138">
        <v>4.6760000000000002</v>
      </c>
      <c r="AI228" s="138">
        <f>7.365-AH228</f>
        <v>2.6890000000000001</v>
      </c>
      <c r="AJ228" s="138">
        <f>6.78-SUM(AH228:AI228)</f>
        <v>-0.58499999999999996</v>
      </c>
      <c r="AK228" s="138">
        <f>-1.619-SUM(AH228:AJ228)</f>
        <v>-8.3990000000000009</v>
      </c>
      <c r="AL228" s="138">
        <v>4.3049999999999997</v>
      </c>
      <c r="AM228" s="139">
        <f>5.641-AL228</f>
        <v>1.3360000000000003</v>
      </c>
      <c r="AN228" s="138">
        <f>5.515-SUM(AL228:AM228)</f>
        <v>-0.12600000000000033</v>
      </c>
      <c r="AO228" s="138">
        <f>1.617-SUM(AL228:AN228)</f>
        <v>-3.8979999999999997</v>
      </c>
      <c r="AP228" s="138">
        <v>-2.1269999999999998</v>
      </c>
      <c r="AQ228" s="139">
        <f>-3.517-AP228</f>
        <v>-1.3900000000000001</v>
      </c>
      <c r="AR228" s="138">
        <f>1.5-SUM(AP228:AQ228)</f>
        <v>5.0169999999999995</v>
      </c>
      <c r="AS228" s="138">
        <f>-2.701-SUM(AP228:AR228)</f>
        <v>-4.2009999999999996</v>
      </c>
      <c r="AT228" s="138">
        <v>5.67</v>
      </c>
      <c r="AU228" s="139">
        <f>14.583-AT228</f>
        <v>8.9130000000000003</v>
      </c>
      <c r="AV228" s="138">
        <f>15.918-SUM(AT228:AU228)</f>
        <v>1.3349999999999991</v>
      </c>
      <c r="AW228" s="138">
        <f>14.237-SUM(AT228:AV228)</f>
        <v>-1.6809999999999992</v>
      </c>
      <c r="AX228" s="138">
        <v>7.3529999999999998</v>
      </c>
      <c r="AY228" s="138">
        <f>4.917-AX228</f>
        <v>-2.4359999999999999</v>
      </c>
      <c r="AZ228" s="138">
        <f>1.203-SUM(AX228:AY228)</f>
        <v>-3.7139999999999995</v>
      </c>
      <c r="BA228" s="138">
        <f>15.582-SUM(AX228:AZ228)</f>
        <v>14.379000000000001</v>
      </c>
      <c r="BB228" s="138">
        <v>1.0229999999999999</v>
      </c>
      <c r="BC228" s="138">
        <f>-8.067-BB228</f>
        <v>-9.09</v>
      </c>
      <c r="BD228" s="138">
        <f>-0.572-SUM(BB228:BC228)</f>
        <v>7.4950000000000001</v>
      </c>
      <c r="BE228" s="138">
        <f>-8.692-SUM(BB228:BD228)</f>
        <v>-8.120000000000001</v>
      </c>
      <c r="BF228" s="138">
        <v>1.77</v>
      </c>
      <c r="BG228" s="138">
        <f>-0.601-BF228</f>
        <v>-2.371</v>
      </c>
      <c r="BH228" s="138">
        <f>-3.776-SUM(BF228:BG228)</f>
        <v>-3.1749999999999998</v>
      </c>
      <c r="BI228" s="138">
        <f>2.367-SUM(BF228:BH228)</f>
        <v>6.1429999999999998</v>
      </c>
      <c r="BJ228" s="138">
        <v>2.786</v>
      </c>
      <c r="BK228" s="138">
        <f>-1.142-BJ228</f>
        <v>-3.9279999999999999</v>
      </c>
      <c r="BL228" s="138">
        <f>-2.645-SUM(BJ228:BK228)</f>
        <v>-1.5030000000000001</v>
      </c>
      <c r="BM228" s="138">
        <f>7.557-SUM(BJ228:BL228)</f>
        <v>10.202</v>
      </c>
      <c r="BN228" s="138">
        <v>9.0990000000000002</v>
      </c>
      <c r="BO228" s="138">
        <f>8.625-BN228</f>
        <v>-0.4740000000000002</v>
      </c>
      <c r="BP228" s="138">
        <f>22.451-SUM(BN228:BO228)</f>
        <v>13.826000000000001</v>
      </c>
      <c r="BQ228" s="138">
        <f>18.435-SUM(BN228:BP228)</f>
        <v>-4.0160000000000018</v>
      </c>
      <c r="BR228" s="138">
        <v>0.95299999999999996</v>
      </c>
      <c r="BS228" s="138">
        <f>0.087-BR228</f>
        <v>-0.86599999999999999</v>
      </c>
      <c r="BT228" s="138">
        <f>4.01-SUM(BR228:BS228)</f>
        <v>3.923</v>
      </c>
      <c r="BU228" s="138">
        <f>0.955-SUM(BR228:BT228)</f>
        <v>-3.0549999999999997</v>
      </c>
      <c r="BV228" s="138">
        <v>0.877</v>
      </c>
      <c r="BW228" s="138">
        <f>-0.356-BV228</f>
        <v>-1.2330000000000001</v>
      </c>
      <c r="BX228" s="138">
        <f>2.332-SUM(BV228:BW228)</f>
        <v>2.6879999999999997</v>
      </c>
      <c r="BY228" s="138">
        <f>-1.281-SUM(BV228:BX228)</f>
        <v>-3.6129999999999995</v>
      </c>
      <c r="BZ228" s="138">
        <v>-0.76100000000000001</v>
      </c>
      <c r="CA228" s="138">
        <f>-0.668-BZ228</f>
        <v>9.2999999999999972E-2</v>
      </c>
      <c r="CB228" s="138">
        <f>-2.028-SUM(BZ228:CA228)</f>
        <v>-1.3599999999999999</v>
      </c>
      <c r="CC228" s="138">
        <f>2.87-SUM(BZ228:CB228)</f>
        <v>4.8979999999999997</v>
      </c>
      <c r="CD228" s="138">
        <v>4.7619999999999996</v>
      </c>
      <c r="CE228" s="138">
        <f>-0.67-CD228</f>
        <v>-5.4319999999999995</v>
      </c>
      <c r="CF228" s="138">
        <f>4.065-SUM(CD228:CE228)</f>
        <v>4.7350000000000003</v>
      </c>
      <c r="CG228" s="138">
        <f>12.736-SUM(CD228:CF228)</f>
        <v>8.6709999999999994</v>
      </c>
      <c r="CH228" s="138">
        <v>26.29</v>
      </c>
      <c r="CI228" s="138">
        <f>5.984-CH228</f>
        <v>-20.305999999999997</v>
      </c>
      <c r="CJ228" s="138">
        <f>26.938-SUM(CH228:CI228)</f>
        <v>20.953999999999997</v>
      </c>
      <c r="CK228" s="138">
        <f>55.112-SUM(CH228:CJ228)</f>
        <v>28.174000000000003</v>
      </c>
      <c r="CL228" s="138">
        <v>43.682000000000002</v>
      </c>
      <c r="CM228" s="138">
        <f>8.792-CL228</f>
        <v>-34.89</v>
      </c>
      <c r="CN228" s="138">
        <f>5.794-SUM(CL228:CM228)</f>
        <v>-2.998000000000002</v>
      </c>
      <c r="CO228" s="138">
        <f>5.299-SUM(CL228:CN228)</f>
        <v>-0.49499999999999922</v>
      </c>
      <c r="CP228" s="138">
        <v>21.193000000000001</v>
      </c>
      <c r="CQ228" s="138">
        <f>-1.195-CP228</f>
        <v>-22.388000000000002</v>
      </c>
      <c r="CR228" s="138">
        <f>13.12-SUM(CP228:CQ228)</f>
        <v>14.315</v>
      </c>
      <c r="CS228" s="138">
        <f>28.214-SUM(CP228:CR228)</f>
        <v>15.093999999999999</v>
      </c>
      <c r="CT228" s="138">
        <v>21.834</v>
      </c>
      <c r="CU228" s="138">
        <f>9.552-CT228</f>
        <v>-12.282</v>
      </c>
      <c r="CV228" s="138">
        <f>-9.834-SUM(CT228:CU228)</f>
        <v>-19.385999999999999</v>
      </c>
      <c r="CW228" s="138">
        <f>-1.261-SUM(CT228:CV228)</f>
        <v>8.5730000000000004</v>
      </c>
      <c r="CX228" s="138">
        <v>29.998999999999999</v>
      </c>
      <c r="CY228" s="138">
        <f>-11.587-CX228</f>
        <v>-41.585999999999999</v>
      </c>
      <c r="CZ228" s="138">
        <f>20.025-CY228-CX228</f>
        <v>31.611999999999998</v>
      </c>
      <c r="DA228" s="138">
        <f>14.031-SUM(CX228:CZ228)</f>
        <v>-5.993999999999998</v>
      </c>
      <c r="DB228" s="138">
        <v>-15.071999999999999</v>
      </c>
      <c r="DC228" s="138">
        <f>-14.952-DB228</f>
        <v>0.11999999999999922</v>
      </c>
      <c r="DD228" s="138">
        <f>15.247-SUM(DB228:DC228)</f>
        <v>30.198999999999998</v>
      </c>
      <c r="DE228" s="138">
        <f>20.483-SUM(DB228:DD228)</f>
        <v>5.2360000000000024</v>
      </c>
      <c r="DF228" s="138">
        <v>0.79100000000000004</v>
      </c>
      <c r="DG228" s="138">
        <f>-14.083-DF228</f>
        <v>-14.874000000000001</v>
      </c>
      <c r="DH228" s="138">
        <f>-7.768-DG228-DF228</f>
        <v>6.3150000000000004</v>
      </c>
      <c r="DI228" s="138">
        <f>0.195-DH228-DG228-DF228</f>
        <v>7.963000000000001</v>
      </c>
      <c r="DJ228" s="138">
        <v>64.251000000000005</v>
      </c>
      <c r="DK228" s="138">
        <f>-7.826-DJ228</f>
        <v>-72.076999999999998</v>
      </c>
      <c r="DL228" s="138">
        <f>83.29-DJ228-DK228</f>
        <v>91.116</v>
      </c>
      <c r="DM228" s="138">
        <f>24.259-DJ228-DK228-DL228</f>
        <v>-59.031000000000006</v>
      </c>
      <c r="DN228" s="140">
        <v>38.704999999999998</v>
      </c>
      <c r="DO228" s="140">
        <f>-19.017-DN228</f>
        <v>-57.721999999999994</v>
      </c>
      <c r="DP228" s="140">
        <f>31.633-SUM(DN228:DO228)</f>
        <v>50.649999999999991</v>
      </c>
      <c r="DQ228" s="140">
        <f>35.845-DP228-DO228-DN228</f>
        <v>4.2120000000000033</v>
      </c>
      <c r="DR228" s="140">
        <v>-39.351999999999997</v>
      </c>
      <c r="DS228" s="140">
        <f>-45.405-DR228</f>
        <v>-6.0530000000000044</v>
      </c>
      <c r="DT228" s="140">
        <f>-49.831-SUM(DR228:DS228)</f>
        <v>-4.4260000000000019</v>
      </c>
      <c r="DU228" s="140">
        <f>-22.901-DT228-DS228-DR228</f>
        <v>26.930000000000003</v>
      </c>
      <c r="DV228" s="140">
        <v>74.17</v>
      </c>
      <c r="DW228" s="140">
        <f>51.059-DV228</f>
        <v>-23.111000000000004</v>
      </c>
      <c r="DX228" s="140">
        <f>14.632-DW228-DV228</f>
        <v>-36.427</v>
      </c>
      <c r="DY228" s="140">
        <f>49.562-DX228-DW228-DV228</f>
        <v>34.930000000000007</v>
      </c>
      <c r="DZ228" s="140">
        <f>-69.733</f>
        <v>-69.733000000000004</v>
      </c>
      <c r="EA228" s="140">
        <f>-76.879-DZ228</f>
        <v>-7.1460000000000008</v>
      </c>
      <c r="EB228" s="140">
        <f>-53.456-EA228-DZ228</f>
        <v>23.423000000000002</v>
      </c>
      <c r="EC228" s="140">
        <f>-36.12-EB228-EA228-DZ228</f>
        <v>17.336000000000006</v>
      </c>
      <c r="ED228" s="140">
        <v>15.324</v>
      </c>
      <c r="EE228" s="141">
        <f t="shared" ref="EE228:EP228" si="752">EE266-ED266</f>
        <v>-1.7309624080462811</v>
      </c>
      <c r="EF228" s="141">
        <f t="shared" si="752"/>
        <v>14.506575323737991</v>
      </c>
      <c r="EG228" s="141">
        <f t="shared" si="752"/>
        <v>15.424937278348125</v>
      </c>
      <c r="EH228" s="141">
        <f t="shared" si="752"/>
        <v>10.698972906507663</v>
      </c>
      <c r="EI228" s="141">
        <f t="shared" si="752"/>
        <v>5.9424343033554692</v>
      </c>
      <c r="EJ228" s="141">
        <f t="shared" si="752"/>
        <v>9.245062762710802</v>
      </c>
      <c r="EK228" s="141">
        <f t="shared" si="752"/>
        <v>8.7362514200518717</v>
      </c>
      <c r="EL228" s="141">
        <f t="shared" si="752"/>
        <v>11.114585877480465</v>
      </c>
      <c r="EM228" s="141">
        <f t="shared" si="752"/>
        <v>-3.9435488287988392</v>
      </c>
      <c r="EN228" s="141">
        <f t="shared" si="752"/>
        <v>-0.98198226378661957</v>
      </c>
      <c r="EO228" s="141">
        <f t="shared" si="752"/>
        <v>1.9464890880929033</v>
      </c>
      <c r="EP228" s="141">
        <f t="shared" si="752"/>
        <v>-0.99279441111832512</v>
      </c>
      <c r="EQ228" s="129"/>
      <c r="ER228" s="129"/>
      <c r="ES228" s="355">
        <f t="shared" si="632"/>
        <v>223</v>
      </c>
      <c r="ET228"/>
      <c r="EU228"/>
      <c r="EV228"/>
      <c r="EW228"/>
      <c r="EX228"/>
      <c r="EY228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</row>
    <row r="229" spans="1:257" s="4" customFormat="1" ht="12.75" customHeight="1" outlineLevel="1">
      <c r="A229" s="15"/>
      <c r="B229" s="147" t="s">
        <v>128</v>
      </c>
      <c r="C229" s="129"/>
      <c r="D229" s="129"/>
      <c r="E229" s="129">
        <f t="shared" si="726"/>
        <v>5.6</v>
      </c>
      <c r="F229" s="129">
        <f t="shared" si="727"/>
        <v>3.7389999999999999</v>
      </c>
      <c r="G229" s="129">
        <f t="shared" si="728"/>
        <v>-1.63</v>
      </c>
      <c r="H229" s="129">
        <f t="shared" si="729"/>
        <v>6.6680000000000001</v>
      </c>
      <c r="I229" s="129">
        <f t="shared" si="730"/>
        <v>7.5060000000000002</v>
      </c>
      <c r="J229" s="129">
        <f t="shared" si="731"/>
        <v>-1.2309999999999999</v>
      </c>
      <c r="K229" s="129">
        <f t="shared" si="732"/>
        <v>0.55900000000000016</v>
      </c>
      <c r="L229" s="129">
        <f t="shared" si="733"/>
        <v>21.132999999999999</v>
      </c>
      <c r="M229" s="141">
        <f t="shared" si="734"/>
        <v>15.290999999999999</v>
      </c>
      <c r="N229" s="141">
        <f t="shared" si="735"/>
        <v>24.132999999999999</v>
      </c>
      <c r="O229" s="129">
        <f t="shared" si="736"/>
        <v>-0.16599999999999993</v>
      </c>
      <c r="P229" s="129">
        <f t="shared" si="737"/>
        <v>2.323</v>
      </c>
      <c r="Q229" s="129">
        <f t="shared" si="738"/>
        <v>16.556999999999999</v>
      </c>
      <c r="R229" s="129">
        <f t="shared" si="739"/>
        <v>4.49</v>
      </c>
      <c r="S229" s="129">
        <f t="shared" si="740"/>
        <v>6.1070000000000002</v>
      </c>
      <c r="T229" s="129">
        <f t="shared" si="741"/>
        <v>11.593</v>
      </c>
      <c r="U229" s="129">
        <f t="shared" si="742"/>
        <v>6.6479999999999997</v>
      </c>
      <c r="V229" s="129">
        <f t="shared" si="743"/>
        <v>2.4529999999999994</v>
      </c>
      <c r="W229" s="129">
        <f t="shared" si="744"/>
        <v>0.251</v>
      </c>
      <c r="X229" s="129">
        <f t="shared" si="745"/>
        <v>-0.18</v>
      </c>
      <c r="Y229" s="129">
        <f t="shared" si="746"/>
        <v>-1.673</v>
      </c>
      <c r="Z229" s="129">
        <f t="shared" si="747"/>
        <v>-0.78400000000000003</v>
      </c>
      <c r="AA229" s="129">
        <f t="shared" si="747"/>
        <v>0.59799999999999998</v>
      </c>
      <c r="AB229" s="141">
        <f t="shared" si="747"/>
        <v>2.7690000000000001</v>
      </c>
      <c r="AC229" s="141">
        <f t="shared" si="747"/>
        <v>-0.94199999999999995</v>
      </c>
      <c r="AD229" s="141">
        <f t="shared" si="747"/>
        <v>1.9870000000000001</v>
      </c>
      <c r="AE229" s="141">
        <f t="shared" si="747"/>
        <v>0</v>
      </c>
      <c r="AF229" s="141">
        <f t="shared" si="747"/>
        <v>0</v>
      </c>
      <c r="AG229" s="96"/>
      <c r="AH229" s="138">
        <v>-0.52</v>
      </c>
      <c r="AI229" s="138">
        <f>1.745-AH229</f>
        <v>2.2650000000000001</v>
      </c>
      <c r="AJ229" s="138">
        <f>2.198-SUM(AH229:AI229)</f>
        <v>0.45299999999999985</v>
      </c>
      <c r="AK229" s="138">
        <f>5.6-SUM(AH229:AJ229)</f>
        <v>3.4019999999999997</v>
      </c>
      <c r="AL229" s="138">
        <v>0.18</v>
      </c>
      <c r="AM229" s="139">
        <f>1.55-AL229</f>
        <v>1.37</v>
      </c>
      <c r="AN229" s="138">
        <f>3.315-SUM(AL229:AM229)</f>
        <v>1.7649999999999999</v>
      </c>
      <c r="AO229" s="138">
        <f>3.739-SUM(AL229:AN229)</f>
        <v>0.42399999999999993</v>
      </c>
      <c r="AP229" s="138">
        <v>0.39300000000000002</v>
      </c>
      <c r="AQ229" s="139">
        <f>1.467-AP229</f>
        <v>1.0740000000000001</v>
      </c>
      <c r="AR229" s="138">
        <f>0.726-SUM(AP229:AQ229)</f>
        <v>-0.7410000000000001</v>
      </c>
      <c r="AS229" s="138">
        <f>-1.63-SUM(AP229:AR229)</f>
        <v>-2.3559999999999999</v>
      </c>
      <c r="AT229" s="138">
        <v>0.21299999999999999</v>
      </c>
      <c r="AU229" s="139">
        <f>0.997-AT229</f>
        <v>0.78400000000000003</v>
      </c>
      <c r="AV229" s="138">
        <f>3.394-SUM(AT229:AU229)</f>
        <v>2.3970000000000002</v>
      </c>
      <c r="AW229" s="138">
        <f>6.668-SUM(AT229:AV229)</f>
        <v>3.274</v>
      </c>
      <c r="AX229" s="138">
        <v>0.23799999999999999</v>
      </c>
      <c r="AY229" s="138">
        <f>0.918-AX229</f>
        <v>0.68</v>
      </c>
      <c r="AZ229" s="138">
        <f>5.527-SUM(AX229:AY229)</f>
        <v>4.609</v>
      </c>
      <c r="BA229" s="138">
        <f>7.506-SUM(AX229:AZ229)</f>
        <v>1.9790000000000001</v>
      </c>
      <c r="BB229" s="138">
        <v>7.508</v>
      </c>
      <c r="BC229" s="138">
        <f>3.345-BB229</f>
        <v>-4.1630000000000003</v>
      </c>
      <c r="BD229" s="138">
        <f>1.078-SUM(BB229:BC229)</f>
        <v>-2.2669999999999995</v>
      </c>
      <c r="BE229" s="138">
        <f>-1.231-SUM(BB229:BD229)</f>
        <v>-2.3090000000000002</v>
      </c>
      <c r="BF229" s="138">
        <v>0.67500000000000004</v>
      </c>
      <c r="BG229" s="138">
        <f>-0.954-BF229</f>
        <v>-1.629</v>
      </c>
      <c r="BH229" s="138">
        <f>2.511-SUM(BF229:BG229)</f>
        <v>3.4649999999999999</v>
      </c>
      <c r="BI229" s="138">
        <f>0.559-SUM(BF229:BH229)</f>
        <v>-1.952</v>
      </c>
      <c r="BJ229" s="138">
        <v>6.3470000000000004</v>
      </c>
      <c r="BK229" s="138">
        <f>12.444-BJ229</f>
        <v>6.0970000000000004</v>
      </c>
      <c r="BL229" s="138">
        <f>17.243-SUM(BJ229:BK229)</f>
        <v>4.7989999999999977</v>
      </c>
      <c r="BM229" s="138">
        <f>21.133-SUM(BJ229:BL229)</f>
        <v>3.8900000000000006</v>
      </c>
      <c r="BN229" s="138">
        <v>4.5999999999999996</v>
      </c>
      <c r="BO229" s="138">
        <f>10.474-BN229</f>
        <v>5.8740000000000006</v>
      </c>
      <c r="BP229" s="138">
        <f>-1.417-SUM(BN229:BO229)</f>
        <v>-11.891</v>
      </c>
      <c r="BQ229" s="138">
        <f>15.291-SUM(BN229:BP229)</f>
        <v>16.707999999999998</v>
      </c>
      <c r="BR229" s="138">
        <v>6.915</v>
      </c>
      <c r="BS229" s="138">
        <f>11.899-BR229</f>
        <v>4.9839999999999991</v>
      </c>
      <c r="BT229" s="138">
        <f>11.344-SUM(BR229:BS229)</f>
        <v>-0.55499999999999972</v>
      </c>
      <c r="BU229" s="138">
        <f>24.133-SUM(BR229:BT229)</f>
        <v>12.789</v>
      </c>
      <c r="BV229" s="138">
        <v>8.4710000000000001</v>
      </c>
      <c r="BW229" s="138">
        <f>-0.828-BV229</f>
        <v>-9.2989999999999995</v>
      </c>
      <c r="BX229" s="138">
        <f>1.011-SUM(BV229:BW229)</f>
        <v>1.8389999999999993</v>
      </c>
      <c r="BY229" s="138">
        <f>-0.166-SUM(BV229:BX229)</f>
        <v>-1.1769999999999998</v>
      </c>
      <c r="BZ229" s="138">
        <v>0.182</v>
      </c>
      <c r="CA229" s="138">
        <f>0.973-BZ229</f>
        <v>0.79099999999999993</v>
      </c>
      <c r="CB229" s="138">
        <f>1.929-SUM(BZ229:CA229)</f>
        <v>0.95600000000000018</v>
      </c>
      <c r="CC229" s="138">
        <f>2.323-SUM(BZ229:CB229)</f>
        <v>0.39399999999999991</v>
      </c>
      <c r="CD229" s="138">
        <v>1.4339999999999999</v>
      </c>
      <c r="CE229" s="138">
        <f>5.805-CD229</f>
        <v>4.3709999999999996</v>
      </c>
      <c r="CF229" s="138">
        <f>7.887-SUM(CD229:CE229)</f>
        <v>2.0819999999999999</v>
      </c>
      <c r="CG229" s="138">
        <f>16.557-SUM(CD229:CF229)</f>
        <v>8.6699999999999982</v>
      </c>
      <c r="CH229" s="138">
        <v>0.376</v>
      </c>
      <c r="CI229" s="138">
        <f>3.205-CH229</f>
        <v>2.8290000000000002</v>
      </c>
      <c r="CJ229" s="138">
        <f>5.309-SUM(CH229:CI229)</f>
        <v>2.1040000000000001</v>
      </c>
      <c r="CK229" s="138">
        <f>4.49-SUM(CH229:CJ229)</f>
        <v>-0.81899999999999995</v>
      </c>
      <c r="CL229" s="138">
        <v>0.85699999999999998</v>
      </c>
      <c r="CM229" s="138">
        <f>2.416-CL229</f>
        <v>1.5589999999999999</v>
      </c>
      <c r="CN229" s="138">
        <f>3.765-SUM(CL229:CM229)</f>
        <v>1.3490000000000002</v>
      </c>
      <c r="CO229" s="138">
        <f>6.107-SUM(CL229:CN229)</f>
        <v>2.3420000000000001</v>
      </c>
      <c r="CP229" s="138">
        <v>2.1360000000000001</v>
      </c>
      <c r="CQ229" s="138">
        <f>4.244-CP229</f>
        <v>2.1079999999999997</v>
      </c>
      <c r="CR229" s="138">
        <f>7.774-SUM(CP229:CQ229)</f>
        <v>3.5300000000000002</v>
      </c>
      <c r="CS229" s="138">
        <f>11.593-SUM(CP229:CR229)</f>
        <v>3.819</v>
      </c>
      <c r="CT229" s="138">
        <v>3.8839999999999999</v>
      </c>
      <c r="CU229" s="138">
        <f>6.942-CT229</f>
        <v>3.0580000000000003</v>
      </c>
      <c r="CV229" s="138">
        <f>6.514-SUM(CT229:CU229)</f>
        <v>-0.42799999999999994</v>
      </c>
      <c r="CW229" s="138">
        <f>6.648-SUM(CT229:CV229)</f>
        <v>0.13399999999999945</v>
      </c>
      <c r="CX229" s="138">
        <v>-2.1999999999999999E-2</v>
      </c>
      <c r="CY229" s="138">
        <f>-0.198-CX229</f>
        <v>-0.17600000000000002</v>
      </c>
      <c r="CZ229" s="138">
        <f>-0.527-CY229-CX229</f>
        <v>-0.32899999999999996</v>
      </c>
      <c r="DA229" s="138">
        <f>2.453-SUM(CX229:CZ229)</f>
        <v>2.9799999999999995</v>
      </c>
      <c r="DB229" s="138">
        <v>0.23100000000000001</v>
      </c>
      <c r="DC229" s="138">
        <f>0.243-DB229</f>
        <v>1.1999999999999983E-2</v>
      </c>
      <c r="DD229" s="138">
        <f>0.209-SUM(DB229:DC229)</f>
        <v>-3.4000000000000002E-2</v>
      </c>
      <c r="DE229" s="138">
        <f>0.251-SUM(DB229:DD229)</f>
        <v>4.200000000000001E-2</v>
      </c>
      <c r="DF229" s="138">
        <v>0.113</v>
      </c>
      <c r="DG229" s="138">
        <f>0.205-DF229</f>
        <v>9.1999999999999985E-2</v>
      </c>
      <c r="DH229" s="138">
        <f>-0.326-DG229-DF229</f>
        <v>-0.53100000000000003</v>
      </c>
      <c r="DI229" s="138">
        <f>-0.18-DH229-DG229-DF229</f>
        <v>0.14600000000000007</v>
      </c>
      <c r="DJ229" s="138">
        <v>-0.65400000000000003</v>
      </c>
      <c r="DK229" s="138">
        <f>-1.211-DJ229</f>
        <v>-0.55700000000000005</v>
      </c>
      <c r="DL229" s="138">
        <f>-1.291-DJ229-DK229</f>
        <v>-7.9999999999999849E-2</v>
      </c>
      <c r="DM229" s="138">
        <f>-1.673-DJ229-DK229-DL229</f>
        <v>-0.38200000000000023</v>
      </c>
      <c r="DN229" s="140">
        <v>-1.3169999999999999</v>
      </c>
      <c r="DO229" s="140">
        <f>-1.109-DN229</f>
        <v>0.20799999999999996</v>
      </c>
      <c r="DP229" s="140">
        <f>-0.927-SUM(DN229:DO229)</f>
        <v>0.18199999999999994</v>
      </c>
      <c r="DQ229" s="140">
        <f>-0.784-DP229-DO229-DN229</f>
        <v>0.14300000000000002</v>
      </c>
      <c r="DR229" s="140">
        <v>-0.22900000000000001</v>
      </c>
      <c r="DS229" s="140">
        <f>-0.03-DR229</f>
        <v>0.19900000000000001</v>
      </c>
      <c r="DT229" s="140">
        <f>0.287-SUM(DR229:DS229)</f>
        <v>0.31699999999999995</v>
      </c>
      <c r="DU229" s="140">
        <f>0.598-DT229-DS229-DR229</f>
        <v>0.31100000000000005</v>
      </c>
      <c r="DV229" s="140">
        <v>3.4870000000000001</v>
      </c>
      <c r="DW229" s="140">
        <f>2.58-DV229</f>
        <v>-0.90700000000000003</v>
      </c>
      <c r="DX229" s="140">
        <f>2.673-DW229-DV229</f>
        <v>9.2999999999999972E-2</v>
      </c>
      <c r="DY229" s="140">
        <f>2.769-DX229-DW229-DV229</f>
        <v>9.6000000000000085E-2</v>
      </c>
      <c r="DZ229" s="140">
        <f>-1.153</f>
        <v>-1.153</v>
      </c>
      <c r="EA229" s="140">
        <f>-1.244-DZ229</f>
        <v>-9.099999999999997E-2</v>
      </c>
      <c r="EB229" s="140">
        <f>-1.051-EA229-DZ229</f>
        <v>0.19300000000000006</v>
      </c>
      <c r="EC229" s="140">
        <f>-0.942-EB229-EA229-DZ229</f>
        <v>0.10899999999999999</v>
      </c>
      <c r="ED229" s="140">
        <v>1.9870000000000001</v>
      </c>
      <c r="EE229" s="141">
        <v>0</v>
      </c>
      <c r="EF229" s="141">
        <v>0</v>
      </c>
      <c r="EG229" s="141">
        <v>0</v>
      </c>
      <c r="EH229" s="141">
        <v>0</v>
      </c>
      <c r="EI229" s="141">
        <v>0</v>
      </c>
      <c r="EJ229" s="141">
        <v>0</v>
      </c>
      <c r="EK229" s="141">
        <v>0</v>
      </c>
      <c r="EL229" s="141">
        <v>0</v>
      </c>
      <c r="EM229" s="141">
        <v>0</v>
      </c>
      <c r="EN229" s="141">
        <v>0</v>
      </c>
      <c r="EO229" s="141">
        <v>0</v>
      </c>
      <c r="EP229" s="141">
        <v>0</v>
      </c>
      <c r="EQ229" s="129"/>
      <c r="ER229" s="129"/>
      <c r="ES229" s="355">
        <f t="shared" si="632"/>
        <v>224</v>
      </c>
      <c r="ET229"/>
      <c r="EU229"/>
      <c r="EV229"/>
      <c r="EW229"/>
      <c r="EX229"/>
      <c r="EY229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</row>
    <row r="230" spans="1:257" s="4" customFormat="1" ht="12.75" customHeight="1" outlineLevel="1">
      <c r="A230" s="15"/>
      <c r="B230" s="147" t="s">
        <v>127</v>
      </c>
      <c r="C230" s="129"/>
      <c r="D230" s="129"/>
      <c r="E230" s="129">
        <f t="shared" si="726"/>
        <v>-1.6040000000000001</v>
      </c>
      <c r="F230" s="129">
        <f t="shared" si="727"/>
        <v>-1.5409999999999999</v>
      </c>
      <c r="G230" s="129">
        <f t="shared" si="728"/>
        <v>2.5630000000000002</v>
      </c>
      <c r="H230" s="129">
        <f t="shared" si="729"/>
        <v>3.802</v>
      </c>
      <c r="I230" s="129">
        <f t="shared" si="730"/>
        <v>1.4729999999999999</v>
      </c>
      <c r="J230" s="129">
        <f t="shared" si="731"/>
        <v>1.8120000000000003</v>
      </c>
      <c r="K230" s="129">
        <f t="shared" si="732"/>
        <v>4.7690000000000001</v>
      </c>
      <c r="L230" s="146">
        <f t="shared" si="733"/>
        <v>-4.8529999999999998</v>
      </c>
      <c r="M230" s="141">
        <f t="shared" si="734"/>
        <v>2.2759999999999998</v>
      </c>
      <c r="N230" s="141">
        <f t="shared" si="735"/>
        <v>-5.4290000000000003</v>
      </c>
      <c r="O230" s="129">
        <f t="shared" si="736"/>
        <v>1.589</v>
      </c>
      <c r="P230" s="129">
        <f t="shared" si="737"/>
        <v>6.9969999999999999</v>
      </c>
      <c r="Q230" s="129">
        <f t="shared" si="738"/>
        <v>2.5259999999999998</v>
      </c>
      <c r="R230" s="129">
        <f t="shared" si="739"/>
        <v>4.0570000000000004</v>
      </c>
      <c r="S230" s="129">
        <f t="shared" si="740"/>
        <v>4.2350000000000003</v>
      </c>
      <c r="T230" s="129">
        <f t="shared" si="741"/>
        <v>8.0280000000000005</v>
      </c>
      <c r="U230" s="129">
        <f t="shared" si="742"/>
        <v>-5.2089999999999996</v>
      </c>
      <c r="V230" s="129">
        <f t="shared" si="743"/>
        <v>0.28499999999999992</v>
      </c>
      <c r="W230" s="129">
        <f t="shared" si="744"/>
        <v>6.1289999999999996</v>
      </c>
      <c r="X230" s="129">
        <f t="shared" si="745"/>
        <v>-1.5920000000000005</v>
      </c>
      <c r="Y230" s="129">
        <f t="shared" si="746"/>
        <v>-17.370999999999999</v>
      </c>
      <c r="Z230" s="129">
        <f t="shared" si="747"/>
        <v>-10.65</v>
      </c>
      <c r="AA230" s="129">
        <f t="shared" si="747"/>
        <v>38.817999999999998</v>
      </c>
      <c r="AB230" s="141">
        <f t="shared" si="747"/>
        <v>-16.831</v>
      </c>
      <c r="AC230" s="141">
        <f t="shared" si="747"/>
        <v>-13.075000000000003</v>
      </c>
      <c r="AD230" s="141">
        <f t="shared" si="747"/>
        <v>-17.645</v>
      </c>
      <c r="AE230" s="141">
        <f t="shared" si="747"/>
        <v>0</v>
      </c>
      <c r="AF230" s="141">
        <f t="shared" si="747"/>
        <v>0</v>
      </c>
      <c r="AG230" s="96"/>
      <c r="AH230" s="138">
        <v>-0.57299999999999995</v>
      </c>
      <c r="AI230" s="138">
        <f>-0.969-AH230</f>
        <v>-0.39600000000000002</v>
      </c>
      <c r="AJ230" s="138">
        <f>-1.367-SUM(AH230:AI230)</f>
        <v>-0.39800000000000002</v>
      </c>
      <c r="AK230" s="138">
        <f>-1.604-SUM(AH230:AJ230)</f>
        <v>-0.2370000000000001</v>
      </c>
      <c r="AL230" s="138">
        <v>1.3520000000000001</v>
      </c>
      <c r="AM230" s="139">
        <f>0.408-AL230</f>
        <v>-0.94400000000000017</v>
      </c>
      <c r="AN230" s="138">
        <f>-1.077-SUM(AL230:AM230)</f>
        <v>-1.4849999999999999</v>
      </c>
      <c r="AO230" s="138">
        <f>-1.541-SUM(AL230:AN230)</f>
        <v>-0.46399999999999997</v>
      </c>
      <c r="AP230" s="138">
        <v>1.115</v>
      </c>
      <c r="AQ230" s="139">
        <f>2.443-AP230</f>
        <v>1.3280000000000001</v>
      </c>
      <c r="AR230" s="138">
        <f>3.464-SUM(AP230:AQ230)</f>
        <v>1.0209999999999999</v>
      </c>
      <c r="AS230" s="138">
        <f>2.563-SUM(AP230:AR230)</f>
        <v>-0.9009999999999998</v>
      </c>
      <c r="AT230" s="138">
        <v>1.4470000000000001</v>
      </c>
      <c r="AU230" s="139">
        <f>2.954-AT230</f>
        <v>1.5070000000000001</v>
      </c>
      <c r="AV230" s="138">
        <f>3.366-SUM(AT230:AU230)</f>
        <v>0.41199999999999992</v>
      </c>
      <c r="AW230" s="138">
        <f>3.802-SUM(AT230:AV230)</f>
        <v>0.43599999999999994</v>
      </c>
      <c r="AX230" s="138">
        <v>2.8370000000000002</v>
      </c>
      <c r="AY230" s="138">
        <f>3.61-AX230</f>
        <v>0.77299999999999969</v>
      </c>
      <c r="AZ230" s="138">
        <f>4.199-SUM(AX230:AY230)</f>
        <v>0.58899999999999997</v>
      </c>
      <c r="BA230" s="138">
        <f>1.473-SUM(AX230:AZ230)</f>
        <v>-2.726</v>
      </c>
      <c r="BB230" s="138">
        <v>1.4159999999999999</v>
      </c>
      <c r="BC230" s="138">
        <f>11.418-BB230</f>
        <v>10.001999999999999</v>
      </c>
      <c r="BD230" s="138">
        <f>9.326-SUM(BB230:BC230)</f>
        <v>-2.0919999999999987</v>
      </c>
      <c r="BE230" s="138">
        <f>1.812-SUM(BB230:BD230)</f>
        <v>-7.5140000000000002</v>
      </c>
      <c r="BF230" s="138">
        <v>-0.53900000000000003</v>
      </c>
      <c r="BG230" s="138">
        <f>-2.039-BF230</f>
        <v>-1.5</v>
      </c>
      <c r="BH230" s="138">
        <f>-2.103-SUM(BF230:BG230)</f>
        <v>-6.4000000000000057E-2</v>
      </c>
      <c r="BI230" s="138">
        <f>4.769-SUM(BF230:BH230)</f>
        <v>6.8719999999999999</v>
      </c>
      <c r="BJ230" s="138">
        <v>0.35</v>
      </c>
      <c r="BK230" s="138">
        <f>-1.148-BJ230</f>
        <v>-1.4979999999999998</v>
      </c>
      <c r="BL230" s="138">
        <f>-0.075-SUM(BJ230:BK230)</f>
        <v>1.0729999999999997</v>
      </c>
      <c r="BM230" s="138">
        <f>-4.853-SUM(BJ230:BL230)</f>
        <v>-4.7779999999999996</v>
      </c>
      <c r="BN230" s="138">
        <v>0.15</v>
      </c>
      <c r="BO230" s="138">
        <f>0.788-BN230</f>
        <v>0.63800000000000001</v>
      </c>
      <c r="BP230" s="138">
        <f>1.425-SUM(BN230:BO230)</f>
        <v>0.63700000000000001</v>
      </c>
      <c r="BQ230" s="138">
        <f>2.276-SUM(BN230:BP230)</f>
        <v>0.85099999999999976</v>
      </c>
      <c r="BR230" s="138">
        <v>1.363</v>
      </c>
      <c r="BS230" s="138">
        <f>3.722-BR230</f>
        <v>2.359</v>
      </c>
      <c r="BT230" s="138">
        <f>3.97-SUM(BR230:BS230)</f>
        <v>0.24800000000000022</v>
      </c>
      <c r="BU230" s="138">
        <f>-5.429-SUM(BR230:BT230)</f>
        <v>-9.3990000000000009</v>
      </c>
      <c r="BV230" s="138">
        <v>1.325</v>
      </c>
      <c r="BW230" s="138">
        <f>1.318-BV230</f>
        <v>-6.9999999999998952E-3</v>
      </c>
      <c r="BX230" s="138">
        <f>4.012-SUM(BV230:BW230)</f>
        <v>2.6939999999999995</v>
      </c>
      <c r="BY230" s="138">
        <f>1.589-SUM(BV230:BX230)</f>
        <v>-2.4229999999999996</v>
      </c>
      <c r="BZ230" s="138">
        <v>1.3680000000000001</v>
      </c>
      <c r="CA230" s="138">
        <f>2.429-BZ230</f>
        <v>1.0609999999999997</v>
      </c>
      <c r="CB230" s="138">
        <f>9.378-SUM(BZ230:CA230)</f>
        <v>6.9489999999999998</v>
      </c>
      <c r="CC230" s="138">
        <f>6.997-SUM(BZ230:CB230)</f>
        <v>-2.3810000000000002</v>
      </c>
      <c r="CD230" s="138">
        <v>2.7679999999999998</v>
      </c>
      <c r="CE230" s="138">
        <f>4.623-CD230</f>
        <v>1.8550000000000004</v>
      </c>
      <c r="CF230" s="138">
        <f>6.199-SUM(CD230:CE230)</f>
        <v>1.5759999999999996</v>
      </c>
      <c r="CG230" s="138">
        <f>2.526-SUM(CD230:CF230)</f>
        <v>-3.673</v>
      </c>
      <c r="CH230" s="138">
        <v>2.032</v>
      </c>
      <c r="CI230" s="138">
        <f>2.642-CH230</f>
        <v>0.60999999999999988</v>
      </c>
      <c r="CJ230" s="138">
        <f>1.623-SUM(CH230:CI230)</f>
        <v>-1.0189999999999999</v>
      </c>
      <c r="CK230" s="138">
        <f>4.057-SUM(CH230:CJ230)</f>
        <v>2.4340000000000002</v>
      </c>
      <c r="CL230" s="138">
        <v>-2.5910000000000002</v>
      </c>
      <c r="CM230" s="138">
        <f>-1.577-CL230</f>
        <v>1.0140000000000002</v>
      </c>
      <c r="CN230" s="138">
        <f>1.352-SUM(CL230:CM230)</f>
        <v>2.9290000000000003</v>
      </c>
      <c r="CO230" s="138">
        <f>4.235-SUM(CL230:CN230)</f>
        <v>2.883</v>
      </c>
      <c r="CP230" s="138">
        <v>1.474</v>
      </c>
      <c r="CQ230" s="138">
        <f>5.849-CP230</f>
        <v>4.375</v>
      </c>
      <c r="CR230" s="138">
        <f>8.526-SUM(CP230:CQ230)</f>
        <v>2.6769999999999996</v>
      </c>
      <c r="CS230" s="138">
        <f>8.028-SUM(CP230:CR230)</f>
        <v>-0.49799999999999933</v>
      </c>
      <c r="CT230" s="138">
        <v>0.85599999999999998</v>
      </c>
      <c r="CU230" s="138">
        <f>-0.806-CT230</f>
        <v>-1.6619999999999999</v>
      </c>
      <c r="CV230" s="138">
        <f>-6.625-SUM(CT230:CU230)</f>
        <v>-5.819</v>
      </c>
      <c r="CW230" s="138">
        <f>-5.209-SUM(CT230:CV230)</f>
        <v>1.4160000000000004</v>
      </c>
      <c r="CX230" s="138">
        <v>3.681</v>
      </c>
      <c r="CY230" s="138">
        <f>3.11-CX230</f>
        <v>-0.57100000000000017</v>
      </c>
      <c r="CZ230" s="138">
        <f>0.952-CY230-CX230</f>
        <v>-2.1579999999999999</v>
      </c>
      <c r="DA230" s="138">
        <f>0.206+0.079-SUM(CX230:CZ230)</f>
        <v>-0.66700000000000004</v>
      </c>
      <c r="DB230" s="138">
        <v>8.2669999999999995</v>
      </c>
      <c r="DC230" s="138">
        <f>10.399-DB230</f>
        <v>2.1319999999999997</v>
      </c>
      <c r="DD230" s="138">
        <f>0.377-SUM(DB230:DC230)</f>
        <v>-10.021999999999998</v>
      </c>
      <c r="DE230" s="138">
        <f>6.129-SUM(DB230:DD230)</f>
        <v>5.7519999999999989</v>
      </c>
      <c r="DF230" s="138">
        <f>-6.258</f>
        <v>-6.258</v>
      </c>
      <c r="DG230" s="138">
        <f>-2.289-DF230</f>
        <v>3.9689999999999999</v>
      </c>
      <c r="DH230" s="138">
        <f>-4.055-DG230-DF230</f>
        <v>-1.7659999999999991</v>
      </c>
      <c r="DI230" s="138">
        <f>-1.592-DH230-DG230-DF230</f>
        <v>2.4629999999999992</v>
      </c>
      <c r="DJ230" s="138">
        <v>-5.0590000000000002</v>
      </c>
      <c r="DK230" s="138">
        <f>-11.855-DJ230</f>
        <v>-6.7960000000000003</v>
      </c>
      <c r="DL230" s="138">
        <f>-17.619-DJ230-DK230</f>
        <v>-5.7639999999999985</v>
      </c>
      <c r="DM230" s="138">
        <f>-17.371-DJ230-DK230-DL230</f>
        <v>0.24800000000000111</v>
      </c>
      <c r="DN230" s="140">
        <v>-6.2510000000000003</v>
      </c>
      <c r="DO230" s="140">
        <f>-10.083-DN230</f>
        <v>-3.8319999999999999</v>
      </c>
      <c r="DP230" s="140">
        <f>-11.06-SUM(DN230:DO230)</f>
        <v>-0.97700000000000031</v>
      </c>
      <c r="DQ230" s="140">
        <f>-10.65-DP230-DO230-DN230</f>
        <v>0.41000000000000014</v>
      </c>
      <c r="DR230" s="140">
        <v>9.7270000000000003</v>
      </c>
      <c r="DS230" s="140">
        <f>30.832-DR230</f>
        <v>21.105</v>
      </c>
      <c r="DT230" s="140">
        <f>41.072-SUM(DR230:DS230)</f>
        <v>10.240000000000002</v>
      </c>
      <c r="DU230" s="140">
        <f>38.818-DT230-DS230-DR230</f>
        <v>-2.2540000000000049</v>
      </c>
      <c r="DV230" s="140">
        <v>-10.757999999999999</v>
      </c>
      <c r="DW230" s="140">
        <f>-13.939-DV230</f>
        <v>-3.1810000000000009</v>
      </c>
      <c r="DX230" s="140">
        <f>-18.741-DW230-DV230</f>
        <v>-4.8019999999999996</v>
      </c>
      <c r="DY230" s="140">
        <f>-16.831-DX230-DW230-DV230</f>
        <v>1.9100000000000001</v>
      </c>
      <c r="DZ230" s="140">
        <f>-15.827</f>
        <v>-15.827</v>
      </c>
      <c r="EA230" s="140">
        <f>-18.316-DZ230</f>
        <v>-2.488999999999999</v>
      </c>
      <c r="EB230" s="140">
        <f>-8.205-EA230-DZ230</f>
        <v>10.110999999999999</v>
      </c>
      <c r="EC230" s="140">
        <f>-13.075-EB230-EA230-DZ230</f>
        <v>-4.8700000000000028</v>
      </c>
      <c r="ED230" s="140">
        <v>-17.645</v>
      </c>
      <c r="EE230" s="141">
        <f t="shared" ref="EE230:EP230" si="753">EE272-ED272</f>
        <v>0</v>
      </c>
      <c r="EF230" s="141">
        <f t="shared" si="753"/>
        <v>0</v>
      </c>
      <c r="EG230" s="141">
        <f t="shared" si="753"/>
        <v>0</v>
      </c>
      <c r="EH230" s="141">
        <f t="shared" si="753"/>
        <v>0</v>
      </c>
      <c r="EI230" s="141">
        <f t="shared" si="753"/>
        <v>0</v>
      </c>
      <c r="EJ230" s="141">
        <f t="shared" si="753"/>
        <v>0</v>
      </c>
      <c r="EK230" s="141">
        <f t="shared" si="753"/>
        <v>0</v>
      </c>
      <c r="EL230" s="141">
        <f t="shared" si="753"/>
        <v>0</v>
      </c>
      <c r="EM230" s="141">
        <f t="shared" si="753"/>
        <v>0</v>
      </c>
      <c r="EN230" s="141">
        <f t="shared" si="753"/>
        <v>0</v>
      </c>
      <c r="EO230" s="141">
        <f t="shared" si="753"/>
        <v>0</v>
      </c>
      <c r="EP230" s="141">
        <f t="shared" si="753"/>
        <v>0</v>
      </c>
      <c r="EQ230" s="129"/>
      <c r="ER230" s="129"/>
      <c r="ES230" s="355">
        <f t="shared" si="632"/>
        <v>225</v>
      </c>
      <c r="ET230"/>
      <c r="EU230"/>
      <c r="EV230"/>
      <c r="EW230"/>
      <c r="EX230"/>
      <c r="EY230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</row>
    <row r="231" spans="1:257" s="4" customFormat="1" ht="12.75" customHeight="1" outlineLevel="1">
      <c r="A231" s="15"/>
      <c r="B231" s="344" t="s">
        <v>126</v>
      </c>
      <c r="C231" s="345"/>
      <c r="D231" s="345"/>
      <c r="E231" s="345">
        <f t="shared" ref="E231:W231" si="754">SUM(E217:E230)</f>
        <v>74.619000000000028</v>
      </c>
      <c r="F231" s="345">
        <f t="shared" si="754"/>
        <v>79.908999999999978</v>
      </c>
      <c r="G231" s="345">
        <f t="shared" si="754"/>
        <v>84.010000000000019</v>
      </c>
      <c r="H231" s="345">
        <f t="shared" si="754"/>
        <v>121.42000000000003</v>
      </c>
      <c r="I231" s="345">
        <f t="shared" si="754"/>
        <v>165.571</v>
      </c>
      <c r="J231" s="345">
        <f t="shared" si="754"/>
        <v>113.53300000000006</v>
      </c>
      <c r="K231" s="345">
        <f t="shared" si="754"/>
        <v>158.69400000000002</v>
      </c>
      <c r="L231" s="345">
        <f t="shared" si="754"/>
        <v>201.83600000000001</v>
      </c>
      <c r="M231" s="345">
        <f t="shared" si="754"/>
        <v>217.02699999999996</v>
      </c>
      <c r="N231" s="345">
        <f t="shared" si="754"/>
        <v>151.77300000000002</v>
      </c>
      <c r="O231" s="345">
        <f t="shared" si="754"/>
        <v>96.503999999999962</v>
      </c>
      <c r="P231" s="345">
        <f t="shared" si="754"/>
        <v>136.64000000000004</v>
      </c>
      <c r="Q231" s="345">
        <f t="shared" si="754"/>
        <v>212.23800000000008</v>
      </c>
      <c r="R231" s="345">
        <f t="shared" si="754"/>
        <v>296.3900000000001</v>
      </c>
      <c r="S231" s="345">
        <f t="shared" si="754"/>
        <v>561.06699999999933</v>
      </c>
      <c r="T231" s="345">
        <f t="shared" si="754"/>
        <v>610.82800000000032</v>
      </c>
      <c r="U231" s="345">
        <f t="shared" si="754"/>
        <v>897.31900000000007</v>
      </c>
      <c r="V231" s="345">
        <f t="shared" si="754"/>
        <v>450.70900000000012</v>
      </c>
      <c r="W231" s="345">
        <f t="shared" si="754"/>
        <v>977.55199999999991</v>
      </c>
      <c r="X231" s="345">
        <f t="shared" si="745"/>
        <v>1000.332</v>
      </c>
      <c r="Y231" s="345">
        <f t="shared" ref="Y231:AF231" si="755">SUM(Y217:Y230)</f>
        <v>997.18499999999915</v>
      </c>
      <c r="Z231" s="345">
        <f t="shared" si="755"/>
        <v>1118.5739999999992</v>
      </c>
      <c r="AA231" s="345">
        <f t="shared" si="755"/>
        <v>1418.7909339999999</v>
      </c>
      <c r="AB231" s="345">
        <f t="shared" si="755"/>
        <v>753.59699999999998</v>
      </c>
      <c r="AC231" s="345">
        <f t="shared" si="755"/>
        <v>357.21700000000004</v>
      </c>
      <c r="AD231" s="345">
        <f t="shared" si="755"/>
        <v>440.15367684876384</v>
      </c>
      <c r="AE231" s="345">
        <f t="shared" si="755"/>
        <v>676.00438404170791</v>
      </c>
      <c r="AF231" s="145">
        <f t="shared" si="755"/>
        <v>770.73116466736428</v>
      </c>
      <c r="AG231" s="96"/>
      <c r="AH231" s="348">
        <v>15.337</v>
      </c>
      <c r="AI231" s="348">
        <v>13.262</v>
      </c>
      <c r="AJ231" s="348">
        <v>22.085999999999999</v>
      </c>
      <c r="AK231" s="348">
        <v>23.934000000000026</v>
      </c>
      <c r="AL231" s="348">
        <v>11.008000000000004</v>
      </c>
      <c r="AM231" s="348">
        <v>31.70699999999999</v>
      </c>
      <c r="AN231" s="348">
        <v>16.82500000000001</v>
      </c>
      <c r="AO231" s="348">
        <v>20.368999999999961</v>
      </c>
      <c r="AP231" s="348">
        <v>20.634000000000004</v>
      </c>
      <c r="AQ231" s="348">
        <v>30.351000000000003</v>
      </c>
      <c r="AR231" s="348">
        <v>13.528999999999996</v>
      </c>
      <c r="AS231" s="348">
        <v>19.495999999999984</v>
      </c>
      <c r="AT231" s="348">
        <v>24.444000000000013</v>
      </c>
      <c r="AU231" s="348">
        <v>39.969999999999992</v>
      </c>
      <c r="AV231" s="348">
        <v>25.050999999999995</v>
      </c>
      <c r="AW231" s="348">
        <v>31.955000000000034</v>
      </c>
      <c r="AX231" s="348">
        <v>38.361000000000011</v>
      </c>
      <c r="AY231" s="348">
        <v>31.517000000000007</v>
      </c>
      <c r="AZ231" s="348">
        <v>40.636000000000003</v>
      </c>
      <c r="BA231" s="348">
        <v>55.057000000000059</v>
      </c>
      <c r="BB231" s="348">
        <v>32.184000000000005</v>
      </c>
      <c r="BC231" s="348">
        <v>26.559999999999988</v>
      </c>
      <c r="BD231" s="348">
        <v>33.406999999999996</v>
      </c>
      <c r="BE231" s="348">
        <v>21.382000000000129</v>
      </c>
      <c r="BF231" s="348">
        <v>16.113999999999987</v>
      </c>
      <c r="BG231" s="348">
        <v>38.696000000000012</v>
      </c>
      <c r="BH231" s="348">
        <v>48.893999999999984</v>
      </c>
      <c r="BI231" s="348">
        <v>54.990000000000066</v>
      </c>
      <c r="BJ231" s="348">
        <v>44.359999999999992</v>
      </c>
      <c r="BK231" s="348">
        <v>47.439000000000028</v>
      </c>
      <c r="BL231" s="348">
        <v>48.164999999999978</v>
      </c>
      <c r="BM231" s="348">
        <v>61.872000000000007</v>
      </c>
      <c r="BN231" s="348">
        <v>64.369</v>
      </c>
      <c r="BO231" s="348">
        <v>69.370000000000019</v>
      </c>
      <c r="BP231" s="348">
        <v>77.564000000000007</v>
      </c>
      <c r="BQ231" s="348">
        <v>5.7239999999999904</v>
      </c>
      <c r="BR231" s="348">
        <v>28.561999999999998</v>
      </c>
      <c r="BS231" s="348">
        <v>40.256</v>
      </c>
      <c r="BT231" s="348">
        <v>33.104999999999997</v>
      </c>
      <c r="BU231" s="348">
        <v>49.85</v>
      </c>
      <c r="BV231" s="348">
        <v>27.031000000000002</v>
      </c>
      <c r="BW231" s="348">
        <v>12.049000000000001</v>
      </c>
      <c r="BX231" s="348">
        <v>26.724999999999987</v>
      </c>
      <c r="BY231" s="348">
        <v>30.699000000000002</v>
      </c>
      <c r="BZ231" s="348">
        <v>25.735999999999994</v>
      </c>
      <c r="CA231" s="348">
        <v>11.436999999999998</v>
      </c>
      <c r="CB231" s="348">
        <v>37.067000000000014</v>
      </c>
      <c r="CC231" s="348">
        <v>62.40000000000002</v>
      </c>
      <c r="CD231" s="348">
        <v>34.813000000000009</v>
      </c>
      <c r="CE231" s="348">
        <v>43.102000000000004</v>
      </c>
      <c r="CF231" s="348">
        <v>52.087000000000003</v>
      </c>
      <c r="CG231" s="348">
        <v>82.236000000000033</v>
      </c>
      <c r="CH231" s="348">
        <v>60.474000000000004</v>
      </c>
      <c r="CI231" s="348">
        <v>77.325999999999979</v>
      </c>
      <c r="CJ231" s="348">
        <v>80.115000000000023</v>
      </c>
      <c r="CK231" s="348">
        <v>78.475000000000023</v>
      </c>
      <c r="CL231" s="348">
        <v>137.81799999999998</v>
      </c>
      <c r="CM231" s="348">
        <v>108.04699999999994</v>
      </c>
      <c r="CN231" s="348">
        <v>139.53399999999993</v>
      </c>
      <c r="CO231" s="348">
        <v>175.66800000000003</v>
      </c>
      <c r="CP231" s="348">
        <v>110.89100000000006</v>
      </c>
      <c r="CQ231" s="348">
        <v>152.36399999999995</v>
      </c>
      <c r="CR231" s="348">
        <v>180.33300000000003</v>
      </c>
      <c r="CS231" s="348">
        <v>167.23999999999992</v>
      </c>
      <c r="CT231" s="348">
        <v>254.57899999999992</v>
      </c>
      <c r="CU231" s="348">
        <v>235.90899999999996</v>
      </c>
      <c r="CV231" s="348">
        <v>220.05500000000006</v>
      </c>
      <c r="CW231" s="348">
        <v>186.77600000000001</v>
      </c>
      <c r="CX231" s="348">
        <v>120.15000000000008</v>
      </c>
      <c r="CY231" s="348">
        <v>85.781999999999954</v>
      </c>
      <c r="CZ231" s="348">
        <v>122.64100000000002</v>
      </c>
      <c r="DA231" s="348">
        <v>122.13600000000007</v>
      </c>
      <c r="DB231" s="348">
        <v>238.65499999999989</v>
      </c>
      <c r="DC231" s="348">
        <v>213.09199999999998</v>
      </c>
      <c r="DD231" s="348">
        <v>244.69599999999991</v>
      </c>
      <c r="DE231" s="348">
        <v>281.10900000000004</v>
      </c>
      <c r="DF231" s="348">
        <v>236.63800000000001</v>
      </c>
      <c r="DG231" s="348">
        <v>202.184</v>
      </c>
      <c r="DH231" s="348">
        <v>174.15599999999992</v>
      </c>
      <c r="DI231" s="348">
        <v>387.35400000000004</v>
      </c>
      <c r="DJ231" s="348">
        <v>341.92200000000003</v>
      </c>
      <c r="DK231" s="348">
        <v>152.39099999999996</v>
      </c>
      <c r="DL231" s="348">
        <v>267.33000000000004</v>
      </c>
      <c r="DM231" s="348">
        <v>235.54199999999992</v>
      </c>
      <c r="DN231" s="349">
        <v>304.858</v>
      </c>
      <c r="DO231" s="349">
        <v>235.17199999999997</v>
      </c>
      <c r="DP231" s="349">
        <v>257.89499999999998</v>
      </c>
      <c r="DQ231" s="349">
        <v>320.64899999999994</v>
      </c>
      <c r="DR231" s="349">
        <v>389.70700000000016</v>
      </c>
      <c r="DS231" s="349">
        <v>422.89093400000007</v>
      </c>
      <c r="DT231" s="349">
        <v>334.98200000000003</v>
      </c>
      <c r="DU231" s="349">
        <v>271.21099999999984</v>
      </c>
      <c r="DV231" s="348">
        <v>308.19600000000008</v>
      </c>
      <c r="DW231" s="348">
        <v>184.32099999999991</v>
      </c>
      <c r="DX231" s="348">
        <v>122.89300000000009</v>
      </c>
      <c r="DY231" s="348">
        <v>138.18699999999995</v>
      </c>
      <c r="DZ231" s="348">
        <v>70.686999999999998</v>
      </c>
      <c r="EA231" s="348">
        <f>146.359-DZ231</f>
        <v>75.672000000000011</v>
      </c>
      <c r="EB231" s="348">
        <f>236.134-EA231-DZ231</f>
        <v>89.774999999999991</v>
      </c>
      <c r="EC231" s="348">
        <f>357.217-EB231-EA231-DZ231</f>
        <v>121.08299999999998</v>
      </c>
      <c r="ED231" s="348">
        <v>72.215000000000003</v>
      </c>
      <c r="EE231" s="345">
        <f t="shared" ref="EE231:EP231" si="756">SUM(EE217:EE230)</f>
        <v>116.06669467579044</v>
      </c>
      <c r="EF231" s="345">
        <f t="shared" si="756"/>
        <v>116.71371729175588</v>
      </c>
      <c r="EG231" s="345">
        <f t="shared" si="756"/>
        <v>135.15826488121729</v>
      </c>
      <c r="EH231" s="345">
        <f t="shared" si="756"/>
        <v>154.88867219927778</v>
      </c>
      <c r="EI231" s="345">
        <f t="shared" si="756"/>
        <v>157.28415668951757</v>
      </c>
      <c r="EJ231" s="345">
        <f t="shared" si="756"/>
        <v>178.67470119263865</v>
      </c>
      <c r="EK231" s="345">
        <f t="shared" si="756"/>
        <v>185.15685396027391</v>
      </c>
      <c r="EL231" s="345">
        <f t="shared" si="756"/>
        <v>181.83087697346153</v>
      </c>
      <c r="EM231" s="345">
        <f t="shared" si="756"/>
        <v>194.79918227482685</v>
      </c>
      <c r="EN231" s="345">
        <f t="shared" si="756"/>
        <v>195.58791010968568</v>
      </c>
      <c r="EO231" s="345">
        <f t="shared" si="756"/>
        <v>198.51319530939031</v>
      </c>
      <c r="EP231" s="345">
        <f t="shared" si="756"/>
        <v>193.46372000674708</v>
      </c>
      <c r="EQ231" s="129"/>
      <c r="ER231" s="129"/>
      <c r="ES231" s="355">
        <f t="shared" si="632"/>
        <v>226</v>
      </c>
      <c r="ET231"/>
      <c r="EU231"/>
      <c r="EV231"/>
      <c r="EW231"/>
      <c r="EX231"/>
      <c r="EY23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</row>
    <row r="232" spans="1:257" s="4" customFormat="1" ht="12.75" customHeight="1" outlineLevel="1">
      <c r="A232" s="15"/>
      <c r="B232" s="150" t="s">
        <v>125</v>
      </c>
      <c r="C232" s="129"/>
      <c r="D232" s="129"/>
      <c r="E232" s="129">
        <f>SUM(AH232:AK232)</f>
        <v>-54.209000000000003</v>
      </c>
      <c r="F232" s="129">
        <f>SUM(AL232:AO232)</f>
        <v>-102.883</v>
      </c>
      <c r="G232" s="129">
        <f>SUM(AP232:AS232)</f>
        <v>-109.901</v>
      </c>
      <c r="H232" s="129">
        <f>SUM(AT232:AW232)</f>
        <v>-109.985</v>
      </c>
      <c r="I232" s="129">
        <f>SUM(AX232:BA232)</f>
        <v>-161.17699999999999</v>
      </c>
      <c r="J232" s="129">
        <f>SUM(BB232:BE232)</f>
        <v>-266.29899999999998</v>
      </c>
      <c r="K232" s="129">
        <f>SUM(BF232:BI232)</f>
        <v>-122.95099999999999</v>
      </c>
      <c r="L232" s="129">
        <f>SUM(BJ232:BM232)</f>
        <v>-131.93199999999999</v>
      </c>
      <c r="M232" s="129">
        <f>SUM(BN232:BQ232)</f>
        <v>-184.66800000000001</v>
      </c>
      <c r="N232" s="129">
        <f>SUM(BR232:BU232)</f>
        <v>-312.06400000000002</v>
      </c>
      <c r="O232" s="129">
        <f>SUM(BV232:BY232)</f>
        <v>-246.30099999999999</v>
      </c>
      <c r="P232" s="18">
        <f>SUM(BZ232:CC232)</f>
        <v>-90.212000000000003</v>
      </c>
      <c r="Q232" s="18">
        <f>SUM(CD232:CG232)</f>
        <v>-86.805000000000007</v>
      </c>
      <c r="R232" s="18">
        <f>SUM(CH232:CK232)</f>
        <v>-528.90499999999997</v>
      </c>
      <c r="S232" s="18">
        <f>SUM(CL232:CO232)</f>
        <v>-894.21400000000006</v>
      </c>
      <c r="T232" s="18">
        <f>SUM(CP232:CS232)</f>
        <v>-705.63499999999999</v>
      </c>
      <c r="U232" s="129">
        <f>SUM(CT232:CW232)</f>
        <v>-880.75300000000004</v>
      </c>
      <c r="V232" s="129">
        <f>SUM(CX232:DA232)</f>
        <v>-329.572</v>
      </c>
      <c r="W232" s="129">
        <f>SUM(DB232:DE232)</f>
        <v>-694.26400000000001</v>
      </c>
      <c r="X232" s="129">
        <f t="shared" si="745"/>
        <v>-1097.68</v>
      </c>
      <c r="Y232" s="129">
        <f>SUM(DJ232:DM232)</f>
        <v>-809.06600000000003</v>
      </c>
      <c r="Z232" s="129">
        <f t="shared" ref="Z232:AF232" si="757">SUMIF($AH$5:$ER$5,Z$5,$AH232:$ER232)</f>
        <v>-952.89200000000005</v>
      </c>
      <c r="AA232" s="129">
        <f t="shared" si="757"/>
        <v>-1133.482</v>
      </c>
      <c r="AB232" s="129">
        <f t="shared" si="757"/>
        <v>-257.16899999999998</v>
      </c>
      <c r="AC232" s="129">
        <f t="shared" si="757"/>
        <v>-397.56700000000001</v>
      </c>
      <c r="AD232" s="129">
        <f t="shared" si="757"/>
        <v>-451.69799999999998</v>
      </c>
      <c r="AE232" s="129">
        <f t="shared" si="757"/>
        <v>-310</v>
      </c>
      <c r="AF232" s="144">
        <f t="shared" si="757"/>
        <v>-300</v>
      </c>
      <c r="AG232" s="96"/>
      <c r="AH232" s="134">
        <v>-10.929</v>
      </c>
      <c r="AI232" s="134">
        <f>-19.92-AH232</f>
        <v>-8.9910000000000014</v>
      </c>
      <c r="AJ232" s="134">
        <f>-30.017-SUM(AH232:AI232)</f>
        <v>-10.096999999999998</v>
      </c>
      <c r="AK232" s="134">
        <f>-54.209-SUM(AH232:AJ232)</f>
        <v>-24.192000000000004</v>
      </c>
      <c r="AL232" s="134">
        <v>-13.509</v>
      </c>
      <c r="AM232" s="134">
        <f>-28.505-AL232</f>
        <v>-14.995999999999999</v>
      </c>
      <c r="AN232" s="134">
        <f>-66.546-SUM(AL232:AM232)</f>
        <v>-38.041000000000011</v>
      </c>
      <c r="AO232" s="134">
        <f>-102.883-SUM(AL232:AN232)</f>
        <v>-36.336999999999989</v>
      </c>
      <c r="AP232" s="134">
        <v>-27.404</v>
      </c>
      <c r="AQ232" s="134">
        <f>-56.958-AP232</f>
        <v>-29.553999999999998</v>
      </c>
      <c r="AR232" s="134">
        <f>-88.345-SUM(AP232:AQ232)</f>
        <v>-31.387</v>
      </c>
      <c r="AS232" s="134">
        <f>-109.901-SUM(AP232:AR232)</f>
        <v>-21.555999999999997</v>
      </c>
      <c r="AT232" s="134">
        <v>-35.616</v>
      </c>
      <c r="AU232" s="134">
        <f>-55.423-AT232</f>
        <v>-19.807000000000002</v>
      </c>
      <c r="AV232" s="134">
        <f>-82.734-SUM(AT232:AU232)</f>
        <v>-27.310999999999993</v>
      </c>
      <c r="AW232" s="134">
        <f>-109.985-SUM(AT232:AV232)</f>
        <v>-27.251000000000005</v>
      </c>
      <c r="AX232" s="134">
        <v>-36.319000000000003</v>
      </c>
      <c r="AY232" s="134">
        <f>-63.337-AX232</f>
        <v>-27.018000000000001</v>
      </c>
      <c r="AZ232" s="134">
        <f>-101.445-SUM(AX232:AY232)</f>
        <v>-38.10799999999999</v>
      </c>
      <c r="BA232" s="134">
        <f>-161.177-SUM(AX232:AZ232)</f>
        <v>-59.731999999999999</v>
      </c>
      <c r="BB232" s="134">
        <v>-48.633000000000003</v>
      </c>
      <c r="BC232" s="134">
        <f>-101.387-BB232</f>
        <v>-52.753999999999998</v>
      </c>
      <c r="BD232" s="134">
        <f>-177.239-SUM(BB232:BC232)</f>
        <v>-75.852000000000004</v>
      </c>
      <c r="BE232" s="134">
        <f>-266.299-SUM(BB232:BD232)</f>
        <v>-89.059999999999974</v>
      </c>
      <c r="BF232" s="134">
        <v>-44.417999999999999</v>
      </c>
      <c r="BG232" s="134">
        <f>-74.002-BF232</f>
        <v>-29.583999999999996</v>
      </c>
      <c r="BH232" s="134">
        <f>-93.15-SUM(BF232:BG232)</f>
        <v>-19.14800000000001</v>
      </c>
      <c r="BI232" s="134">
        <f>-122.951-SUM(BF232:BH232)</f>
        <v>-29.800999999999988</v>
      </c>
      <c r="BJ232" s="134">
        <v>-22.376999999999999</v>
      </c>
      <c r="BK232" s="134">
        <f>-47.411-BJ232</f>
        <v>-25.034000000000002</v>
      </c>
      <c r="BL232" s="134">
        <f>-76.676-SUM(BJ232:BK232)</f>
        <v>-29.265000000000001</v>
      </c>
      <c r="BM232" s="134">
        <f>-131.932-SUM(BJ232:BL232)</f>
        <v>-55.255999999999986</v>
      </c>
      <c r="BN232" s="134">
        <v>-48.686999999999998</v>
      </c>
      <c r="BO232" s="134">
        <f>-110.503-BN232</f>
        <v>-61.816000000000003</v>
      </c>
      <c r="BP232" s="134">
        <f>-186.664-SUM(BN232:BO232)</f>
        <v>-76.160999999999987</v>
      </c>
      <c r="BQ232" s="134">
        <f>-184.668-SUM(BN232:BP232)</f>
        <v>1.9959999999999809</v>
      </c>
      <c r="BR232" s="134">
        <v>-62.991999999999997</v>
      </c>
      <c r="BS232" s="134">
        <f>-138.469-BR232</f>
        <v>-75.477000000000004</v>
      </c>
      <c r="BT232" s="134">
        <f>-214.923-SUM(BR232:BS232)</f>
        <v>-76.454000000000008</v>
      </c>
      <c r="BU232" s="134">
        <f>-312.064-SUM(BR232:BT232)</f>
        <v>-97.14100000000002</v>
      </c>
      <c r="BV232" s="134">
        <v>-69.254999999999995</v>
      </c>
      <c r="BW232" s="134">
        <f>-137.803-BV232</f>
        <v>-68.548000000000002</v>
      </c>
      <c r="BX232" s="134">
        <f>-201.381-SUM(BV232:BW232)</f>
        <v>-63.578000000000003</v>
      </c>
      <c r="BY232" s="134">
        <f>-246.301-SUM(BV232:BX232)</f>
        <v>-44.919999999999987</v>
      </c>
      <c r="BZ232" s="134">
        <v>-29.745999999999999</v>
      </c>
      <c r="CA232" s="134">
        <f>-52.657-BZ232</f>
        <v>-22.910999999999998</v>
      </c>
      <c r="CB232" s="134">
        <f>-70.536-SUM(BZ232:CA232)</f>
        <v>-17.879000000000005</v>
      </c>
      <c r="CC232" s="134">
        <f>-90.212-SUM(BZ232:CB232)</f>
        <v>-19.676000000000002</v>
      </c>
      <c r="CD232" s="134">
        <v>-10.507</v>
      </c>
      <c r="CE232" s="134">
        <f>-22.519-CD232</f>
        <v>-12.011999999999999</v>
      </c>
      <c r="CF232" s="134">
        <f>-50.409-SUM(CD232:CE232)</f>
        <v>-27.89</v>
      </c>
      <c r="CG232" s="134">
        <f>-86.805-SUM(CD232:CF232)</f>
        <v>-36.396000000000008</v>
      </c>
      <c r="CH232" s="134">
        <v>-53.654000000000003</v>
      </c>
      <c r="CI232" s="134">
        <f>-170.9-CH232</f>
        <v>-117.24600000000001</v>
      </c>
      <c r="CJ232" s="134">
        <f>-322.573-SUM(CH232:CI232)</f>
        <v>-151.67299999999997</v>
      </c>
      <c r="CK232" s="134">
        <f>-528.905-SUM(CH232:CJ232)</f>
        <v>-206.33199999999999</v>
      </c>
      <c r="CL232" s="134">
        <v>-187.48400000000001</v>
      </c>
      <c r="CM232" s="134">
        <f>-433.9-CL232</f>
        <v>-246.41599999999997</v>
      </c>
      <c r="CN232" s="134">
        <f>-681.149-SUM(CL232:CM232)</f>
        <v>-247.24900000000002</v>
      </c>
      <c r="CO232" s="134">
        <f>-894.214-SUM(CL232:CN232)</f>
        <v>-213.06500000000005</v>
      </c>
      <c r="CP232" s="134">
        <v>-149.84399999999999</v>
      </c>
      <c r="CQ232" s="134">
        <f>-321.711-CP232</f>
        <v>-171.86700000000002</v>
      </c>
      <c r="CR232" s="134">
        <f>-509.018-SUM(CP232:CQ232)</f>
        <v>-187.30699999999996</v>
      </c>
      <c r="CS232" s="134">
        <f>-705.635-SUM(CP232:CR232)</f>
        <v>-196.61700000000002</v>
      </c>
      <c r="CT232" s="134">
        <v>-250.381</v>
      </c>
      <c r="CU232" s="134">
        <f>-525.884-CT232</f>
        <v>-275.50300000000004</v>
      </c>
      <c r="CV232" s="134">
        <f>-738.411-SUM(CT232:CU232)</f>
        <v>-212.52699999999993</v>
      </c>
      <c r="CW232" s="134">
        <f>-880.753-SUM(CT232:CV232)</f>
        <v>-142.3420000000001</v>
      </c>
      <c r="CX232" s="134">
        <v>-64.754000000000005</v>
      </c>
      <c r="CY232" s="134">
        <f>-142.737-CX232</f>
        <v>-77.98299999999999</v>
      </c>
      <c r="CZ232" s="134">
        <f>-220.2-SUM(CX232:CY232)</f>
        <v>-77.462999999999994</v>
      </c>
      <c r="DA232" s="134">
        <f>-329.572-CZ232-CY232-CX232</f>
        <v>-109.37200000000003</v>
      </c>
      <c r="DB232" s="134">
        <f>-116.224</f>
        <v>-116.224</v>
      </c>
      <c r="DC232" s="134">
        <f>-286.251-DB232</f>
        <v>-170.02699999999999</v>
      </c>
      <c r="DD232" s="134">
        <f>-493.776-SUM(DB232:DC232)</f>
        <v>-207.52500000000003</v>
      </c>
      <c r="DE232" s="134">
        <f>-694.264-SUM(DB232:DD232)</f>
        <v>-200.488</v>
      </c>
      <c r="DF232" s="134">
        <v>-256.94299999999998</v>
      </c>
      <c r="DG232" s="134">
        <f>-492.701-DF232</f>
        <v>-235.75800000000004</v>
      </c>
      <c r="DH232" s="134">
        <f>-774.243-DG232-DF232</f>
        <v>-281.54200000000003</v>
      </c>
      <c r="DI232" s="134">
        <f>-1097.68-DH232-DG232-DF232</f>
        <v>-323.43700000000001</v>
      </c>
      <c r="DJ232" s="134">
        <v>-219.44399999999999</v>
      </c>
      <c r="DK232" s="134">
        <f>-438.473-DJ232</f>
        <v>-219.02900000000002</v>
      </c>
      <c r="DL232" s="134">
        <f>-618.55-DK232-DJ232</f>
        <v>-180.07699999999997</v>
      </c>
      <c r="DM232" s="134">
        <f>-809.066-DJ232-DK232-DL232</f>
        <v>-190.5160000000001</v>
      </c>
      <c r="DN232" s="130">
        <v>-140.643</v>
      </c>
      <c r="DO232" s="130">
        <f>-356.753-DN232</f>
        <v>-216.10999999999999</v>
      </c>
      <c r="DP232" s="130">
        <f>-622.028-DO232-DN232</f>
        <v>-265.27499999999998</v>
      </c>
      <c r="DQ232" s="130">
        <f>-952.892-DP232-DO232-DN232</f>
        <v>-330.86400000000003</v>
      </c>
      <c r="DR232" s="130">
        <v>-369.029</v>
      </c>
      <c r="DS232" s="130">
        <f>-763.365-DR232</f>
        <v>-394.33600000000001</v>
      </c>
      <c r="DT232" s="130">
        <f>-971.857-DS232-DR232</f>
        <v>-208.49199999999996</v>
      </c>
      <c r="DU232" s="130">
        <f>-1133.482-DT232-DS232-DR232</f>
        <v>-161.625</v>
      </c>
      <c r="DV232" s="130">
        <v>-114.47</v>
      </c>
      <c r="DW232" s="130">
        <f>-180.481-DV232</f>
        <v>-66.010999999999996</v>
      </c>
      <c r="DX232" s="130">
        <f>-219.549-DW232-DV232</f>
        <v>-39.068000000000012</v>
      </c>
      <c r="DY232" s="130">
        <f>-257.169-DX232-DW232-DV232</f>
        <v>-37.619999999999976</v>
      </c>
      <c r="DZ232" s="130">
        <v>-82.126999999999995</v>
      </c>
      <c r="EA232" s="130">
        <f>-175.303-DZ232</f>
        <v>-93.176000000000002</v>
      </c>
      <c r="EB232" s="130">
        <f>-300.275-EA232-DZ232</f>
        <v>-124.97199999999999</v>
      </c>
      <c r="EC232" s="130">
        <f>-397.567-EB232-EA232-DZ232</f>
        <v>-97.292000000000044</v>
      </c>
      <c r="ED232" s="130">
        <v>-91.697999999999993</v>
      </c>
      <c r="EE232" s="350">
        <f>-120-20*EE105</f>
        <v>-120</v>
      </c>
      <c r="EF232" s="350">
        <f>-120-20*EF105</f>
        <v>-120</v>
      </c>
      <c r="EG232" s="350">
        <f>-120-20*EG105</f>
        <v>-120</v>
      </c>
      <c r="EH232" s="350">
        <f>-80-20*EH105</f>
        <v>-80</v>
      </c>
      <c r="EI232" s="350">
        <f>-80-20*EI105</f>
        <v>-80</v>
      </c>
      <c r="EJ232" s="350">
        <f t="shared" ref="EJ232:EP232" si="758">-75-20*EJ105</f>
        <v>-75</v>
      </c>
      <c r="EK232" s="350">
        <f t="shared" si="758"/>
        <v>-75</v>
      </c>
      <c r="EL232" s="350">
        <f t="shared" si="758"/>
        <v>-75</v>
      </c>
      <c r="EM232" s="350">
        <f t="shared" si="758"/>
        <v>-75</v>
      </c>
      <c r="EN232" s="350">
        <f t="shared" si="758"/>
        <v>-75</v>
      </c>
      <c r="EO232" s="350">
        <f t="shared" si="758"/>
        <v>-75</v>
      </c>
      <c r="EP232" s="350">
        <f t="shared" si="758"/>
        <v>-75</v>
      </c>
      <c r="EQ232" s="129"/>
      <c r="ER232" s="129"/>
      <c r="ES232" s="355">
        <f t="shared" si="632"/>
        <v>227</v>
      </c>
      <c r="ET232"/>
      <c r="EU232"/>
      <c r="EV232"/>
      <c r="EW232"/>
      <c r="EX232"/>
      <c r="EY232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</row>
    <row r="233" spans="1:257" s="4" customFormat="1" ht="12.75" customHeight="1" outlineLevel="1">
      <c r="A233" s="15"/>
      <c r="B233" s="346" t="s">
        <v>124</v>
      </c>
      <c r="C233" s="347"/>
      <c r="D233" s="347"/>
      <c r="E233" s="347">
        <f t="shared" ref="E233:AF233" si="759">SUM(E231:E232)</f>
        <v>20.410000000000025</v>
      </c>
      <c r="F233" s="347">
        <f t="shared" si="759"/>
        <v>-22.974000000000018</v>
      </c>
      <c r="G233" s="347">
        <f t="shared" si="759"/>
        <v>-25.890999999999977</v>
      </c>
      <c r="H233" s="347">
        <f t="shared" si="759"/>
        <v>11.435000000000031</v>
      </c>
      <c r="I233" s="347">
        <f t="shared" si="759"/>
        <v>4.3940000000000055</v>
      </c>
      <c r="J233" s="347">
        <f t="shared" si="759"/>
        <v>-152.76599999999991</v>
      </c>
      <c r="K233" s="347">
        <f t="shared" si="759"/>
        <v>35.743000000000023</v>
      </c>
      <c r="L233" s="347">
        <f t="shared" si="759"/>
        <v>69.904000000000025</v>
      </c>
      <c r="M233" s="347">
        <f t="shared" si="759"/>
        <v>32.358999999999952</v>
      </c>
      <c r="N233" s="347">
        <f t="shared" si="759"/>
        <v>-160.291</v>
      </c>
      <c r="O233" s="347">
        <f t="shared" si="759"/>
        <v>-149.79700000000003</v>
      </c>
      <c r="P233" s="347">
        <f t="shared" si="759"/>
        <v>46.42800000000004</v>
      </c>
      <c r="Q233" s="347">
        <f t="shared" si="759"/>
        <v>125.43300000000008</v>
      </c>
      <c r="R233" s="347">
        <f t="shared" si="759"/>
        <v>-232.51499999999987</v>
      </c>
      <c r="S233" s="347">
        <f t="shared" si="759"/>
        <v>-333.14700000000073</v>
      </c>
      <c r="T233" s="347">
        <f t="shared" si="759"/>
        <v>-94.806999999999675</v>
      </c>
      <c r="U233" s="347">
        <f t="shared" si="759"/>
        <v>16.566000000000031</v>
      </c>
      <c r="V233" s="347">
        <f t="shared" si="759"/>
        <v>121.13700000000011</v>
      </c>
      <c r="W233" s="347">
        <f t="shared" si="759"/>
        <v>283.2879999999999</v>
      </c>
      <c r="X233" s="347">
        <f t="shared" si="759"/>
        <v>-97.34800000000007</v>
      </c>
      <c r="Y233" s="347">
        <f t="shared" si="759"/>
        <v>188.11899999999912</v>
      </c>
      <c r="Z233" s="347">
        <f t="shared" si="759"/>
        <v>165.68199999999911</v>
      </c>
      <c r="AA233" s="347">
        <f t="shared" si="759"/>
        <v>285.30893399999991</v>
      </c>
      <c r="AB233" s="347">
        <f t="shared" si="759"/>
        <v>496.428</v>
      </c>
      <c r="AC233" s="347">
        <f t="shared" si="759"/>
        <v>-40.349999999999966</v>
      </c>
      <c r="AD233" s="347">
        <f t="shared" si="759"/>
        <v>-11.544323151236142</v>
      </c>
      <c r="AE233" s="347">
        <f t="shared" si="759"/>
        <v>366.00438404170791</v>
      </c>
      <c r="AF233" s="143">
        <f t="shared" si="759"/>
        <v>470.73116466736428</v>
      </c>
      <c r="AG233" s="96"/>
      <c r="AH233" s="347">
        <f t="shared" ref="AH233:BM233" si="760">SUM(AH231:AH232)</f>
        <v>4.4079999999999995</v>
      </c>
      <c r="AI233" s="347">
        <f t="shared" si="760"/>
        <v>4.270999999999999</v>
      </c>
      <c r="AJ233" s="347">
        <f t="shared" si="760"/>
        <v>11.989000000000001</v>
      </c>
      <c r="AK233" s="347">
        <f t="shared" si="760"/>
        <v>-0.2579999999999778</v>
      </c>
      <c r="AL233" s="347">
        <f t="shared" si="760"/>
        <v>-2.5009999999999959</v>
      </c>
      <c r="AM233" s="347">
        <f t="shared" si="760"/>
        <v>16.710999999999991</v>
      </c>
      <c r="AN233" s="347">
        <f t="shared" si="760"/>
        <v>-21.216000000000001</v>
      </c>
      <c r="AO233" s="347">
        <f t="shared" si="760"/>
        <v>-15.968000000000028</v>
      </c>
      <c r="AP233" s="347">
        <f t="shared" si="760"/>
        <v>-6.769999999999996</v>
      </c>
      <c r="AQ233" s="347">
        <f t="shared" si="760"/>
        <v>0.79700000000000415</v>
      </c>
      <c r="AR233" s="347">
        <f t="shared" si="760"/>
        <v>-17.858000000000004</v>
      </c>
      <c r="AS233" s="347">
        <f t="shared" si="760"/>
        <v>-2.0600000000000129</v>
      </c>
      <c r="AT233" s="347">
        <f t="shared" si="760"/>
        <v>-11.171999999999986</v>
      </c>
      <c r="AU233" s="347">
        <f t="shared" si="760"/>
        <v>20.16299999999999</v>
      </c>
      <c r="AV233" s="347">
        <f t="shared" si="760"/>
        <v>-2.259999999999998</v>
      </c>
      <c r="AW233" s="347">
        <f t="shared" si="760"/>
        <v>4.704000000000029</v>
      </c>
      <c r="AX233" s="347">
        <f t="shared" si="760"/>
        <v>2.0420000000000087</v>
      </c>
      <c r="AY233" s="347">
        <f t="shared" si="760"/>
        <v>4.4990000000000059</v>
      </c>
      <c r="AZ233" s="347">
        <f t="shared" si="760"/>
        <v>2.5280000000000129</v>
      </c>
      <c r="BA233" s="347">
        <f t="shared" si="760"/>
        <v>-4.6749999999999403</v>
      </c>
      <c r="BB233" s="347">
        <f t="shared" si="760"/>
        <v>-16.448999999999998</v>
      </c>
      <c r="BC233" s="347">
        <f t="shared" si="760"/>
        <v>-26.19400000000001</v>
      </c>
      <c r="BD233" s="347">
        <f t="shared" si="760"/>
        <v>-42.445000000000007</v>
      </c>
      <c r="BE233" s="347">
        <f t="shared" si="760"/>
        <v>-67.677999999999841</v>
      </c>
      <c r="BF233" s="347">
        <f t="shared" si="760"/>
        <v>-28.304000000000013</v>
      </c>
      <c r="BG233" s="347">
        <f t="shared" si="760"/>
        <v>9.1120000000000161</v>
      </c>
      <c r="BH233" s="347">
        <f t="shared" si="760"/>
        <v>29.745999999999974</v>
      </c>
      <c r="BI233" s="347">
        <f t="shared" si="760"/>
        <v>25.189000000000078</v>
      </c>
      <c r="BJ233" s="347">
        <f t="shared" si="760"/>
        <v>21.982999999999993</v>
      </c>
      <c r="BK233" s="347">
        <f t="shared" si="760"/>
        <v>22.405000000000026</v>
      </c>
      <c r="BL233" s="347">
        <f t="shared" si="760"/>
        <v>18.899999999999977</v>
      </c>
      <c r="BM233" s="347">
        <f t="shared" si="760"/>
        <v>6.616000000000021</v>
      </c>
      <c r="BN233" s="347">
        <f t="shared" ref="BN233:CS233" si="761">SUM(BN231:BN232)</f>
        <v>15.682000000000002</v>
      </c>
      <c r="BO233" s="347">
        <f t="shared" si="761"/>
        <v>7.5540000000000163</v>
      </c>
      <c r="BP233" s="347">
        <f t="shared" si="761"/>
        <v>1.40300000000002</v>
      </c>
      <c r="BQ233" s="347">
        <f t="shared" si="761"/>
        <v>7.7199999999999713</v>
      </c>
      <c r="BR233" s="347">
        <f t="shared" si="761"/>
        <v>-34.43</v>
      </c>
      <c r="BS233" s="347">
        <f t="shared" si="761"/>
        <v>-35.221000000000004</v>
      </c>
      <c r="BT233" s="347">
        <f t="shared" si="761"/>
        <v>-43.349000000000011</v>
      </c>
      <c r="BU233" s="347">
        <f t="shared" si="761"/>
        <v>-47.291000000000018</v>
      </c>
      <c r="BV233" s="347">
        <f t="shared" si="761"/>
        <v>-42.22399999999999</v>
      </c>
      <c r="BW233" s="347">
        <f t="shared" si="761"/>
        <v>-56.499000000000002</v>
      </c>
      <c r="BX233" s="347">
        <f t="shared" si="761"/>
        <v>-36.853000000000016</v>
      </c>
      <c r="BY233" s="347">
        <f t="shared" si="761"/>
        <v>-14.220999999999986</v>
      </c>
      <c r="BZ233" s="347">
        <f t="shared" si="761"/>
        <v>-4.0100000000000051</v>
      </c>
      <c r="CA233" s="347">
        <f t="shared" si="761"/>
        <v>-11.474</v>
      </c>
      <c r="CB233" s="347">
        <f t="shared" si="761"/>
        <v>19.188000000000009</v>
      </c>
      <c r="CC233" s="347">
        <f t="shared" si="761"/>
        <v>42.724000000000018</v>
      </c>
      <c r="CD233" s="347">
        <f t="shared" si="761"/>
        <v>24.306000000000012</v>
      </c>
      <c r="CE233" s="347">
        <f t="shared" si="761"/>
        <v>31.090000000000003</v>
      </c>
      <c r="CF233" s="347">
        <f t="shared" si="761"/>
        <v>24.197000000000003</v>
      </c>
      <c r="CG233" s="347">
        <f t="shared" si="761"/>
        <v>45.840000000000025</v>
      </c>
      <c r="CH233" s="347">
        <f t="shared" si="761"/>
        <v>6.82</v>
      </c>
      <c r="CI233" s="347">
        <f t="shared" si="761"/>
        <v>-39.92000000000003</v>
      </c>
      <c r="CJ233" s="347">
        <f t="shared" si="761"/>
        <v>-71.55799999999995</v>
      </c>
      <c r="CK233" s="347">
        <f t="shared" si="761"/>
        <v>-127.85699999999997</v>
      </c>
      <c r="CL233" s="347">
        <f t="shared" si="761"/>
        <v>-49.666000000000025</v>
      </c>
      <c r="CM233" s="347">
        <f t="shared" si="761"/>
        <v>-138.36900000000003</v>
      </c>
      <c r="CN233" s="347">
        <f t="shared" si="761"/>
        <v>-107.71500000000009</v>
      </c>
      <c r="CO233" s="347">
        <f t="shared" si="761"/>
        <v>-37.39700000000002</v>
      </c>
      <c r="CP233" s="347">
        <f t="shared" si="761"/>
        <v>-38.952999999999932</v>
      </c>
      <c r="CQ233" s="347">
        <f t="shared" si="761"/>
        <v>-19.503000000000071</v>
      </c>
      <c r="CR233" s="347">
        <f t="shared" si="761"/>
        <v>-6.9739999999999327</v>
      </c>
      <c r="CS233" s="347">
        <f t="shared" si="761"/>
        <v>-29.377000000000095</v>
      </c>
      <c r="CT233" s="347">
        <f t="shared" ref="CT233:DY233" si="762">SUM(CT231:CT232)</f>
        <v>4.1979999999999222</v>
      </c>
      <c r="CU233" s="347">
        <f t="shared" si="762"/>
        <v>-39.594000000000079</v>
      </c>
      <c r="CV233" s="347">
        <f t="shared" si="762"/>
        <v>7.5280000000001337</v>
      </c>
      <c r="CW233" s="347">
        <f t="shared" si="762"/>
        <v>44.433999999999912</v>
      </c>
      <c r="CX233" s="347">
        <f t="shared" si="762"/>
        <v>55.396000000000072</v>
      </c>
      <c r="CY233" s="347">
        <f t="shared" si="762"/>
        <v>7.798999999999964</v>
      </c>
      <c r="CZ233" s="347">
        <f t="shared" si="762"/>
        <v>45.178000000000026</v>
      </c>
      <c r="DA233" s="347">
        <f t="shared" si="762"/>
        <v>12.764000000000038</v>
      </c>
      <c r="DB233" s="347">
        <f t="shared" si="762"/>
        <v>122.43099999999988</v>
      </c>
      <c r="DC233" s="347">
        <f t="shared" si="762"/>
        <v>43.064999999999998</v>
      </c>
      <c r="DD233" s="347">
        <f t="shared" si="762"/>
        <v>37.170999999999879</v>
      </c>
      <c r="DE233" s="347">
        <f t="shared" si="762"/>
        <v>80.621000000000038</v>
      </c>
      <c r="DF233" s="347">
        <f t="shared" si="762"/>
        <v>-20.304999999999978</v>
      </c>
      <c r="DG233" s="347">
        <f t="shared" si="762"/>
        <v>-33.574000000000041</v>
      </c>
      <c r="DH233" s="347">
        <f t="shared" si="762"/>
        <v>-107.38600000000011</v>
      </c>
      <c r="DI233" s="347">
        <f t="shared" si="762"/>
        <v>63.91700000000003</v>
      </c>
      <c r="DJ233" s="347">
        <f t="shared" si="762"/>
        <v>122.47800000000004</v>
      </c>
      <c r="DK233" s="347">
        <f t="shared" si="762"/>
        <v>-66.638000000000062</v>
      </c>
      <c r="DL233" s="347">
        <f t="shared" si="762"/>
        <v>87.253000000000071</v>
      </c>
      <c r="DM233" s="347">
        <f t="shared" si="762"/>
        <v>45.025999999999812</v>
      </c>
      <c r="DN233" s="351">
        <f t="shared" si="762"/>
        <v>164.215</v>
      </c>
      <c r="DO233" s="351">
        <f t="shared" si="762"/>
        <v>19.061999999999983</v>
      </c>
      <c r="DP233" s="351">
        <f t="shared" si="762"/>
        <v>-7.3799999999999955</v>
      </c>
      <c r="DQ233" s="351">
        <f t="shared" si="762"/>
        <v>-10.215000000000089</v>
      </c>
      <c r="DR233" s="351">
        <f t="shared" si="762"/>
        <v>20.678000000000168</v>
      </c>
      <c r="DS233" s="351">
        <f t="shared" si="762"/>
        <v>28.55493400000006</v>
      </c>
      <c r="DT233" s="351">
        <f t="shared" si="762"/>
        <v>126.49000000000007</v>
      </c>
      <c r="DU233" s="351">
        <f t="shared" si="762"/>
        <v>109.58599999999984</v>
      </c>
      <c r="DV233" s="351">
        <f t="shared" si="762"/>
        <v>193.72600000000008</v>
      </c>
      <c r="DW233" s="351">
        <f t="shared" si="762"/>
        <v>118.30999999999992</v>
      </c>
      <c r="DX233" s="351">
        <f t="shared" si="762"/>
        <v>83.825000000000074</v>
      </c>
      <c r="DY233" s="351">
        <f t="shared" si="762"/>
        <v>100.56699999999998</v>
      </c>
      <c r="DZ233" s="351">
        <f t="shared" ref="DZ233:EP233" si="763">SUM(DZ231:DZ232)</f>
        <v>-11.439999999999998</v>
      </c>
      <c r="EA233" s="351">
        <f t="shared" si="763"/>
        <v>-17.503999999999991</v>
      </c>
      <c r="EB233" s="351">
        <f t="shared" si="763"/>
        <v>-35.197000000000003</v>
      </c>
      <c r="EC233" s="351">
        <f t="shared" si="763"/>
        <v>23.79099999999994</v>
      </c>
      <c r="ED233" s="351">
        <f t="shared" si="763"/>
        <v>-19.48299999999999</v>
      </c>
      <c r="EE233" s="347">
        <f t="shared" si="763"/>
        <v>-3.9333053242095559</v>
      </c>
      <c r="EF233" s="347">
        <f t="shared" si="763"/>
        <v>-3.2862827082441157</v>
      </c>
      <c r="EG233" s="347">
        <f t="shared" si="763"/>
        <v>15.158264881217292</v>
      </c>
      <c r="EH233" s="347">
        <f t="shared" si="763"/>
        <v>74.888672199277778</v>
      </c>
      <c r="EI233" s="347">
        <f t="shared" si="763"/>
        <v>77.284156689517573</v>
      </c>
      <c r="EJ233" s="347">
        <f t="shared" si="763"/>
        <v>103.67470119263865</v>
      </c>
      <c r="EK233" s="347">
        <f t="shared" si="763"/>
        <v>110.15685396027391</v>
      </c>
      <c r="EL233" s="347">
        <f t="shared" si="763"/>
        <v>106.83087697346153</v>
      </c>
      <c r="EM233" s="347">
        <f t="shared" si="763"/>
        <v>119.79918227482685</v>
      </c>
      <c r="EN233" s="347">
        <f t="shared" si="763"/>
        <v>120.58791010968568</v>
      </c>
      <c r="EO233" s="347">
        <f t="shared" si="763"/>
        <v>123.51319530939031</v>
      </c>
      <c r="EP233" s="347">
        <f t="shared" si="763"/>
        <v>118.46372000674708</v>
      </c>
      <c r="EQ233" s="143"/>
      <c r="ER233" s="143"/>
      <c r="ES233" s="355">
        <f t="shared" si="632"/>
        <v>228</v>
      </c>
      <c r="ET233"/>
      <c r="EU233"/>
      <c r="EV233"/>
      <c r="EW233"/>
      <c r="EX233"/>
      <c r="EY233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</row>
    <row r="234" spans="1:257" s="4" customFormat="1" ht="12.75" customHeight="1" outlineLevel="1">
      <c r="A234" s="15"/>
      <c r="B234" s="28" t="s">
        <v>123</v>
      </c>
      <c r="C234" s="129"/>
      <c r="D234" s="129"/>
      <c r="E234" s="129">
        <f t="shared" ref="E234:E243" si="764">SUM(AH234:AK234)</f>
        <v>4.8010000000000002</v>
      </c>
      <c r="F234" s="129">
        <f t="shared" ref="F234:F243" si="765">SUM(AL234:AO234)</f>
        <v>5.9710000000000001</v>
      </c>
      <c r="G234" s="129">
        <f t="shared" ref="G234:G243" si="766">SUM(AP234:AS234)</f>
        <v>2.923</v>
      </c>
      <c r="H234" s="129">
        <f t="shared" ref="H234:H243" si="767">SUM(AT234:AW234)</f>
        <v>3.9870000000000001</v>
      </c>
      <c r="I234" s="129">
        <f t="shared" ref="I234:I243" si="768">SUM(AX234:BA234)</f>
        <v>9.4320000000000004</v>
      </c>
      <c r="J234" s="129">
        <f t="shared" ref="J234:J243" si="769">SUM(BB234:BE234)</f>
        <v>15.414</v>
      </c>
      <c r="K234" s="129">
        <f t="shared" ref="K234:K243" si="770">SUM(BF234:BI234)</f>
        <v>9.99</v>
      </c>
      <c r="L234" s="129">
        <f t="shared" ref="L234:L243" si="771">SUM(BJ234:BM234)</f>
        <v>18.044</v>
      </c>
      <c r="M234" s="129">
        <f t="shared" ref="M234:M243" si="772">SUM(BN234:BQ234)</f>
        <v>11.984</v>
      </c>
      <c r="N234" s="129">
        <f t="shared" ref="N234:N243" si="773">SUM(BR234:BU234)</f>
        <v>4.1349999999999998</v>
      </c>
      <c r="O234" s="129">
        <f t="shared" ref="O234:O243" si="774">SUM(BV234:BY234)</f>
        <v>6.72</v>
      </c>
      <c r="P234" s="129">
        <f t="shared" ref="P234:P243" si="775">SUM(BZ234:CC234)</f>
        <v>7.9409999999999989</v>
      </c>
      <c r="Q234" s="129">
        <f t="shared" ref="Q234:Q243" si="776">SUM(CD234:CG234)</f>
        <v>28.992000000000001</v>
      </c>
      <c r="R234" s="129">
        <f t="shared" ref="R234:R243" si="777">SUM(CH234:CK234)</f>
        <v>11.778</v>
      </c>
      <c r="S234" s="129">
        <f t="shared" ref="S234:S243" si="778">SUM(CL234:CO234)</f>
        <v>51.567999999999998</v>
      </c>
      <c r="T234" s="129">
        <f t="shared" ref="T234:T243" si="779">SUM(CP234:CS234)</f>
        <v>22.908000000000001</v>
      </c>
      <c r="U234" s="129">
        <f t="shared" ref="U234:U243" si="780">SUM(CT234:CW234)</f>
        <v>8.6989999999999998</v>
      </c>
      <c r="V234" s="129">
        <f t="shared" ref="V234:V243" si="781">SUM(CX234:DA234)</f>
        <v>20.382999999999999</v>
      </c>
      <c r="W234" s="129">
        <f t="shared" ref="W234:W243" si="782">SUM(DB234:DE234)</f>
        <v>26.795000000000002</v>
      </c>
      <c r="X234" s="129">
        <f t="shared" ref="X234:X243" si="783">SUM(DF234:DI234)</f>
        <v>39.893999999999998</v>
      </c>
      <c r="Y234" s="129">
        <f t="shared" ref="Y234:Y243" si="784">SUM(DJ234:DM234)</f>
        <v>28.026000000000003</v>
      </c>
      <c r="Z234" s="129">
        <f t="shared" ref="Z234:AF243" si="785">SUMIF($AH$5:$ER$5,Z$5,$AH234:$ER234)</f>
        <v>30.77</v>
      </c>
      <c r="AA234" s="129">
        <f t="shared" si="785"/>
        <v>22.501000000000005</v>
      </c>
      <c r="AB234" s="129">
        <f t="shared" si="785"/>
        <v>21.844999999999999</v>
      </c>
      <c r="AC234" s="129">
        <f t="shared" si="785"/>
        <v>23.411999999999999</v>
      </c>
      <c r="AD234" s="129">
        <f t="shared" si="785"/>
        <v>8.7490000000000006</v>
      </c>
      <c r="AE234" s="129">
        <f t="shared" si="785"/>
        <v>0</v>
      </c>
      <c r="AF234" s="129">
        <f t="shared" si="785"/>
        <v>0</v>
      </c>
      <c r="AG234" s="96"/>
      <c r="AH234" s="138">
        <v>0.4</v>
      </c>
      <c r="AI234" s="138">
        <v>0.55399999999999994</v>
      </c>
      <c r="AJ234" s="138">
        <v>2.3239999999999998</v>
      </c>
      <c r="AK234" s="138">
        <v>1.5230000000000006</v>
      </c>
      <c r="AL234" s="138">
        <v>0.94899999999999995</v>
      </c>
      <c r="AM234" s="139">
        <v>1.3160000000000003</v>
      </c>
      <c r="AN234" s="138">
        <v>0.69700000000000006</v>
      </c>
      <c r="AO234" s="138">
        <v>3.0089999999999999</v>
      </c>
      <c r="AP234" s="138">
        <v>0.64400000000000002</v>
      </c>
      <c r="AQ234" s="139">
        <v>0.47899999999999998</v>
      </c>
      <c r="AR234" s="138">
        <v>1.0330000000000001</v>
      </c>
      <c r="AS234" s="138">
        <v>0.7669999999999999</v>
      </c>
      <c r="AT234" s="138">
        <v>7.1999999999999995E-2</v>
      </c>
      <c r="AU234" s="139">
        <v>1.113</v>
      </c>
      <c r="AV234" s="138">
        <v>0.89299999999999979</v>
      </c>
      <c r="AW234" s="138">
        <v>1.9090000000000003</v>
      </c>
      <c r="AX234" s="138">
        <v>1.2829999999999999</v>
      </c>
      <c r="AY234" s="138">
        <v>2.7500000000000004</v>
      </c>
      <c r="AZ234" s="138">
        <v>1.7409999999999997</v>
      </c>
      <c r="BA234" s="138">
        <v>3.6580000000000004</v>
      </c>
      <c r="BB234" s="138">
        <v>10.756</v>
      </c>
      <c r="BC234" s="138">
        <v>1.2430000000000003</v>
      </c>
      <c r="BD234" s="138">
        <v>2.4529999999999994</v>
      </c>
      <c r="BE234" s="138">
        <v>0.96199999999999974</v>
      </c>
      <c r="BF234" s="138">
        <v>6.2480000000000002</v>
      </c>
      <c r="BG234" s="138">
        <v>0.94700000000000006</v>
      </c>
      <c r="BH234" s="138">
        <v>2.2099999999999991</v>
      </c>
      <c r="BI234" s="138">
        <v>0.58500000000000085</v>
      </c>
      <c r="BJ234" s="138">
        <v>0.30399999999999999</v>
      </c>
      <c r="BK234" s="138">
        <v>0.96599999999999997</v>
      </c>
      <c r="BL234" s="138">
        <v>2.3689999999999998</v>
      </c>
      <c r="BM234" s="138">
        <v>14.405000000000001</v>
      </c>
      <c r="BN234" s="138">
        <v>4.4880000000000004</v>
      </c>
      <c r="BO234" s="138">
        <v>2.9069999999999991</v>
      </c>
      <c r="BP234" s="138">
        <v>3.0810000000000013</v>
      </c>
      <c r="BQ234" s="138">
        <v>1.5079999999999991</v>
      </c>
      <c r="BR234" s="138">
        <v>0.92800000000000005</v>
      </c>
      <c r="BS234" s="138">
        <v>0.73799999999999988</v>
      </c>
      <c r="BT234" s="138">
        <v>1.6150000000000002</v>
      </c>
      <c r="BU234" s="138">
        <v>0.85399999999999965</v>
      </c>
      <c r="BV234" s="138">
        <v>0.35099999999999998</v>
      </c>
      <c r="BW234" s="138">
        <v>-3.4999999999999976E-2</v>
      </c>
      <c r="BX234" s="138">
        <v>3.5609999999999999</v>
      </c>
      <c r="BY234" s="138">
        <v>2.843</v>
      </c>
      <c r="BZ234" s="138">
        <v>1.2949999999999999</v>
      </c>
      <c r="CA234" s="138">
        <v>1.6120000000000001</v>
      </c>
      <c r="CB234" s="138">
        <v>0.37299999999999978</v>
      </c>
      <c r="CC234" s="138">
        <v>4.6609999999999996</v>
      </c>
      <c r="CD234" s="138">
        <v>25.155999999999999</v>
      </c>
      <c r="CE234" s="138">
        <v>1.2989999999999995</v>
      </c>
      <c r="CF234" s="138">
        <v>0.90900000000000247</v>
      </c>
      <c r="CG234" s="138">
        <v>1.6280000000000001</v>
      </c>
      <c r="CH234" s="138">
        <v>1.468</v>
      </c>
      <c r="CI234" s="138">
        <v>6.4550000000000001</v>
      </c>
      <c r="CJ234" s="138">
        <v>2.0990000000000002</v>
      </c>
      <c r="CK234" s="138">
        <v>1.7560000000000002</v>
      </c>
      <c r="CL234" s="138">
        <v>0.68100000000000005</v>
      </c>
      <c r="CM234" s="61">
        <v>37.266000000000005</v>
      </c>
      <c r="CN234" s="138">
        <v>7.5790000000000006</v>
      </c>
      <c r="CO234" s="138">
        <v>6.0419999999999945</v>
      </c>
      <c r="CP234" s="138">
        <v>1.3859999999999999</v>
      </c>
      <c r="CQ234" s="61">
        <v>2.282</v>
      </c>
      <c r="CR234" s="138">
        <v>2.4089999999999998</v>
      </c>
      <c r="CS234" s="138">
        <v>16.831000000000003</v>
      </c>
      <c r="CT234" s="138">
        <v>1.411</v>
      </c>
      <c r="CU234" s="138">
        <v>2.9220000000000002</v>
      </c>
      <c r="CV234" s="138">
        <v>2.3730000000000002</v>
      </c>
      <c r="CW234" s="138">
        <v>1.9929999999999994</v>
      </c>
      <c r="CX234" s="138">
        <v>2.4860000000000002</v>
      </c>
      <c r="CY234" s="138">
        <v>13.98</v>
      </c>
      <c r="CZ234" s="138">
        <v>-10.169</v>
      </c>
      <c r="DA234" s="138">
        <v>14.085999999999999</v>
      </c>
      <c r="DB234" s="138">
        <v>3.028</v>
      </c>
      <c r="DC234" s="138">
        <v>13.993999999999998</v>
      </c>
      <c r="DD234" s="138">
        <v>4.7160000000000011</v>
      </c>
      <c r="DE234" s="138">
        <v>5.0570000000000022</v>
      </c>
      <c r="DF234" s="138">
        <v>10.154999999999999</v>
      </c>
      <c r="DG234" s="138">
        <v>15.388</v>
      </c>
      <c r="DH234" s="138">
        <v>6.2950000000000035</v>
      </c>
      <c r="DI234" s="138">
        <v>8.0559999999999992</v>
      </c>
      <c r="DJ234" s="138">
        <v>7.4139999999999997</v>
      </c>
      <c r="DK234" s="138">
        <v>8.7370000000000001</v>
      </c>
      <c r="DL234" s="138">
        <v>5.5779999999999994</v>
      </c>
      <c r="DM234" s="138">
        <v>6.2970000000000024</v>
      </c>
      <c r="DN234" s="140">
        <v>7.9130000000000003</v>
      </c>
      <c r="DO234" s="140">
        <v>13.321</v>
      </c>
      <c r="DP234" s="140">
        <v>0.25099999999999767</v>
      </c>
      <c r="DQ234" s="140">
        <v>9.2850000000000001</v>
      </c>
      <c r="DR234" s="140">
        <v>7.125</v>
      </c>
      <c r="DS234" s="140">
        <v>8.0890000000000004</v>
      </c>
      <c r="DT234" s="140">
        <v>2.5909999999999993</v>
      </c>
      <c r="DU234" s="140">
        <v>4.6960000000000033</v>
      </c>
      <c r="DV234" s="140">
        <v>6.0579999999999998</v>
      </c>
      <c r="DW234" s="140">
        <v>3.657</v>
      </c>
      <c r="DX234" s="140">
        <v>3.0890000000000004</v>
      </c>
      <c r="DY234" s="140">
        <v>9.0410000000000004</v>
      </c>
      <c r="DZ234" s="140">
        <v>1.2090000000000001</v>
      </c>
      <c r="EA234" s="140">
        <f>13.459-DZ234</f>
        <v>12.25</v>
      </c>
      <c r="EB234" s="140">
        <f>17.921-EA234-DZ234</f>
        <v>4.4619999999999997</v>
      </c>
      <c r="EC234" s="140">
        <f>23.412-EB234-EA234-DZ234</f>
        <v>5.4909999999999997</v>
      </c>
      <c r="ED234" s="140">
        <v>8.7490000000000006</v>
      </c>
      <c r="EE234" s="142">
        <v>0</v>
      </c>
      <c r="EF234" s="142">
        <v>0</v>
      </c>
      <c r="EG234" s="142">
        <v>0</v>
      </c>
      <c r="EH234" s="142">
        <v>0</v>
      </c>
      <c r="EI234" s="142">
        <v>0</v>
      </c>
      <c r="EJ234" s="142">
        <v>0</v>
      </c>
      <c r="EK234" s="142">
        <v>0</v>
      </c>
      <c r="EL234" s="142">
        <v>0</v>
      </c>
      <c r="EM234" s="142">
        <v>0</v>
      </c>
      <c r="EN234" s="142">
        <v>0</v>
      </c>
      <c r="EO234" s="142">
        <v>0</v>
      </c>
      <c r="EP234" s="142">
        <v>0</v>
      </c>
      <c r="EQ234" s="5"/>
      <c r="ER234" s="5"/>
      <c r="ES234" s="355">
        <f t="shared" si="632"/>
        <v>229</v>
      </c>
      <c r="ET234"/>
      <c r="EU234"/>
      <c r="EV234"/>
      <c r="EW234"/>
      <c r="EX234"/>
      <c r="EY234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</row>
    <row r="235" spans="1:257" s="4" customFormat="1" ht="12.75" customHeight="1" outlineLevel="1">
      <c r="A235" s="15"/>
      <c r="B235" s="28" t="s">
        <v>122</v>
      </c>
      <c r="C235" s="129"/>
      <c r="D235" s="129"/>
      <c r="E235" s="129">
        <f t="shared" si="764"/>
        <v>0</v>
      </c>
      <c r="F235" s="129">
        <f t="shared" si="765"/>
        <v>0</v>
      </c>
      <c r="G235" s="129">
        <f t="shared" si="766"/>
        <v>0</v>
      </c>
      <c r="H235" s="129">
        <f t="shared" si="767"/>
        <v>0</v>
      </c>
      <c r="I235" s="129">
        <f t="shared" si="768"/>
        <v>0</v>
      </c>
      <c r="J235" s="129">
        <f t="shared" si="769"/>
        <v>0</v>
      </c>
      <c r="K235" s="129">
        <f t="shared" si="770"/>
        <v>0</v>
      </c>
      <c r="L235" s="129">
        <f t="shared" si="771"/>
        <v>0</v>
      </c>
      <c r="M235" s="129">
        <f t="shared" si="772"/>
        <v>-2.2789999999999999</v>
      </c>
      <c r="N235" s="129">
        <f t="shared" si="773"/>
        <v>0</v>
      </c>
      <c r="O235" s="129">
        <f t="shared" si="774"/>
        <v>0</v>
      </c>
      <c r="P235" s="129">
        <f t="shared" si="775"/>
        <v>0</v>
      </c>
      <c r="Q235" s="129">
        <f t="shared" si="776"/>
        <v>0</v>
      </c>
      <c r="R235" s="129">
        <f t="shared" si="777"/>
        <v>0</v>
      </c>
      <c r="S235" s="129">
        <f t="shared" si="778"/>
        <v>0</v>
      </c>
      <c r="T235" s="129">
        <f t="shared" si="779"/>
        <v>-12.041</v>
      </c>
      <c r="U235" s="129">
        <f t="shared" si="780"/>
        <v>0</v>
      </c>
      <c r="V235" s="129">
        <f t="shared" si="781"/>
        <v>0</v>
      </c>
      <c r="W235" s="129">
        <f t="shared" si="782"/>
        <v>-4</v>
      </c>
      <c r="X235" s="129">
        <f t="shared" si="783"/>
        <v>0</v>
      </c>
      <c r="Y235" s="129">
        <f t="shared" si="784"/>
        <v>0</v>
      </c>
      <c r="Z235" s="129">
        <f t="shared" si="785"/>
        <v>0</v>
      </c>
      <c r="AA235" s="129">
        <f t="shared" si="785"/>
        <v>0</v>
      </c>
      <c r="AB235" s="129">
        <f t="shared" si="785"/>
        <v>0</v>
      </c>
      <c r="AC235" s="129">
        <f t="shared" si="785"/>
        <v>-70.415999999999997</v>
      </c>
      <c r="AD235" s="129">
        <f t="shared" si="785"/>
        <v>-47.832000000000001</v>
      </c>
      <c r="AE235" s="129">
        <f t="shared" si="785"/>
        <v>0</v>
      </c>
      <c r="AF235" s="129">
        <f t="shared" si="785"/>
        <v>0</v>
      </c>
      <c r="AG235" s="96"/>
      <c r="AH235" s="138">
        <v>0</v>
      </c>
      <c r="AI235" s="138">
        <v>0</v>
      </c>
      <c r="AJ235" s="138">
        <v>0</v>
      </c>
      <c r="AK235" s="138">
        <v>0</v>
      </c>
      <c r="AL235" s="138">
        <v>0</v>
      </c>
      <c r="AM235" s="139">
        <v>0</v>
      </c>
      <c r="AN235" s="138">
        <v>0</v>
      </c>
      <c r="AO235" s="138">
        <v>0</v>
      </c>
      <c r="AP235" s="138">
        <v>0</v>
      </c>
      <c r="AQ235" s="139">
        <v>0</v>
      </c>
      <c r="AR235" s="138">
        <v>0</v>
      </c>
      <c r="AS235" s="138">
        <v>0</v>
      </c>
      <c r="AT235" s="138">
        <v>0</v>
      </c>
      <c r="AU235" s="139">
        <v>0</v>
      </c>
      <c r="AV235" s="138">
        <v>0</v>
      </c>
      <c r="AW235" s="138">
        <v>0</v>
      </c>
      <c r="AX235" s="138">
        <v>0</v>
      </c>
      <c r="AY235" s="138">
        <v>0</v>
      </c>
      <c r="AZ235" s="138">
        <v>0</v>
      </c>
      <c r="BA235" s="138">
        <v>0</v>
      </c>
      <c r="BB235" s="138">
        <v>0</v>
      </c>
      <c r="BC235" s="138">
        <v>0</v>
      </c>
      <c r="BD235" s="138">
        <v>0</v>
      </c>
      <c r="BE235" s="138">
        <v>0</v>
      </c>
      <c r="BF235" s="138">
        <v>0</v>
      </c>
      <c r="BG235" s="138">
        <v>0</v>
      </c>
      <c r="BH235" s="138">
        <v>0</v>
      </c>
      <c r="BI235" s="138">
        <v>0</v>
      </c>
      <c r="BJ235" s="138">
        <v>0</v>
      </c>
      <c r="BK235" s="138">
        <v>0</v>
      </c>
      <c r="BL235" s="138">
        <v>0</v>
      </c>
      <c r="BM235" s="138">
        <v>0</v>
      </c>
      <c r="BN235" s="138">
        <v>0</v>
      </c>
      <c r="BO235" s="138">
        <v>0</v>
      </c>
      <c r="BP235" s="138">
        <v>0</v>
      </c>
      <c r="BQ235" s="138">
        <v>-2.2789999999999999</v>
      </c>
      <c r="BR235" s="138">
        <v>0</v>
      </c>
      <c r="BS235" s="138">
        <v>0</v>
      </c>
      <c r="BT235" s="138">
        <v>0</v>
      </c>
      <c r="BU235" s="138">
        <v>0</v>
      </c>
      <c r="BV235" s="138">
        <v>0</v>
      </c>
      <c r="BW235" s="138">
        <v>0</v>
      </c>
      <c r="BX235" s="138">
        <v>0</v>
      </c>
      <c r="BY235" s="138">
        <v>0</v>
      </c>
      <c r="BZ235" s="138">
        <v>0</v>
      </c>
      <c r="CA235" s="138">
        <v>0</v>
      </c>
      <c r="CB235" s="138">
        <v>0</v>
      </c>
      <c r="CC235" s="138">
        <v>0</v>
      </c>
      <c r="CD235" s="138">
        <v>0</v>
      </c>
      <c r="CE235" s="138">
        <v>0</v>
      </c>
      <c r="CF235" s="138">
        <v>0</v>
      </c>
      <c r="CG235" s="138">
        <v>0</v>
      </c>
      <c r="CH235" s="138">
        <v>0</v>
      </c>
      <c r="CI235" s="138">
        <v>0</v>
      </c>
      <c r="CJ235" s="138">
        <v>0</v>
      </c>
      <c r="CK235" s="138">
        <v>0</v>
      </c>
      <c r="CL235" s="138">
        <v>0</v>
      </c>
      <c r="CM235" s="138">
        <v>0</v>
      </c>
      <c r="CN235" s="138">
        <v>0</v>
      </c>
      <c r="CO235" s="138">
        <v>0</v>
      </c>
      <c r="CP235" s="138">
        <v>0</v>
      </c>
      <c r="CQ235" s="138">
        <v>0</v>
      </c>
      <c r="CR235" s="138">
        <v>-12.023999999999999</v>
      </c>
      <c r="CS235" s="138">
        <v>-1.7000000000001236E-2</v>
      </c>
      <c r="CT235" s="138">
        <v>0</v>
      </c>
      <c r="CU235" s="138">
        <v>0</v>
      </c>
      <c r="CV235" s="138">
        <v>0</v>
      </c>
      <c r="CW235" s="138">
        <v>0</v>
      </c>
      <c r="CX235" s="138">
        <v>0</v>
      </c>
      <c r="CY235" s="138">
        <v>0</v>
      </c>
      <c r="CZ235" s="138">
        <v>0</v>
      </c>
      <c r="DA235" s="138">
        <v>0</v>
      </c>
      <c r="DB235" s="138">
        <v>-4</v>
      </c>
      <c r="DC235" s="138">
        <v>0</v>
      </c>
      <c r="DD235" s="138">
        <v>0</v>
      </c>
      <c r="DE235" s="138">
        <v>0</v>
      </c>
      <c r="DF235" s="138">
        <v>0</v>
      </c>
      <c r="DG235" s="138">
        <v>0</v>
      </c>
      <c r="DH235" s="138">
        <v>0</v>
      </c>
      <c r="DI235" s="138">
        <v>0</v>
      </c>
      <c r="DJ235" s="138">
        <v>0</v>
      </c>
      <c r="DK235" s="138">
        <v>0</v>
      </c>
      <c r="DL235" s="138">
        <v>0</v>
      </c>
      <c r="DM235" s="138">
        <v>0</v>
      </c>
      <c r="DN235" s="140">
        <v>0</v>
      </c>
      <c r="DO235" s="140">
        <v>0</v>
      </c>
      <c r="DP235" s="140">
        <v>0</v>
      </c>
      <c r="DQ235" s="140">
        <v>0</v>
      </c>
      <c r="DR235" s="140">
        <v>0</v>
      </c>
      <c r="DS235" s="140">
        <v>0</v>
      </c>
      <c r="DT235" s="140">
        <v>0</v>
      </c>
      <c r="DU235" s="140">
        <v>0</v>
      </c>
      <c r="DV235" s="140">
        <v>0</v>
      </c>
      <c r="DW235" s="140">
        <v>0</v>
      </c>
      <c r="DX235" s="140">
        <v>0</v>
      </c>
      <c r="DY235" s="140">
        <v>0</v>
      </c>
      <c r="DZ235" s="140">
        <v>0</v>
      </c>
      <c r="EA235" s="140">
        <v>0</v>
      </c>
      <c r="EB235" s="140">
        <f>-70.416-EA235-DZ235</f>
        <v>-70.415999999999997</v>
      </c>
      <c r="EC235" s="140">
        <f>-70.416-EB235-EA235-DZ235</f>
        <v>0</v>
      </c>
      <c r="ED235" s="140">
        <v>-47.832000000000001</v>
      </c>
      <c r="EE235" s="142">
        <v>0</v>
      </c>
      <c r="EF235" s="142">
        <v>0</v>
      </c>
      <c r="EG235" s="142">
        <v>0</v>
      </c>
      <c r="EH235" s="142">
        <v>0</v>
      </c>
      <c r="EI235" s="142">
        <v>0</v>
      </c>
      <c r="EJ235" s="142">
        <v>0</v>
      </c>
      <c r="EK235" s="142">
        <v>0</v>
      </c>
      <c r="EL235" s="142">
        <v>0</v>
      </c>
      <c r="EM235" s="142">
        <v>0</v>
      </c>
      <c r="EN235" s="142">
        <v>0</v>
      </c>
      <c r="EO235" s="142">
        <v>0</v>
      </c>
      <c r="EP235" s="142">
        <v>0</v>
      </c>
      <c r="EQ235" s="5"/>
      <c r="ER235" s="5"/>
      <c r="ES235" s="355">
        <f t="shared" si="632"/>
        <v>230</v>
      </c>
      <c r="ET235"/>
      <c r="EU235"/>
      <c r="EV235"/>
      <c r="EW235"/>
      <c r="EX235"/>
      <c r="EY235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</row>
    <row r="236" spans="1:257" s="4" customFormat="1" ht="12.75" customHeight="1" outlineLevel="1">
      <c r="A236" s="15"/>
      <c r="B236" s="28" t="s">
        <v>121</v>
      </c>
      <c r="C236" s="129"/>
      <c r="D236" s="129"/>
      <c r="E236" s="129">
        <f t="shared" si="764"/>
        <v>0</v>
      </c>
      <c r="F236" s="129">
        <f t="shared" si="765"/>
        <v>-1.0150000000000001</v>
      </c>
      <c r="G236" s="129">
        <f t="shared" si="766"/>
        <v>-1.1380000000000015</v>
      </c>
      <c r="H236" s="129">
        <f t="shared" si="767"/>
        <v>7.407</v>
      </c>
      <c r="I236" s="129">
        <f t="shared" si="768"/>
        <v>7.1530000000000005</v>
      </c>
      <c r="J236" s="129">
        <f t="shared" si="769"/>
        <v>75.004999999999995</v>
      </c>
      <c r="K236" s="129">
        <f t="shared" si="770"/>
        <v>2.266</v>
      </c>
      <c r="L236" s="129">
        <f t="shared" si="771"/>
        <v>12.569000000000001</v>
      </c>
      <c r="M236" s="129">
        <f t="shared" si="772"/>
        <v>24.437999999999999</v>
      </c>
      <c r="N236" s="129">
        <f t="shared" si="773"/>
        <v>41.49</v>
      </c>
      <c r="O236" s="129">
        <f t="shared" si="774"/>
        <v>18.215</v>
      </c>
      <c r="P236" s="129">
        <f t="shared" si="775"/>
        <v>14.032999999999999</v>
      </c>
      <c r="Q236" s="129">
        <f t="shared" si="776"/>
        <v>60.539000000000001</v>
      </c>
      <c r="R236" s="129">
        <f t="shared" si="777"/>
        <v>-34.724999999999994</v>
      </c>
      <c r="S236" s="129">
        <f t="shared" si="778"/>
        <v>127.819</v>
      </c>
      <c r="T236" s="129">
        <f t="shared" si="779"/>
        <v>25.506999999999998</v>
      </c>
      <c r="U236" s="129">
        <f t="shared" si="780"/>
        <v>-12.5</v>
      </c>
      <c r="V236" s="129">
        <f t="shared" si="781"/>
        <v>-1.6000000000000014E-2</v>
      </c>
      <c r="W236" s="129">
        <f t="shared" si="782"/>
        <v>3.9319999999999999</v>
      </c>
      <c r="X236" s="129">
        <f t="shared" si="783"/>
        <v>0</v>
      </c>
      <c r="Y236" s="129">
        <f t="shared" si="784"/>
        <v>232.221</v>
      </c>
      <c r="Z236" s="129">
        <f t="shared" si="785"/>
        <v>49.204999999999998</v>
      </c>
      <c r="AA236" s="129">
        <f t="shared" si="785"/>
        <v>-45.606999999999999</v>
      </c>
      <c r="AB236" s="129">
        <f t="shared" si="785"/>
        <v>1.1049999999999969</v>
      </c>
      <c r="AC236" s="129">
        <f t="shared" si="785"/>
        <v>-0.41700000000000159</v>
      </c>
      <c r="AD236" s="129">
        <f t="shared" si="785"/>
        <v>1.9370000000000012</v>
      </c>
      <c r="AE236" s="129">
        <f t="shared" si="785"/>
        <v>0</v>
      </c>
      <c r="AF236" s="129">
        <f t="shared" si="785"/>
        <v>0</v>
      </c>
      <c r="AG236" s="96"/>
      <c r="AH236" s="138">
        <v>0</v>
      </c>
      <c r="AI236" s="138">
        <v>0</v>
      </c>
      <c r="AJ236" s="138">
        <v>8.1340000000000003</v>
      </c>
      <c r="AK236" s="138">
        <v>-8.1340000000000003</v>
      </c>
      <c r="AL236" s="138">
        <v>0.1</v>
      </c>
      <c r="AM236" s="139">
        <v>-1.488</v>
      </c>
      <c r="AN236" s="138">
        <v>0</v>
      </c>
      <c r="AO236" s="138">
        <v>0.37299999999999978</v>
      </c>
      <c r="AP236" s="138">
        <v>-4.9779999999999998</v>
      </c>
      <c r="AQ236" s="139">
        <v>2.7219999999999995</v>
      </c>
      <c r="AR236" s="138">
        <v>-0.37699999999999978</v>
      </c>
      <c r="AS236" s="138">
        <v>1.4949999999999986</v>
      </c>
      <c r="AT236" s="138">
        <v>0</v>
      </c>
      <c r="AU236" s="139">
        <v>6.024</v>
      </c>
      <c r="AV236" s="138">
        <v>2.6030000000000006</v>
      </c>
      <c r="AW236" s="138">
        <v>-1.2200000000000006</v>
      </c>
      <c r="AX236" s="138">
        <v>-0.27600000000000002</v>
      </c>
      <c r="AY236" s="138">
        <v>-0.39100000000000001</v>
      </c>
      <c r="AZ236" s="138">
        <v>7.8040000000000003</v>
      </c>
      <c r="BA236" s="138">
        <v>1.6000000000000014E-2</v>
      </c>
      <c r="BB236" s="138">
        <v>20.998999999999999</v>
      </c>
      <c r="BC236" s="138">
        <v>5.9000000000001052E-2</v>
      </c>
      <c r="BD236" s="138">
        <v>37.643000000000001</v>
      </c>
      <c r="BE236" s="138">
        <v>16.303999999999995</v>
      </c>
      <c r="BF236" s="138">
        <v>6.8000000000000005E-2</v>
      </c>
      <c r="BG236" s="138">
        <v>3.9999999999999897E-3</v>
      </c>
      <c r="BH236" s="138">
        <v>0.48799999999999993</v>
      </c>
      <c r="BI236" s="138">
        <v>1.706</v>
      </c>
      <c r="BJ236" s="138">
        <v>2.8330000000000002</v>
      </c>
      <c r="BK236" s="138">
        <v>9.7360000000000007</v>
      </c>
      <c r="BL236" s="138">
        <v>0</v>
      </c>
      <c r="BM236" s="138">
        <v>0</v>
      </c>
      <c r="BN236" s="138">
        <v>0</v>
      </c>
      <c r="BO236" s="138">
        <v>2.1589999999999998</v>
      </c>
      <c r="BP236" s="138">
        <v>22.279</v>
      </c>
      <c r="BQ236" s="138">
        <v>0</v>
      </c>
      <c r="BR236" s="138">
        <v>0</v>
      </c>
      <c r="BS236" s="138">
        <v>4.67</v>
      </c>
      <c r="BT236" s="138">
        <v>36.818999999999996</v>
      </c>
      <c r="BU236" s="138">
        <v>1.0000000000047748E-3</v>
      </c>
      <c r="BV236" s="138">
        <v>0</v>
      </c>
      <c r="BW236" s="138">
        <v>2.4159999999999999</v>
      </c>
      <c r="BX236" s="138">
        <v>10.028</v>
      </c>
      <c r="BY236" s="138">
        <v>5.770999999999999</v>
      </c>
      <c r="BZ236" s="138">
        <v>3.4620000000000002</v>
      </c>
      <c r="CA236" s="138">
        <v>10.571</v>
      </c>
      <c r="CB236" s="138">
        <v>0</v>
      </c>
      <c r="CC236" s="138">
        <v>0</v>
      </c>
      <c r="CD236" s="138">
        <v>62.396999999999998</v>
      </c>
      <c r="CE236" s="138">
        <v>-4.5539999999999949</v>
      </c>
      <c r="CF236" s="138">
        <v>2</v>
      </c>
      <c r="CG236" s="138">
        <v>0.69599999999999795</v>
      </c>
      <c r="CH236" s="138">
        <v>3.06</v>
      </c>
      <c r="CI236" s="138">
        <v>-81.010000000000005</v>
      </c>
      <c r="CJ236" s="138">
        <v>-13.790999999999997</v>
      </c>
      <c r="CK236" s="138">
        <v>57.016000000000005</v>
      </c>
      <c r="CL236" s="138">
        <v>84.605000000000004</v>
      </c>
      <c r="CM236" s="138">
        <v>0.20699999999999363</v>
      </c>
      <c r="CN236" s="138">
        <v>28.126000000000005</v>
      </c>
      <c r="CO236" s="138">
        <v>14.881</v>
      </c>
      <c r="CP236" s="138">
        <v>0</v>
      </c>
      <c r="CQ236" s="138">
        <v>7.7690000000000001</v>
      </c>
      <c r="CR236" s="138">
        <v>17.738</v>
      </c>
      <c r="CS236" s="138">
        <v>0</v>
      </c>
      <c r="CT236" s="138">
        <v>0</v>
      </c>
      <c r="CU236" s="138">
        <v>-12.5</v>
      </c>
      <c r="CV236" s="138">
        <v>0</v>
      </c>
      <c r="CW236" s="138">
        <v>0</v>
      </c>
      <c r="CX236" s="138">
        <v>-1.6E-2</v>
      </c>
      <c r="CY236" s="138">
        <v>0</v>
      </c>
      <c r="CZ236" s="138">
        <v>12.516</v>
      </c>
      <c r="DA236" s="138">
        <v>-12.516</v>
      </c>
      <c r="DB236" s="138">
        <v>0</v>
      </c>
      <c r="DC236" s="138">
        <v>0</v>
      </c>
      <c r="DD236" s="138">
        <v>3.9319999999999999</v>
      </c>
      <c r="DE236" s="138">
        <v>0</v>
      </c>
      <c r="DF236" s="138">
        <v>0</v>
      </c>
      <c r="DG236" s="138">
        <v>0</v>
      </c>
      <c r="DH236" s="138">
        <v>0</v>
      </c>
      <c r="DI236" s="138">
        <v>0</v>
      </c>
      <c r="DJ236" s="138">
        <v>18.102</v>
      </c>
      <c r="DK236" s="138">
        <v>0</v>
      </c>
      <c r="DL236" s="138">
        <v>214.119</v>
      </c>
      <c r="DM236" s="138">
        <v>0</v>
      </c>
      <c r="DN236" s="140">
        <v>0</v>
      </c>
      <c r="DO236" s="140">
        <v>23.338000000000001</v>
      </c>
      <c r="DP236" s="140">
        <v>25.866999999999997</v>
      </c>
      <c r="DQ236" s="140">
        <v>0</v>
      </c>
      <c r="DR236" s="140">
        <v>0</v>
      </c>
      <c r="DS236" s="140">
        <v>0</v>
      </c>
      <c r="DT236" s="140">
        <v>0</v>
      </c>
      <c r="DU236" s="140">
        <v>-45.606999999999999</v>
      </c>
      <c r="DV236" s="140">
        <v>-2.3180000000000005</v>
      </c>
      <c r="DW236" s="140">
        <v>2.1249999999999991</v>
      </c>
      <c r="DX236" s="140">
        <v>-4.0839999999999996</v>
      </c>
      <c r="DY236" s="140">
        <v>5.3819999999999979</v>
      </c>
      <c r="DZ236" s="140">
        <v>-1.125</v>
      </c>
      <c r="EA236" s="140">
        <f>-37.899+34-DZ236</f>
        <v>-2.7740000000000009</v>
      </c>
      <c r="EB236" s="140">
        <f>53.15-48.958-EA236-DZ236</f>
        <v>8.0910000000000011</v>
      </c>
      <c r="EC236" s="140">
        <f>-69.866+69.449-EB236-EA236-DZ236</f>
        <v>-4.6090000000000018</v>
      </c>
      <c r="ED236" s="140">
        <f>-16.183+18.12</f>
        <v>1.9370000000000012</v>
      </c>
      <c r="EE236" s="141">
        <f t="shared" ref="EE236:EP236" si="786">-(EE259-ED259)</f>
        <v>0</v>
      </c>
      <c r="EF236" s="141">
        <f t="shared" si="786"/>
        <v>0</v>
      </c>
      <c r="EG236" s="141">
        <f t="shared" si="786"/>
        <v>0</v>
      </c>
      <c r="EH236" s="141">
        <f t="shared" si="786"/>
        <v>0</v>
      </c>
      <c r="EI236" s="141">
        <f t="shared" si="786"/>
        <v>0</v>
      </c>
      <c r="EJ236" s="141">
        <f t="shared" si="786"/>
        <v>0</v>
      </c>
      <c r="EK236" s="141">
        <f t="shared" si="786"/>
        <v>0</v>
      </c>
      <c r="EL236" s="141">
        <f t="shared" si="786"/>
        <v>0</v>
      </c>
      <c r="EM236" s="141">
        <f t="shared" si="786"/>
        <v>0</v>
      </c>
      <c r="EN236" s="141">
        <f t="shared" si="786"/>
        <v>0</v>
      </c>
      <c r="EO236" s="141">
        <f t="shared" si="786"/>
        <v>0</v>
      </c>
      <c r="EP236" s="141">
        <f t="shared" si="786"/>
        <v>0</v>
      </c>
      <c r="EQ236" s="5"/>
      <c r="ER236" s="5"/>
      <c r="ES236" s="355">
        <f t="shared" si="632"/>
        <v>231</v>
      </c>
      <c r="ET236"/>
      <c r="EU236"/>
      <c r="EV236"/>
      <c r="EW236"/>
      <c r="EX236"/>
      <c r="EY236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</row>
    <row r="237" spans="1:257" s="4" customFormat="1" ht="12.75" customHeight="1" outlineLevel="1">
      <c r="A237" s="15"/>
      <c r="B237" s="28" t="s">
        <v>120</v>
      </c>
      <c r="C237" s="129"/>
      <c r="D237" s="129"/>
      <c r="E237" s="129">
        <f t="shared" si="764"/>
        <v>9.5229999999999997</v>
      </c>
      <c r="F237" s="129">
        <f t="shared" si="765"/>
        <v>0</v>
      </c>
      <c r="G237" s="129">
        <f t="shared" si="766"/>
        <v>0</v>
      </c>
      <c r="H237" s="129">
        <f t="shared" si="767"/>
        <v>0</v>
      </c>
      <c r="I237" s="129">
        <f t="shared" si="768"/>
        <v>0</v>
      </c>
      <c r="J237" s="129">
        <f t="shared" si="769"/>
        <v>0</v>
      </c>
      <c r="K237" s="129">
        <f t="shared" si="770"/>
        <v>0</v>
      </c>
      <c r="L237" s="129">
        <f t="shared" si="771"/>
        <v>0</v>
      </c>
      <c r="M237" s="129">
        <f t="shared" si="772"/>
        <v>0</v>
      </c>
      <c r="N237" s="129">
        <f t="shared" si="773"/>
        <v>0</v>
      </c>
      <c r="O237" s="129">
        <f t="shared" si="774"/>
        <v>0</v>
      </c>
      <c r="P237" s="129">
        <f t="shared" si="775"/>
        <v>0</v>
      </c>
      <c r="Q237" s="129">
        <f t="shared" si="776"/>
        <v>0</v>
      </c>
      <c r="R237" s="129">
        <f t="shared" si="777"/>
        <v>2.97</v>
      </c>
      <c r="S237" s="129">
        <f t="shared" si="778"/>
        <v>16.257000000000001</v>
      </c>
      <c r="T237" s="129">
        <f t="shared" si="779"/>
        <v>13.926</v>
      </c>
      <c r="U237" s="129">
        <f t="shared" si="780"/>
        <v>0.52500000000000002</v>
      </c>
      <c r="V237" s="129">
        <f t="shared" si="781"/>
        <v>0</v>
      </c>
      <c r="W237" s="129">
        <f t="shared" si="782"/>
        <v>0</v>
      </c>
      <c r="X237" s="129">
        <f t="shared" si="783"/>
        <v>7.5</v>
      </c>
      <c r="Y237" s="129">
        <f t="shared" si="784"/>
        <v>15</v>
      </c>
      <c r="Z237" s="129">
        <f t="shared" si="785"/>
        <v>0</v>
      </c>
      <c r="AA237" s="129">
        <f t="shared" si="785"/>
        <v>0</v>
      </c>
      <c r="AB237" s="129">
        <f t="shared" si="785"/>
        <v>0</v>
      </c>
      <c r="AC237" s="129">
        <f t="shared" si="785"/>
        <v>0</v>
      </c>
      <c r="AD237" s="129">
        <f t="shared" si="785"/>
        <v>0</v>
      </c>
      <c r="AE237" s="129">
        <f t="shared" si="785"/>
        <v>0</v>
      </c>
      <c r="AF237" s="129">
        <f t="shared" si="785"/>
        <v>0</v>
      </c>
      <c r="AG237" s="96"/>
      <c r="AH237" s="138">
        <v>5.0510000000000002</v>
      </c>
      <c r="AI237" s="138">
        <v>4.109</v>
      </c>
      <c r="AJ237" s="138">
        <v>-9.16</v>
      </c>
      <c r="AK237" s="138">
        <v>9.5229999999999997</v>
      </c>
      <c r="AL237" s="138">
        <v>0</v>
      </c>
      <c r="AM237" s="139">
        <v>0</v>
      </c>
      <c r="AN237" s="138">
        <v>0</v>
      </c>
      <c r="AO237" s="138">
        <v>0</v>
      </c>
      <c r="AP237" s="138">
        <v>0</v>
      </c>
      <c r="AQ237" s="139">
        <v>0</v>
      </c>
      <c r="AR237" s="138">
        <v>0</v>
      </c>
      <c r="AS237" s="138">
        <v>0</v>
      </c>
      <c r="AT237" s="138">
        <v>0</v>
      </c>
      <c r="AU237" s="139">
        <v>0</v>
      </c>
      <c r="AV237" s="138">
        <v>0</v>
      </c>
      <c r="AW237" s="138">
        <v>0</v>
      </c>
      <c r="AX237" s="138">
        <v>0</v>
      </c>
      <c r="AY237" s="138">
        <v>0</v>
      </c>
      <c r="AZ237" s="138">
        <v>0</v>
      </c>
      <c r="BA237" s="138">
        <v>0</v>
      </c>
      <c r="BB237" s="138">
        <v>0</v>
      </c>
      <c r="BC237" s="138">
        <v>0</v>
      </c>
      <c r="BD237" s="138">
        <v>0</v>
      </c>
      <c r="BE237" s="138">
        <v>0</v>
      </c>
      <c r="BF237" s="138">
        <v>0</v>
      </c>
      <c r="BG237" s="138">
        <v>0</v>
      </c>
      <c r="BH237" s="138">
        <v>0</v>
      </c>
      <c r="BI237" s="138">
        <v>0</v>
      </c>
      <c r="BJ237" s="138">
        <v>0</v>
      </c>
      <c r="BK237" s="138">
        <v>0</v>
      </c>
      <c r="BL237" s="138">
        <v>0</v>
      </c>
      <c r="BM237" s="138">
        <v>0</v>
      </c>
      <c r="BN237" s="138">
        <v>0</v>
      </c>
      <c r="BO237" s="138">
        <v>0</v>
      </c>
      <c r="BP237" s="138">
        <v>0</v>
      </c>
      <c r="BQ237" s="138">
        <v>0</v>
      </c>
      <c r="BR237" s="138">
        <v>0</v>
      </c>
      <c r="BS237" s="138">
        <v>0</v>
      </c>
      <c r="BT237" s="138">
        <v>0</v>
      </c>
      <c r="BU237" s="138">
        <v>0</v>
      </c>
      <c r="BV237" s="138">
        <v>0</v>
      </c>
      <c r="BW237" s="138">
        <v>0</v>
      </c>
      <c r="BX237" s="138">
        <v>0</v>
      </c>
      <c r="BY237" s="138">
        <v>0</v>
      </c>
      <c r="BZ237" s="138">
        <v>0</v>
      </c>
      <c r="CA237" s="138">
        <v>0</v>
      </c>
      <c r="CB237" s="138">
        <v>0</v>
      </c>
      <c r="CC237" s="138">
        <v>0</v>
      </c>
      <c r="CD237" s="138">
        <v>0</v>
      </c>
      <c r="CE237" s="138">
        <v>0</v>
      </c>
      <c r="CF237" s="138">
        <v>0</v>
      </c>
      <c r="CG237" s="138">
        <v>0</v>
      </c>
      <c r="CH237" s="138">
        <v>0</v>
      </c>
      <c r="CI237" s="138">
        <v>0</v>
      </c>
      <c r="CJ237" s="138">
        <v>0</v>
      </c>
      <c r="CK237" s="138">
        <v>2.97</v>
      </c>
      <c r="CL237" s="138">
        <v>0.33</v>
      </c>
      <c r="CM237" s="138">
        <v>5.0540000000000003</v>
      </c>
      <c r="CN237" s="138">
        <v>5.6859999999999999</v>
      </c>
      <c r="CO237" s="138">
        <v>5.1870000000000012</v>
      </c>
      <c r="CP237" s="138">
        <v>8.5</v>
      </c>
      <c r="CQ237" s="138">
        <v>0</v>
      </c>
      <c r="CR237" s="138">
        <v>5.4260000000000002</v>
      </c>
      <c r="CS237" s="138">
        <v>0</v>
      </c>
      <c r="CT237" s="138">
        <v>0.26100000000000001</v>
      </c>
      <c r="CU237" s="138">
        <v>0</v>
      </c>
      <c r="CV237" s="138">
        <v>0.26400000000000001</v>
      </c>
      <c r="CW237" s="138">
        <v>0</v>
      </c>
      <c r="CX237" s="138">
        <v>0</v>
      </c>
      <c r="CY237" s="138">
        <v>0</v>
      </c>
      <c r="CZ237" s="138">
        <v>0</v>
      </c>
      <c r="DA237" s="138">
        <v>0</v>
      </c>
      <c r="DB237" s="138">
        <v>0</v>
      </c>
      <c r="DC237" s="138">
        <v>0</v>
      </c>
      <c r="DD237" s="138">
        <v>0</v>
      </c>
      <c r="DE237" s="138">
        <v>0</v>
      </c>
      <c r="DF237" s="138">
        <v>0</v>
      </c>
      <c r="DG237" s="138">
        <v>0</v>
      </c>
      <c r="DH237" s="138">
        <v>0</v>
      </c>
      <c r="DI237" s="138">
        <v>7.5</v>
      </c>
      <c r="DJ237" s="138">
        <v>0</v>
      </c>
      <c r="DK237" s="138">
        <v>0</v>
      </c>
      <c r="DL237" s="138">
        <v>15</v>
      </c>
      <c r="DM237" s="138">
        <v>0</v>
      </c>
      <c r="DN237" s="140">
        <v>0</v>
      </c>
      <c r="DO237" s="140">
        <v>0</v>
      </c>
      <c r="DP237" s="140">
        <v>0</v>
      </c>
      <c r="DQ237" s="140">
        <v>0</v>
      </c>
      <c r="DR237" s="140">
        <v>0</v>
      </c>
      <c r="DS237" s="140">
        <v>0</v>
      </c>
      <c r="DT237" s="140">
        <v>0</v>
      </c>
      <c r="DU237" s="140">
        <v>0</v>
      </c>
      <c r="DV237" s="140">
        <v>0</v>
      </c>
      <c r="DW237" s="140">
        <v>0</v>
      </c>
      <c r="DX237" s="140">
        <v>0</v>
      </c>
      <c r="DY237" s="140">
        <v>0</v>
      </c>
      <c r="DZ237" s="140">
        <v>0</v>
      </c>
      <c r="EA237" s="140">
        <v>0</v>
      </c>
      <c r="EB237" s="140">
        <v>0</v>
      </c>
      <c r="EC237" s="140">
        <v>0</v>
      </c>
      <c r="ED237" s="140">
        <v>0</v>
      </c>
      <c r="EE237" s="142">
        <v>0</v>
      </c>
      <c r="EF237" s="142">
        <v>0</v>
      </c>
      <c r="EG237" s="142">
        <v>0</v>
      </c>
      <c r="EH237" s="142">
        <v>0</v>
      </c>
      <c r="EI237" s="142">
        <v>0</v>
      </c>
      <c r="EJ237" s="142">
        <v>0</v>
      </c>
      <c r="EK237" s="142">
        <v>0</v>
      </c>
      <c r="EL237" s="142">
        <v>0</v>
      </c>
      <c r="EM237" s="142">
        <v>0</v>
      </c>
      <c r="EN237" s="142">
        <v>0</v>
      </c>
      <c r="EO237" s="142">
        <v>0</v>
      </c>
      <c r="EP237" s="142">
        <v>0</v>
      </c>
      <c r="EQ237" s="5"/>
      <c r="ER237" s="5"/>
      <c r="ES237" s="355">
        <f t="shared" si="632"/>
        <v>232</v>
      </c>
      <c r="ET237"/>
      <c r="EU237"/>
      <c r="EV237"/>
      <c r="EW237"/>
      <c r="EX237"/>
      <c r="EY237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</row>
    <row r="238" spans="1:257" s="4" customFormat="1" ht="12.75" customHeight="1" outlineLevel="1">
      <c r="A238" s="15"/>
      <c r="B238" s="28" t="s">
        <v>119</v>
      </c>
      <c r="C238" s="129"/>
      <c r="D238" s="129"/>
      <c r="E238" s="129">
        <f t="shared" si="764"/>
        <v>-11.808</v>
      </c>
      <c r="F238" s="129">
        <f t="shared" si="765"/>
        <v>-11.965</v>
      </c>
      <c r="G238" s="129">
        <f t="shared" si="766"/>
        <v>-12.365</v>
      </c>
      <c r="H238" s="129">
        <f t="shared" si="767"/>
        <v>-12.53</v>
      </c>
      <c r="I238" s="129">
        <f t="shared" si="768"/>
        <v>-12.97</v>
      </c>
      <c r="J238" s="129">
        <f t="shared" si="769"/>
        <v>-13.802</v>
      </c>
      <c r="K238" s="129">
        <f t="shared" si="770"/>
        <v>-13.849</v>
      </c>
      <c r="L238" s="129">
        <f t="shared" si="771"/>
        <v>-14.175000000000001</v>
      </c>
      <c r="M238" s="129">
        <f t="shared" si="772"/>
        <v>-15.047000000000001</v>
      </c>
      <c r="N238" s="129">
        <f t="shared" si="773"/>
        <v>-15.221</v>
      </c>
      <c r="O238" s="129">
        <f t="shared" si="774"/>
        <v>-16.026</v>
      </c>
      <c r="P238" s="129">
        <f t="shared" si="775"/>
        <v>-16.222000000000001</v>
      </c>
      <c r="Q238" s="129">
        <f t="shared" si="776"/>
        <v>-16.866</v>
      </c>
      <c r="R238" s="129">
        <f t="shared" si="777"/>
        <v>-17.712</v>
      </c>
      <c r="S238" s="129">
        <f t="shared" si="778"/>
        <v>-18.638000000000002</v>
      </c>
      <c r="T238" s="129">
        <f t="shared" si="779"/>
        <v>-19.332999999999998</v>
      </c>
      <c r="U238" s="129">
        <f t="shared" si="780"/>
        <v>-21.111000000000001</v>
      </c>
      <c r="V238" s="129">
        <f t="shared" si="781"/>
        <v>-22.254000000000001</v>
      </c>
      <c r="W238" s="129">
        <f t="shared" si="782"/>
        <v>-26.741</v>
      </c>
      <c r="X238" s="129">
        <f t="shared" si="783"/>
        <v>-30.048999999999999</v>
      </c>
      <c r="Y238" s="129">
        <f t="shared" si="784"/>
        <v>-93.052999999999997</v>
      </c>
      <c r="Z238" s="129">
        <f t="shared" si="785"/>
        <v>-264.38600000000002</v>
      </c>
      <c r="AA238" s="129">
        <f t="shared" si="785"/>
        <v>-298.36700000000002</v>
      </c>
      <c r="AB238" s="129">
        <f t="shared" si="785"/>
        <v>-300.15199999999999</v>
      </c>
      <c r="AC238" s="129">
        <f t="shared" si="785"/>
        <v>-305.51499999999999</v>
      </c>
      <c r="AD238" s="129">
        <f t="shared" si="785"/>
        <v>-305.12390478508536</v>
      </c>
      <c r="AE238" s="129">
        <f t="shared" si="785"/>
        <v>-304.93457702853658</v>
      </c>
      <c r="AF238" s="129">
        <f t="shared" si="785"/>
        <v>-305.05656915664241</v>
      </c>
      <c r="AG238" s="96"/>
      <c r="AH238" s="138">
        <v>-2.9489999999999998</v>
      </c>
      <c r="AI238" s="138">
        <v>-2.952</v>
      </c>
      <c r="AJ238" s="138">
        <v>-2.9510000000000005</v>
      </c>
      <c r="AK238" s="138">
        <v>-2.9559999999999995</v>
      </c>
      <c r="AL238" s="138">
        <v>-2.956</v>
      </c>
      <c r="AM238" s="139">
        <v>-2.9600000000000004</v>
      </c>
      <c r="AN238" s="138">
        <v>-2.9610000000000003</v>
      </c>
      <c r="AO238" s="138">
        <v>-3.0879999999999992</v>
      </c>
      <c r="AP238" s="138">
        <v>-3.0840000000000001</v>
      </c>
      <c r="AQ238" s="139">
        <v>-3.0879999999999996</v>
      </c>
      <c r="AR238" s="138">
        <v>-3.0930000000000009</v>
      </c>
      <c r="AS238" s="138">
        <v>-3.0999999999999996</v>
      </c>
      <c r="AT238" s="138">
        <v>-3.0950000000000002</v>
      </c>
      <c r="AU238" s="139">
        <v>-3.1089999999999995</v>
      </c>
      <c r="AV238" s="138">
        <v>-3.1060000000000008</v>
      </c>
      <c r="AW238" s="138">
        <v>-3.2199999999999989</v>
      </c>
      <c r="AX238" s="138">
        <v>-3.2429999999999999</v>
      </c>
      <c r="AY238" s="138">
        <v>-3.2420000000000004</v>
      </c>
      <c r="AZ238" s="138">
        <v>-3.2480000000000002</v>
      </c>
      <c r="BA238" s="138">
        <v>-3.2370000000000001</v>
      </c>
      <c r="BB238" s="138">
        <v>-3.524</v>
      </c>
      <c r="BC238" s="138">
        <v>-3.2519999999999998</v>
      </c>
      <c r="BD238" s="138">
        <v>-3.5210000000000008</v>
      </c>
      <c r="BE238" s="138">
        <v>-3.504999999999999</v>
      </c>
      <c r="BF238" s="138">
        <v>-3.4580000000000002</v>
      </c>
      <c r="BG238" s="138">
        <v>-3.4619999999999997</v>
      </c>
      <c r="BH238" s="138">
        <v>-3.4689999999999994</v>
      </c>
      <c r="BI238" s="138">
        <v>-3.4600000000000009</v>
      </c>
      <c r="BJ238" s="138">
        <v>-3.476</v>
      </c>
      <c r="BK238" s="138">
        <v>-3.4690000000000003</v>
      </c>
      <c r="BL238" s="138">
        <v>-3.7539999999999996</v>
      </c>
      <c r="BM238" s="138">
        <v>-3.4760000000000009</v>
      </c>
      <c r="BN238" s="138">
        <v>-3.7570000000000001</v>
      </c>
      <c r="BO238" s="138">
        <v>-3.8149999999999999</v>
      </c>
      <c r="BP238" s="138">
        <v>-3.7939999999999996</v>
      </c>
      <c r="BQ238" s="138">
        <v>-3.6810000000000009</v>
      </c>
      <c r="BR238" s="138">
        <v>-3.7469999999999999</v>
      </c>
      <c r="BS238" s="138">
        <v>-3.742</v>
      </c>
      <c r="BT238" s="138">
        <v>-3.7510000000000003</v>
      </c>
      <c r="BU238" s="138">
        <v>-3.9809999999999999</v>
      </c>
      <c r="BV238" s="138">
        <v>-4.0019999999999998</v>
      </c>
      <c r="BW238" s="138">
        <v>-4.0019999999999998</v>
      </c>
      <c r="BX238" s="138">
        <v>-4.0080000000000009</v>
      </c>
      <c r="BY238" s="138">
        <v>-4.0139999999999993</v>
      </c>
      <c r="BZ238" s="138">
        <v>-4.0149999999999997</v>
      </c>
      <c r="CA238" s="138">
        <v>-4.035000000000001</v>
      </c>
      <c r="CB238" s="138">
        <v>-4.0329999999999995</v>
      </c>
      <c r="CC238" s="138">
        <v>-4.1390000000000011</v>
      </c>
      <c r="CD238" s="138">
        <v>-4.1660000000000004</v>
      </c>
      <c r="CE238" s="138">
        <v>-4.2140000000000004</v>
      </c>
      <c r="CF238" s="138">
        <v>-4.2269999999999985</v>
      </c>
      <c r="CG238" s="138">
        <v>-4.2590000000000003</v>
      </c>
      <c r="CH238" s="138">
        <v>-4.2910000000000004</v>
      </c>
      <c r="CI238" s="138">
        <v>-4.3330000000000002</v>
      </c>
      <c r="CJ238" s="138">
        <v>-4.3360000000000003</v>
      </c>
      <c r="CK238" s="138">
        <v>-4.7519999999999989</v>
      </c>
      <c r="CL238" s="138">
        <v>-4.6550000000000002</v>
      </c>
      <c r="CM238" s="138">
        <v>-4.6559999999999997</v>
      </c>
      <c r="CN238" s="138">
        <v>-4.66</v>
      </c>
      <c r="CO238" s="138">
        <v>-4.6670000000000016</v>
      </c>
      <c r="CP238" s="138">
        <v>-4.6680000000000001</v>
      </c>
      <c r="CQ238" s="138">
        <v>-4.6859999999999991</v>
      </c>
      <c r="CR238" s="138">
        <v>-4.7060000000000013</v>
      </c>
      <c r="CS238" s="138">
        <v>-5.2729999999999979</v>
      </c>
      <c r="CT238" s="138">
        <v>-5.2729999999999997</v>
      </c>
      <c r="CU238" s="138">
        <v>-5.2750000000000004</v>
      </c>
      <c r="CV238" s="138">
        <v>-5.2810000000000006</v>
      </c>
      <c r="CW238" s="138">
        <v>-5.282</v>
      </c>
      <c r="CX238" s="138">
        <v>-5.2869999999999999</v>
      </c>
      <c r="CY238" s="138">
        <v>-5.3</v>
      </c>
      <c r="CZ238" s="138">
        <v>-5.3040000000000012</v>
      </c>
      <c r="DA238" s="138">
        <v>-6.3629999999999987</v>
      </c>
      <c r="DB238" s="138">
        <v>-6.3760000000000003</v>
      </c>
      <c r="DC238" s="138">
        <v>-6.4080000000000004</v>
      </c>
      <c r="DD238" s="138">
        <v>-6.4380000000000006</v>
      </c>
      <c r="DE238" s="138">
        <v>-7.5189999999999984</v>
      </c>
      <c r="DF238" s="138">
        <v>-7.5220000000000002</v>
      </c>
      <c r="DG238" s="138">
        <v>-7.548</v>
      </c>
      <c r="DH238" s="138">
        <v>-7.5500000000000007</v>
      </c>
      <c r="DI238" s="138">
        <v>-7.4289999999999985</v>
      </c>
      <c r="DJ238" s="138">
        <v>-7.4320000000000004</v>
      </c>
      <c r="DK238" s="138">
        <v>-16.036999999999999</v>
      </c>
      <c r="DL238" s="138">
        <v>-16.049999999999997</v>
      </c>
      <c r="DM238" s="138">
        <v>-53.534000000000006</v>
      </c>
      <c r="DN238" s="140">
        <v>-53.86</v>
      </c>
      <c r="DO238" s="140">
        <v>-67.685000000000002</v>
      </c>
      <c r="DP238" s="140">
        <v>-67.997</v>
      </c>
      <c r="DQ238" s="140">
        <v>-74.844000000000008</v>
      </c>
      <c r="DR238" s="140">
        <v>-74.822000000000003</v>
      </c>
      <c r="DS238" s="140">
        <v>-74.525000000000006</v>
      </c>
      <c r="DT238" s="140">
        <v>-74.47999999999999</v>
      </c>
      <c r="DU238" s="140">
        <v>-74.54000000000002</v>
      </c>
      <c r="DV238" s="140">
        <v>-74.56</v>
      </c>
      <c r="DW238" s="140">
        <v>-74.740000000000009</v>
      </c>
      <c r="DX238" s="140">
        <v>-74.739999999999981</v>
      </c>
      <c r="DY238" s="140">
        <v>-76.111999999999995</v>
      </c>
      <c r="DZ238" s="140">
        <v>-76.176000000000002</v>
      </c>
      <c r="EA238" s="140">
        <f>-152.617-DZ238</f>
        <v>-76.440999999999988</v>
      </c>
      <c r="EB238" s="140">
        <f>-229.061-EA238-DZ238</f>
        <v>-76.444000000000003</v>
      </c>
      <c r="EC238" s="140">
        <f>-305.515-EB238-EA238-DZ238</f>
        <v>-76.453999999999994</v>
      </c>
      <c r="ED238" s="140">
        <v>-76.503</v>
      </c>
      <c r="EE238" s="141">
        <f t="shared" ref="EE238:EP238" si="787">-EE55*EE336</f>
        <v>-76.19934807288999</v>
      </c>
      <c r="EF238" s="141">
        <f t="shared" si="787"/>
        <v>-76.206968007697284</v>
      </c>
      <c r="EG238" s="141">
        <f t="shared" si="787"/>
        <v>-76.214588704498041</v>
      </c>
      <c r="EH238" s="141">
        <f t="shared" si="787"/>
        <v>-76.222210163368487</v>
      </c>
      <c r="EI238" s="141">
        <f t="shared" si="787"/>
        <v>-76.229832384384821</v>
      </c>
      <c r="EJ238" s="141">
        <f t="shared" si="787"/>
        <v>-76.237455367623255</v>
      </c>
      <c r="EK238" s="141">
        <f t="shared" si="787"/>
        <v>-76.245079113160031</v>
      </c>
      <c r="EL238" s="141">
        <f t="shared" si="787"/>
        <v>-76.252703621071348</v>
      </c>
      <c r="EM238" s="141">
        <f t="shared" si="787"/>
        <v>-76.260328891433446</v>
      </c>
      <c r="EN238" s="141">
        <f t="shared" si="787"/>
        <v>-76.267954924322581</v>
      </c>
      <c r="EO238" s="141">
        <f t="shared" si="787"/>
        <v>-76.275581719815023</v>
      </c>
      <c r="EP238" s="141">
        <f t="shared" si="787"/>
        <v>-76.283209277987012</v>
      </c>
      <c r="EQ238" s="5"/>
      <c r="ER238" s="5"/>
      <c r="ES238" s="355">
        <f t="shared" si="632"/>
        <v>233</v>
      </c>
      <c r="ET238"/>
      <c r="EU238"/>
      <c r="EV238"/>
      <c r="EW238"/>
      <c r="EX238"/>
      <c r="EY238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</row>
    <row r="239" spans="1:257" s="4" customFormat="1" ht="12.75" customHeight="1" outlineLevel="1">
      <c r="A239" s="15"/>
      <c r="B239" s="14" t="s">
        <v>118</v>
      </c>
      <c r="C239" s="129"/>
      <c r="D239" s="129"/>
      <c r="E239" s="129">
        <f t="shared" si="764"/>
        <v>1.254</v>
      </c>
      <c r="F239" s="129">
        <f t="shared" si="765"/>
        <v>0.91300000000000003</v>
      </c>
      <c r="G239" s="129">
        <f t="shared" si="766"/>
        <v>1.282</v>
      </c>
      <c r="H239" s="129">
        <f t="shared" si="767"/>
        <v>2.9929999999999999</v>
      </c>
      <c r="I239" s="129">
        <f t="shared" si="768"/>
        <v>3.0649999999999999</v>
      </c>
      <c r="J239" s="129">
        <f t="shared" si="769"/>
        <v>-17.137999999999998</v>
      </c>
      <c r="K239" s="129">
        <f t="shared" si="770"/>
        <v>2.9319999999999999</v>
      </c>
      <c r="L239" s="129">
        <f t="shared" si="771"/>
        <v>5.4370000000000003</v>
      </c>
      <c r="M239" s="129">
        <f t="shared" si="772"/>
        <v>13.601000000000001</v>
      </c>
      <c r="N239" s="129">
        <f t="shared" si="773"/>
        <v>3.5539999999999998</v>
      </c>
      <c r="O239" s="129">
        <f t="shared" si="774"/>
        <v>2.194</v>
      </c>
      <c r="P239" s="129">
        <f t="shared" si="775"/>
        <v>4.9269999999999996</v>
      </c>
      <c r="Q239" s="129">
        <f t="shared" si="776"/>
        <v>25.358000000000001</v>
      </c>
      <c r="R239" s="129">
        <f t="shared" si="777"/>
        <v>12.372</v>
      </c>
      <c r="S239" s="129">
        <f t="shared" si="778"/>
        <v>3.802</v>
      </c>
      <c r="T239" s="129">
        <f t="shared" si="779"/>
        <v>14.537000000000001</v>
      </c>
      <c r="U239" s="129">
        <f t="shared" si="780"/>
        <v>1.272</v>
      </c>
      <c r="V239" s="129">
        <f t="shared" si="781"/>
        <v>-0.20200000000000001</v>
      </c>
      <c r="W239" s="129">
        <f t="shared" si="782"/>
        <v>15.441000000000001</v>
      </c>
      <c r="X239" s="129">
        <f t="shared" si="783"/>
        <v>2.673</v>
      </c>
      <c r="Y239" s="129">
        <f t="shared" si="784"/>
        <v>13.317</v>
      </c>
      <c r="Z239" s="129">
        <f t="shared" si="785"/>
        <v>23.25</v>
      </c>
      <c r="AA239" s="129">
        <f t="shared" si="785"/>
        <v>-2.4900000000000002</v>
      </c>
      <c r="AB239" s="129">
        <f t="shared" si="785"/>
        <v>-2.8719999999999999</v>
      </c>
      <c r="AC239" s="129">
        <f t="shared" si="785"/>
        <v>10.534000000000001</v>
      </c>
      <c r="AD239" s="129">
        <f t="shared" si="785"/>
        <v>0.89200000000000002</v>
      </c>
      <c r="AE239" s="129">
        <f t="shared" si="785"/>
        <v>0</v>
      </c>
      <c r="AF239" s="129">
        <f t="shared" si="785"/>
        <v>0</v>
      </c>
      <c r="AG239" s="96"/>
      <c r="AH239" s="138">
        <v>2.5000000000000001E-2</v>
      </c>
      <c r="AI239" s="138">
        <v>0.40699999999999997</v>
      </c>
      <c r="AJ239" s="138">
        <v>0.79100000000000015</v>
      </c>
      <c r="AK239" s="138">
        <v>3.0999999999999917E-2</v>
      </c>
      <c r="AL239" s="138">
        <v>0</v>
      </c>
      <c r="AM239" s="139">
        <v>0</v>
      </c>
      <c r="AN239" s="138">
        <v>0.76400000000000001</v>
      </c>
      <c r="AO239" s="138">
        <v>0.14900000000000002</v>
      </c>
      <c r="AP239" s="138">
        <v>0.17499999999999999</v>
      </c>
      <c r="AQ239" s="139">
        <v>0.27700000000000002</v>
      </c>
      <c r="AR239" s="138">
        <v>0.70500000000000007</v>
      </c>
      <c r="AS239" s="138">
        <v>0.125</v>
      </c>
      <c r="AT239" s="138">
        <v>0</v>
      </c>
      <c r="AU239" s="139">
        <v>1.335</v>
      </c>
      <c r="AV239" s="138">
        <v>0.43700000000000006</v>
      </c>
      <c r="AW239" s="138">
        <v>1.2209999999999999</v>
      </c>
      <c r="AX239" s="138">
        <v>0.79600000000000004</v>
      </c>
      <c r="AY239" s="138">
        <v>0.36699999999999999</v>
      </c>
      <c r="AZ239" s="138">
        <v>0.93399999999999994</v>
      </c>
      <c r="BA239" s="138">
        <v>0.96799999999999997</v>
      </c>
      <c r="BB239" s="138">
        <v>0.66900000000000004</v>
      </c>
      <c r="BC239" s="138">
        <v>0.36899999999999999</v>
      </c>
      <c r="BD239" s="138">
        <v>0.20700000000000007</v>
      </c>
      <c r="BE239" s="138">
        <v>-18.382999999999999</v>
      </c>
      <c r="BF239" s="138">
        <v>0.16</v>
      </c>
      <c r="BG239" s="138">
        <v>0.215</v>
      </c>
      <c r="BH239" s="138">
        <v>0.87400000000000011</v>
      </c>
      <c r="BI239" s="138">
        <v>1.6829999999999998</v>
      </c>
      <c r="BJ239" s="138">
        <v>0.14199999999999999</v>
      </c>
      <c r="BK239" s="138">
        <v>1.24</v>
      </c>
      <c r="BL239" s="138">
        <v>2.2119999999999997</v>
      </c>
      <c r="BM239" s="138">
        <v>1.8430000000000009</v>
      </c>
      <c r="BN239" s="138">
        <v>2.0379999999999998</v>
      </c>
      <c r="BO239" s="138">
        <v>11.298</v>
      </c>
      <c r="BP239" s="138">
        <v>0.1850000000000005</v>
      </c>
      <c r="BQ239" s="138">
        <v>8.0000000000000071E-2</v>
      </c>
      <c r="BR239" s="138">
        <v>0.12</v>
      </c>
      <c r="BS239" s="138">
        <v>0.71799999999999997</v>
      </c>
      <c r="BT239" s="138">
        <v>1.8209999999999997</v>
      </c>
      <c r="BU239" s="138">
        <v>0.89500000000000002</v>
      </c>
      <c r="BV239" s="138">
        <v>0.223</v>
      </c>
      <c r="BW239" s="138">
        <v>0.13699999999999998</v>
      </c>
      <c r="BX239" s="138">
        <v>0.997</v>
      </c>
      <c r="BY239" s="138">
        <v>0.83699999999999997</v>
      </c>
      <c r="BZ239" s="61">
        <v>0.57599999999999996</v>
      </c>
      <c r="CA239" s="138">
        <v>3.387</v>
      </c>
      <c r="CB239" s="61">
        <v>0.36099999999999977</v>
      </c>
      <c r="CC239" s="61">
        <v>0.60299999999999976</v>
      </c>
      <c r="CD239" s="138">
        <v>4.5350000000000001</v>
      </c>
      <c r="CE239" s="138">
        <v>7.3079999999999998</v>
      </c>
      <c r="CF239" s="138">
        <v>4.5740000000000016</v>
      </c>
      <c r="CG239" s="61">
        <v>8.9409999999999989</v>
      </c>
      <c r="CH239" s="61">
        <v>3.718</v>
      </c>
      <c r="CI239" s="61">
        <v>8.1419999999999995</v>
      </c>
      <c r="CJ239" s="138">
        <v>0.48099999999999987</v>
      </c>
      <c r="CK239" s="61">
        <v>3.1000000000000583E-2</v>
      </c>
      <c r="CL239" s="61">
        <v>0.47099999999999997</v>
      </c>
      <c r="CM239" s="61">
        <v>0.40100000000000002</v>
      </c>
      <c r="CN239" s="61">
        <v>2.4050000000000002</v>
      </c>
      <c r="CO239" s="61">
        <v>0.52499999999999991</v>
      </c>
      <c r="CP239" s="61">
        <v>2.0270000000000001</v>
      </c>
      <c r="CQ239" s="61">
        <v>6.2570000000000006</v>
      </c>
      <c r="CR239" s="61">
        <v>5.9829999999999988</v>
      </c>
      <c r="CS239" s="61">
        <v>0.27000000000000135</v>
      </c>
      <c r="CT239" s="61">
        <v>0.317</v>
      </c>
      <c r="CU239" s="61">
        <v>0.11199999999999999</v>
      </c>
      <c r="CV239" s="61">
        <v>0.28099999999999997</v>
      </c>
      <c r="CW239" s="61">
        <v>0.56200000000000006</v>
      </c>
      <c r="CX239" s="61">
        <v>-0.623</v>
      </c>
      <c r="CY239" s="61">
        <v>0.93199999999999994</v>
      </c>
      <c r="CZ239" s="61">
        <v>-0.7</v>
      </c>
      <c r="DA239" s="61">
        <v>0.189</v>
      </c>
      <c r="DB239" s="61">
        <v>2.988</v>
      </c>
      <c r="DC239" s="61">
        <v>8.1270000000000007</v>
      </c>
      <c r="DD239" s="61">
        <v>2.6189999999999998</v>
      </c>
      <c r="DE239" s="61">
        <v>1.7070000000000007</v>
      </c>
      <c r="DF239" s="61">
        <v>0.373</v>
      </c>
      <c r="DG239" s="61">
        <v>1.522</v>
      </c>
      <c r="DH239" s="61">
        <v>0.47900000000000009</v>
      </c>
      <c r="DI239" s="61">
        <v>0.29899999999999993</v>
      </c>
      <c r="DJ239" s="138">
        <v>0.47299999999999998</v>
      </c>
      <c r="DK239" s="138">
        <v>4.4329999999999998</v>
      </c>
      <c r="DL239" s="138">
        <v>1.2120000000000006</v>
      </c>
      <c r="DM239" s="138">
        <v>7.198999999999999</v>
      </c>
      <c r="DN239" s="140">
        <v>8.2010000000000005</v>
      </c>
      <c r="DO239" s="140">
        <v>11.5</v>
      </c>
      <c r="DP239" s="140">
        <v>2.6690000000000005</v>
      </c>
      <c r="DQ239" s="140">
        <v>0.87999999999999901</v>
      </c>
      <c r="DR239" s="140">
        <v>-6.3100000000000005</v>
      </c>
      <c r="DS239" s="140">
        <v>0.98399999999999999</v>
      </c>
      <c r="DT239" s="140">
        <v>4.7170000000000005</v>
      </c>
      <c r="DU239" s="140">
        <v>-1.8810000000000002</v>
      </c>
      <c r="DV239" s="140">
        <v>-3.6758999999999999</v>
      </c>
      <c r="DW239" s="140">
        <v>-0.14009999999999989</v>
      </c>
      <c r="DX239" s="140">
        <v>0.38700000000000001</v>
      </c>
      <c r="DY239" s="140">
        <v>0.55699999999999994</v>
      </c>
      <c r="DZ239" s="140">
        <v>4.18</v>
      </c>
      <c r="EA239" s="140">
        <f>9.946-DZ239</f>
        <v>5.766</v>
      </c>
      <c r="EB239" s="140">
        <f>10.458-EA239-DZ239</f>
        <v>0.51200000000000045</v>
      </c>
      <c r="EC239" s="140">
        <f>10.534-EB239-EA239-DZ239</f>
        <v>7.6000000000000512E-2</v>
      </c>
      <c r="ED239" s="140">
        <v>0.89200000000000002</v>
      </c>
      <c r="EE239" s="136">
        <v>0</v>
      </c>
      <c r="EF239" s="136">
        <v>0</v>
      </c>
      <c r="EG239" s="136">
        <v>0</v>
      </c>
      <c r="EH239" s="136">
        <v>0</v>
      </c>
      <c r="EI239" s="136">
        <v>0</v>
      </c>
      <c r="EJ239" s="136">
        <v>0</v>
      </c>
      <c r="EK239" s="136">
        <v>0</v>
      </c>
      <c r="EL239" s="136">
        <v>0</v>
      </c>
      <c r="EM239" s="136">
        <v>0</v>
      </c>
      <c r="EN239" s="136">
        <v>0</v>
      </c>
      <c r="EO239" s="136">
        <v>0</v>
      </c>
      <c r="EP239" s="136">
        <v>0</v>
      </c>
      <c r="EQ239" s="5"/>
      <c r="ER239" s="5"/>
      <c r="ES239" s="355">
        <f t="shared" si="632"/>
        <v>234</v>
      </c>
      <c r="ET239"/>
      <c r="EU239"/>
      <c r="EV239"/>
      <c r="EW239"/>
      <c r="EX239"/>
      <c r="EY239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</row>
    <row r="240" spans="1:257" s="4" customFormat="1" ht="12.75" customHeight="1" outlineLevel="1">
      <c r="A240" s="15"/>
      <c r="B240" s="14" t="s">
        <v>117</v>
      </c>
      <c r="C240" s="129"/>
      <c r="D240" s="129"/>
      <c r="E240" s="129">
        <f t="shared" si="764"/>
        <v>0</v>
      </c>
      <c r="F240" s="129">
        <f t="shared" si="765"/>
        <v>0</v>
      </c>
      <c r="G240" s="129">
        <f t="shared" si="766"/>
        <v>0</v>
      </c>
      <c r="H240" s="129">
        <f t="shared" si="767"/>
        <v>0</v>
      </c>
      <c r="I240" s="129">
        <f t="shared" si="768"/>
        <v>0</v>
      </c>
      <c r="J240" s="129">
        <f t="shared" si="769"/>
        <v>0</v>
      </c>
      <c r="K240" s="129">
        <f t="shared" si="770"/>
        <v>0</v>
      </c>
      <c r="L240" s="129">
        <f t="shared" si="771"/>
        <v>0</v>
      </c>
      <c r="M240" s="129">
        <f t="shared" si="772"/>
        <v>0</v>
      </c>
      <c r="N240" s="129">
        <f t="shared" si="773"/>
        <v>0</v>
      </c>
      <c r="O240" s="129">
        <f t="shared" si="774"/>
        <v>0</v>
      </c>
      <c r="P240" s="129">
        <f t="shared" si="775"/>
        <v>0</v>
      </c>
      <c r="Q240" s="129">
        <f t="shared" si="776"/>
        <v>0</v>
      </c>
      <c r="R240" s="129">
        <f t="shared" si="777"/>
        <v>10.189</v>
      </c>
      <c r="S240" s="129">
        <f t="shared" si="778"/>
        <v>1.4730000000000001</v>
      </c>
      <c r="T240" s="129">
        <f t="shared" si="779"/>
        <v>24.867999999999999</v>
      </c>
      <c r="U240" s="129">
        <f t="shared" si="780"/>
        <v>1.2170000000000001</v>
      </c>
      <c r="V240" s="129">
        <f t="shared" si="781"/>
        <v>3.3439999999999999</v>
      </c>
      <c r="W240" s="129">
        <f t="shared" si="782"/>
        <v>12.510999999999999</v>
      </c>
      <c r="X240" s="129">
        <f t="shared" si="783"/>
        <v>3.3029999999999999</v>
      </c>
      <c r="Y240" s="129">
        <f t="shared" si="784"/>
        <v>9.82</v>
      </c>
      <c r="Z240" s="129">
        <f t="shared" si="785"/>
        <v>26.616</v>
      </c>
      <c r="AA240" s="129">
        <f t="shared" si="785"/>
        <v>3.7719999999999998</v>
      </c>
      <c r="AB240" s="129">
        <f t="shared" si="785"/>
        <v>0.93400000000000005</v>
      </c>
      <c r="AC240" s="129">
        <f t="shared" si="785"/>
        <v>4.4139999999999997</v>
      </c>
      <c r="AD240" s="129">
        <f t="shared" si="785"/>
        <v>-5.4710000000000001</v>
      </c>
      <c r="AE240" s="129">
        <f t="shared" si="785"/>
        <v>0</v>
      </c>
      <c r="AF240" s="129">
        <f t="shared" si="785"/>
        <v>0</v>
      </c>
      <c r="AG240" s="96"/>
      <c r="AH240" s="138">
        <v>0</v>
      </c>
      <c r="AI240" s="138">
        <v>0</v>
      </c>
      <c r="AJ240" s="138">
        <v>0</v>
      </c>
      <c r="AK240" s="138">
        <v>0</v>
      </c>
      <c r="AL240" s="138">
        <v>0</v>
      </c>
      <c r="AM240" s="139">
        <v>0</v>
      </c>
      <c r="AN240" s="138">
        <v>0</v>
      </c>
      <c r="AO240" s="138">
        <v>0</v>
      </c>
      <c r="AP240" s="138">
        <v>0</v>
      </c>
      <c r="AQ240" s="139">
        <v>0</v>
      </c>
      <c r="AR240" s="138">
        <v>0</v>
      </c>
      <c r="AS240" s="138">
        <v>0</v>
      </c>
      <c r="AT240" s="138">
        <v>0</v>
      </c>
      <c r="AU240" s="139">
        <v>0</v>
      </c>
      <c r="AV240" s="138">
        <v>0</v>
      </c>
      <c r="AW240" s="138">
        <v>0</v>
      </c>
      <c r="AX240" s="138">
        <v>0</v>
      </c>
      <c r="AY240" s="138">
        <v>0</v>
      </c>
      <c r="AZ240" s="138">
        <v>0</v>
      </c>
      <c r="BA240" s="138">
        <v>0</v>
      </c>
      <c r="BB240" s="138">
        <v>0</v>
      </c>
      <c r="BC240" s="138">
        <v>0</v>
      </c>
      <c r="BD240" s="138">
        <v>0</v>
      </c>
      <c r="BE240" s="138">
        <v>0</v>
      </c>
      <c r="BF240" s="138">
        <v>0</v>
      </c>
      <c r="BG240" s="138">
        <v>0</v>
      </c>
      <c r="BH240" s="138">
        <v>0</v>
      </c>
      <c r="BI240" s="138">
        <v>0</v>
      </c>
      <c r="BJ240" s="138">
        <v>0</v>
      </c>
      <c r="BK240" s="138">
        <v>0</v>
      </c>
      <c r="BL240" s="138">
        <v>0</v>
      </c>
      <c r="BM240" s="138">
        <v>0</v>
      </c>
      <c r="BN240" s="138">
        <v>0</v>
      </c>
      <c r="BO240" s="138">
        <v>0</v>
      </c>
      <c r="BP240" s="138">
        <v>0</v>
      </c>
      <c r="BQ240" s="138">
        <v>0</v>
      </c>
      <c r="BR240" s="138">
        <v>0</v>
      </c>
      <c r="BS240" s="138">
        <v>0</v>
      </c>
      <c r="BT240" s="138">
        <v>0</v>
      </c>
      <c r="BU240" s="138">
        <v>0</v>
      </c>
      <c r="BV240" s="138">
        <v>0</v>
      </c>
      <c r="BW240" s="138">
        <v>0</v>
      </c>
      <c r="BX240" s="138">
        <v>0</v>
      </c>
      <c r="BY240" s="138">
        <v>0</v>
      </c>
      <c r="BZ240" s="61">
        <v>0</v>
      </c>
      <c r="CA240" s="138">
        <v>0</v>
      </c>
      <c r="CB240" s="61">
        <v>0</v>
      </c>
      <c r="CC240" s="61">
        <v>0</v>
      </c>
      <c r="CD240" s="138">
        <v>0</v>
      </c>
      <c r="CE240" s="138">
        <v>0</v>
      </c>
      <c r="CF240" s="138">
        <v>0</v>
      </c>
      <c r="CG240" s="61">
        <v>0</v>
      </c>
      <c r="CH240" s="61">
        <v>2.0510000000000002</v>
      </c>
      <c r="CI240" s="61">
        <v>4.2429999999999994</v>
      </c>
      <c r="CJ240" s="138">
        <v>3.7250000000000005</v>
      </c>
      <c r="CK240" s="61">
        <v>0.16999999999999993</v>
      </c>
      <c r="CL240" s="61">
        <v>3.3000000000000002E-2</v>
      </c>
      <c r="CM240" s="61">
        <v>0.122</v>
      </c>
      <c r="CN240" s="61">
        <v>1.099</v>
      </c>
      <c r="CO240" s="61">
        <v>0.21900000000000008</v>
      </c>
      <c r="CP240" s="61">
        <v>0</v>
      </c>
      <c r="CQ240" s="61">
        <v>6.11</v>
      </c>
      <c r="CR240" s="61">
        <v>18.706</v>
      </c>
      <c r="CS240" s="61">
        <v>5.1999999999999602E-2</v>
      </c>
      <c r="CT240" s="61">
        <v>0</v>
      </c>
      <c r="CU240" s="61">
        <v>1.9E-2</v>
      </c>
      <c r="CV240" s="61">
        <v>1.1700000000000002</v>
      </c>
      <c r="CW240" s="61">
        <v>2.8000000000000025E-2</v>
      </c>
      <c r="CX240" s="61">
        <v>1.649</v>
      </c>
      <c r="CY240" s="61">
        <v>0.248</v>
      </c>
      <c r="CZ240" s="61">
        <v>1.4189999999999998</v>
      </c>
      <c r="DA240" s="61">
        <v>2.8000000000000025E-2</v>
      </c>
      <c r="DB240" s="61">
        <v>2.7330000000000001</v>
      </c>
      <c r="DC240" s="61">
        <v>8.0830000000000002</v>
      </c>
      <c r="DD240" s="61">
        <v>0.53599999999999959</v>
      </c>
      <c r="DE240" s="61">
        <v>1.1589999999999989</v>
      </c>
      <c r="DF240" s="61">
        <v>2.4260000000000002</v>
      </c>
      <c r="DG240" s="61">
        <v>0.73799999999999999</v>
      </c>
      <c r="DH240" s="61">
        <v>9.1999999999999638E-2</v>
      </c>
      <c r="DI240" s="61">
        <v>4.7000000000000153E-2</v>
      </c>
      <c r="DJ240" s="61">
        <v>5.6929999999999996</v>
      </c>
      <c r="DK240" s="61">
        <v>1.3520000000000003</v>
      </c>
      <c r="DL240" s="61">
        <v>0.375</v>
      </c>
      <c r="DM240" s="61">
        <v>2.4000000000000004</v>
      </c>
      <c r="DN240" s="137">
        <v>10.125999999999999</v>
      </c>
      <c r="DO240" s="137">
        <v>11.961</v>
      </c>
      <c r="DP240" s="137">
        <v>3.6370000000000005</v>
      </c>
      <c r="DQ240" s="137">
        <v>0.89199999999999946</v>
      </c>
      <c r="DR240" s="137">
        <v>2.7229999999999999</v>
      </c>
      <c r="DS240" s="137">
        <v>3.8000000000000256E-2</v>
      </c>
      <c r="DT240" s="137">
        <v>0.20799999999999974</v>
      </c>
      <c r="DU240" s="137">
        <v>0.80299999999999994</v>
      </c>
      <c r="DV240" s="137">
        <v>-0.35199999999999998</v>
      </c>
      <c r="DW240" s="137">
        <v>0.57099999999999995</v>
      </c>
      <c r="DX240" s="137">
        <v>0.54200000000000004</v>
      </c>
      <c r="DY240" s="137">
        <v>0.17300000000000004</v>
      </c>
      <c r="DZ240" s="137">
        <v>3.7029999999999998</v>
      </c>
      <c r="EA240" s="137">
        <f>3.919-DZ240</f>
        <v>0.21600000000000019</v>
      </c>
      <c r="EB240" s="137">
        <f>4.121-EA240-DZ240</f>
        <v>0.2020000000000004</v>
      </c>
      <c r="EC240" s="137">
        <f>4.414-EB240-EA240-DZ240</f>
        <v>0.29299999999999971</v>
      </c>
      <c r="ED240" s="137">
        <v>-5.4710000000000001</v>
      </c>
      <c r="EE240" s="136">
        <v>0</v>
      </c>
      <c r="EF240" s="136">
        <v>0</v>
      </c>
      <c r="EG240" s="136">
        <v>0</v>
      </c>
      <c r="EH240" s="136">
        <v>0</v>
      </c>
      <c r="EI240" s="136">
        <v>0</v>
      </c>
      <c r="EJ240" s="136">
        <v>0</v>
      </c>
      <c r="EK240" s="136">
        <v>0</v>
      </c>
      <c r="EL240" s="136">
        <v>0</v>
      </c>
      <c r="EM240" s="136">
        <v>0</v>
      </c>
      <c r="EN240" s="136">
        <v>0</v>
      </c>
      <c r="EO240" s="136">
        <v>0</v>
      </c>
      <c r="EP240" s="136">
        <v>0</v>
      </c>
      <c r="EQ240" s="5"/>
      <c r="ER240" s="5"/>
      <c r="ES240" s="355">
        <f t="shared" si="632"/>
        <v>235</v>
      </c>
      <c r="ET240"/>
      <c r="EU240"/>
      <c r="EV240"/>
      <c r="EW240"/>
      <c r="EX240"/>
      <c r="EY240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</row>
    <row r="241" spans="1:257" s="4" customFormat="1" ht="12.75" customHeight="1" outlineLevel="1">
      <c r="A241" s="15"/>
      <c r="B241" s="14" t="s">
        <v>116</v>
      </c>
      <c r="C241" s="129"/>
      <c r="D241" s="129"/>
      <c r="E241" s="129">
        <f t="shared" si="764"/>
        <v>0</v>
      </c>
      <c r="F241" s="129">
        <f t="shared" si="765"/>
        <v>0</v>
      </c>
      <c r="G241" s="129">
        <f t="shared" si="766"/>
        <v>0</v>
      </c>
      <c r="H241" s="129">
        <f t="shared" si="767"/>
        <v>0</v>
      </c>
      <c r="I241" s="129">
        <f t="shared" si="768"/>
        <v>0</v>
      </c>
      <c r="J241" s="129">
        <f t="shared" si="769"/>
        <v>0</v>
      </c>
      <c r="K241" s="129">
        <f t="shared" si="770"/>
        <v>0</v>
      </c>
      <c r="L241" s="129">
        <f t="shared" si="771"/>
        <v>-0.45</v>
      </c>
      <c r="M241" s="129">
        <f t="shared" si="772"/>
        <v>-23.198</v>
      </c>
      <c r="N241" s="129">
        <f t="shared" si="773"/>
        <v>0</v>
      </c>
      <c r="O241" s="129">
        <f t="shared" si="774"/>
        <v>0</v>
      </c>
      <c r="P241" s="129">
        <f t="shared" si="775"/>
        <v>0</v>
      </c>
      <c r="Q241" s="129">
        <f t="shared" si="776"/>
        <v>0</v>
      </c>
      <c r="R241" s="129">
        <f t="shared" si="777"/>
        <v>-28.407</v>
      </c>
      <c r="S241" s="129">
        <f t="shared" si="778"/>
        <v>-17.620999999999999</v>
      </c>
      <c r="T241" s="129">
        <f t="shared" si="779"/>
        <v>0</v>
      </c>
      <c r="U241" s="129">
        <f t="shared" si="780"/>
        <v>0</v>
      </c>
      <c r="V241" s="129">
        <f t="shared" si="781"/>
        <v>0</v>
      </c>
      <c r="W241" s="129">
        <f t="shared" si="782"/>
        <v>0</v>
      </c>
      <c r="X241" s="129">
        <f t="shared" si="783"/>
        <v>-77.61</v>
      </c>
      <c r="Y241" s="129">
        <f t="shared" si="784"/>
        <v>0</v>
      </c>
      <c r="Z241" s="129">
        <f t="shared" si="785"/>
        <v>0</v>
      </c>
      <c r="AA241" s="129">
        <f t="shared" si="785"/>
        <v>-59.654000000000003</v>
      </c>
      <c r="AB241" s="129">
        <f t="shared" si="785"/>
        <v>0</v>
      </c>
      <c r="AC241" s="129">
        <f t="shared" si="785"/>
        <v>0</v>
      </c>
      <c r="AD241" s="129">
        <f t="shared" si="785"/>
        <v>0</v>
      </c>
      <c r="AE241" s="129">
        <f t="shared" si="785"/>
        <v>0</v>
      </c>
      <c r="AF241" s="129">
        <f t="shared" si="785"/>
        <v>0</v>
      </c>
      <c r="AG241" s="96"/>
      <c r="AH241" s="138">
        <v>0</v>
      </c>
      <c r="AI241" s="138">
        <v>0</v>
      </c>
      <c r="AJ241" s="138">
        <v>0</v>
      </c>
      <c r="AK241" s="138">
        <v>0</v>
      </c>
      <c r="AL241" s="138">
        <v>0</v>
      </c>
      <c r="AM241" s="139">
        <v>0</v>
      </c>
      <c r="AN241" s="110">
        <v>0</v>
      </c>
      <c r="AO241" s="138">
        <v>0</v>
      </c>
      <c r="AP241" s="138">
        <v>0</v>
      </c>
      <c r="AQ241" s="139">
        <v>0</v>
      </c>
      <c r="AR241" s="138">
        <v>0</v>
      </c>
      <c r="AS241" s="138">
        <v>0</v>
      </c>
      <c r="AT241" s="110">
        <v>0</v>
      </c>
      <c r="AU241" s="139">
        <v>0</v>
      </c>
      <c r="AV241" s="110">
        <v>0</v>
      </c>
      <c r="AW241" s="110">
        <v>0</v>
      </c>
      <c r="AX241" s="110">
        <v>0</v>
      </c>
      <c r="AY241" s="110">
        <v>0</v>
      </c>
      <c r="AZ241" s="110">
        <v>0</v>
      </c>
      <c r="BA241" s="110">
        <v>0</v>
      </c>
      <c r="BB241" s="110">
        <v>0</v>
      </c>
      <c r="BC241" s="110">
        <v>0</v>
      </c>
      <c r="BD241" s="110">
        <v>-0.27300000000000002</v>
      </c>
      <c r="BE241" s="110">
        <v>0.27300000000000002</v>
      </c>
      <c r="BF241" s="110">
        <v>0</v>
      </c>
      <c r="BG241" s="110">
        <v>0</v>
      </c>
      <c r="BH241" s="110">
        <v>0</v>
      </c>
      <c r="BI241" s="110">
        <v>0</v>
      </c>
      <c r="BJ241" s="110">
        <v>0</v>
      </c>
      <c r="BK241" s="110">
        <v>-0.45</v>
      </c>
      <c r="BL241" s="110">
        <v>0</v>
      </c>
      <c r="BM241" s="110">
        <v>0</v>
      </c>
      <c r="BN241" s="110">
        <v>0</v>
      </c>
      <c r="BO241" s="110">
        <v>0</v>
      </c>
      <c r="BP241" s="110">
        <v>-1.921</v>
      </c>
      <c r="BQ241" s="110">
        <v>-21.277000000000001</v>
      </c>
      <c r="BR241" s="110">
        <v>0</v>
      </c>
      <c r="BS241" s="110">
        <v>0</v>
      </c>
      <c r="BT241" s="110">
        <v>0</v>
      </c>
      <c r="BU241" s="110">
        <v>0</v>
      </c>
      <c r="BV241" s="110">
        <v>0</v>
      </c>
      <c r="BW241" s="110">
        <v>0</v>
      </c>
      <c r="BX241" s="110">
        <v>0</v>
      </c>
      <c r="BY241" s="110">
        <v>0</v>
      </c>
      <c r="BZ241" s="138">
        <v>0</v>
      </c>
      <c r="CA241" s="138">
        <v>0</v>
      </c>
      <c r="CB241" s="138">
        <v>0</v>
      </c>
      <c r="CC241" s="138">
        <v>0</v>
      </c>
      <c r="CD241" s="138">
        <v>0</v>
      </c>
      <c r="CE241" s="138">
        <v>0</v>
      </c>
      <c r="CF241" s="138">
        <v>0</v>
      </c>
      <c r="CG241" s="110">
        <v>0</v>
      </c>
      <c r="CH241" s="61">
        <v>0</v>
      </c>
      <c r="CI241" s="138">
        <v>0</v>
      </c>
      <c r="CJ241" s="138">
        <v>0</v>
      </c>
      <c r="CK241" s="138">
        <v>-28.407</v>
      </c>
      <c r="CL241" s="138">
        <v>-17.620999999999999</v>
      </c>
      <c r="CM241" s="138">
        <v>0</v>
      </c>
      <c r="CN241" s="138">
        <v>0</v>
      </c>
      <c r="CO241" s="138">
        <v>0</v>
      </c>
      <c r="CP241" s="138">
        <v>0</v>
      </c>
      <c r="CQ241" s="138">
        <v>0</v>
      </c>
      <c r="CR241" s="138">
        <v>0</v>
      </c>
      <c r="CS241" s="138">
        <v>0</v>
      </c>
      <c r="CT241" s="138">
        <v>0</v>
      </c>
      <c r="CU241" s="138">
        <v>0</v>
      </c>
      <c r="CV241" s="138">
        <v>0</v>
      </c>
      <c r="CW241" s="138">
        <v>0</v>
      </c>
      <c r="CX241" s="138">
        <v>0</v>
      </c>
      <c r="CY241" s="138">
        <v>0</v>
      </c>
      <c r="CZ241" s="138">
        <v>0</v>
      </c>
      <c r="DA241" s="138">
        <v>0</v>
      </c>
      <c r="DB241" s="138">
        <v>0</v>
      </c>
      <c r="DC241" s="138">
        <v>0</v>
      </c>
      <c r="DD241" s="61">
        <v>0</v>
      </c>
      <c r="DE241" s="61">
        <v>0</v>
      </c>
      <c r="DF241" s="61">
        <v>0</v>
      </c>
      <c r="DG241" s="61">
        <v>0</v>
      </c>
      <c r="DH241" s="61">
        <v>-71.403999999999996</v>
      </c>
      <c r="DI241" s="61">
        <v>-6.2060000000000031</v>
      </c>
      <c r="DJ241" s="61">
        <v>0</v>
      </c>
      <c r="DK241" s="61">
        <v>0</v>
      </c>
      <c r="DL241" s="61">
        <v>0</v>
      </c>
      <c r="DM241" s="61">
        <v>0</v>
      </c>
      <c r="DN241" s="137">
        <v>0</v>
      </c>
      <c r="DO241" s="137">
        <v>0</v>
      </c>
      <c r="DP241" s="137">
        <v>0</v>
      </c>
      <c r="DQ241" s="137">
        <v>0</v>
      </c>
      <c r="DR241" s="137">
        <v>-59.654000000000003</v>
      </c>
      <c r="DS241" s="137">
        <v>0</v>
      </c>
      <c r="DT241" s="137">
        <v>0</v>
      </c>
      <c r="DU241" s="137">
        <v>0</v>
      </c>
      <c r="DV241" s="137">
        <v>0</v>
      </c>
      <c r="DW241" s="137">
        <v>0</v>
      </c>
      <c r="DX241" s="137">
        <v>0</v>
      </c>
      <c r="DY241" s="137">
        <v>0</v>
      </c>
      <c r="DZ241" s="137">
        <v>0</v>
      </c>
      <c r="EA241" s="137">
        <v>0</v>
      </c>
      <c r="EB241" s="137">
        <v>0</v>
      </c>
      <c r="EC241" s="137">
        <v>0</v>
      </c>
      <c r="ED241" s="137">
        <v>0</v>
      </c>
      <c r="EE241" s="136">
        <v>0</v>
      </c>
      <c r="EF241" s="136">
        <v>0</v>
      </c>
      <c r="EG241" s="136">
        <v>0</v>
      </c>
      <c r="EH241" s="136">
        <v>0</v>
      </c>
      <c r="EI241" s="136">
        <v>0</v>
      </c>
      <c r="EJ241" s="136">
        <v>0</v>
      </c>
      <c r="EK241" s="136">
        <v>0</v>
      </c>
      <c r="EL241" s="136">
        <v>0</v>
      </c>
      <c r="EM241" s="136">
        <v>0</v>
      </c>
      <c r="EN241" s="136">
        <v>0</v>
      </c>
      <c r="EO241" s="136">
        <v>0</v>
      </c>
      <c r="EP241" s="136">
        <v>0</v>
      </c>
      <c r="EQ241" s="5"/>
      <c r="ER241" s="5"/>
      <c r="ES241" s="355">
        <f t="shared" si="632"/>
        <v>236</v>
      </c>
      <c r="ET241"/>
      <c r="EU241"/>
      <c r="EV241"/>
      <c r="EW241"/>
      <c r="EX241"/>
      <c r="EY24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</row>
    <row r="242" spans="1:257" s="4" customFormat="1" ht="12.75" customHeight="1" outlineLevel="1">
      <c r="A242" s="15"/>
      <c r="B242" s="14" t="s">
        <v>115</v>
      </c>
      <c r="C242" s="129"/>
      <c r="D242" s="129"/>
      <c r="E242" s="129">
        <f t="shared" si="764"/>
        <v>-0.11000000000000032</v>
      </c>
      <c r="F242" s="129">
        <f t="shared" si="765"/>
        <v>-3.1389999999999998</v>
      </c>
      <c r="G242" s="129">
        <f t="shared" si="766"/>
        <v>21.700000000000003</v>
      </c>
      <c r="H242" s="129">
        <f t="shared" si="767"/>
        <v>-16.700000000000003</v>
      </c>
      <c r="I242" s="129">
        <f t="shared" si="768"/>
        <v>0</v>
      </c>
      <c r="J242" s="129">
        <f t="shared" si="769"/>
        <v>89.800000000000011</v>
      </c>
      <c r="K242" s="129">
        <f t="shared" si="770"/>
        <v>-39.800000000000011</v>
      </c>
      <c r="L242" s="129">
        <f t="shared" si="771"/>
        <v>-5</v>
      </c>
      <c r="M242" s="129">
        <f t="shared" si="772"/>
        <v>0</v>
      </c>
      <c r="N242" s="129">
        <f t="shared" si="773"/>
        <v>50</v>
      </c>
      <c r="O242" s="129">
        <f t="shared" si="774"/>
        <v>130</v>
      </c>
      <c r="P242" s="129">
        <f t="shared" si="775"/>
        <v>-30</v>
      </c>
      <c r="Q242" s="129">
        <f t="shared" si="776"/>
        <v>0</v>
      </c>
      <c r="R242" s="129">
        <f t="shared" si="777"/>
        <v>21.151</v>
      </c>
      <c r="S242" s="129">
        <f t="shared" si="778"/>
        <v>223.84899999999999</v>
      </c>
      <c r="T242" s="129">
        <f t="shared" si="779"/>
        <v>56.733000000000175</v>
      </c>
      <c r="U242" s="129">
        <f t="shared" si="780"/>
        <v>25.305</v>
      </c>
      <c r="V242" s="129">
        <f t="shared" si="781"/>
        <v>-165</v>
      </c>
      <c r="W242" s="129">
        <f t="shared" si="782"/>
        <v>-10</v>
      </c>
      <c r="X242" s="129">
        <f t="shared" si="783"/>
        <v>-115</v>
      </c>
      <c r="Y242" s="129">
        <f t="shared" si="784"/>
        <v>-40</v>
      </c>
      <c r="Z242" s="129">
        <f t="shared" si="785"/>
        <v>-115</v>
      </c>
      <c r="AA242" s="129">
        <f t="shared" si="785"/>
        <v>457.125</v>
      </c>
      <c r="AB242" s="129">
        <f t="shared" si="785"/>
        <v>-40</v>
      </c>
      <c r="AC242" s="129">
        <f t="shared" si="785"/>
        <v>0</v>
      </c>
      <c r="AD242" s="129">
        <f t="shared" si="785"/>
        <v>0</v>
      </c>
      <c r="AE242" s="129">
        <f t="shared" si="785"/>
        <v>0</v>
      </c>
      <c r="AF242" s="129">
        <f t="shared" si="785"/>
        <v>0</v>
      </c>
      <c r="AG242" s="96"/>
      <c r="AH242" s="134">
        <v>1.6849999999999998</v>
      </c>
      <c r="AI242" s="134">
        <v>-0.19100000000000006</v>
      </c>
      <c r="AJ242" s="134">
        <v>-0.69399999999999995</v>
      </c>
      <c r="AK242" s="134">
        <v>-0.91000000000000014</v>
      </c>
      <c r="AL242" s="134">
        <v>-3.1389999999999998</v>
      </c>
      <c r="AM242" s="134">
        <v>-1.2000000000000011E-2</v>
      </c>
      <c r="AN242" s="134">
        <v>1.2000000000000011E-2</v>
      </c>
      <c r="AO242" s="134">
        <v>0</v>
      </c>
      <c r="AP242" s="134"/>
      <c r="AQ242" s="134">
        <v>0</v>
      </c>
      <c r="AR242" s="134">
        <v>20.2</v>
      </c>
      <c r="AS242" s="134">
        <v>1.5000000000000036</v>
      </c>
      <c r="AT242" s="134">
        <v>2</v>
      </c>
      <c r="AU242" s="134">
        <v>-21.700000000000003</v>
      </c>
      <c r="AV242" s="134">
        <v>4</v>
      </c>
      <c r="AW242" s="134">
        <v>-1</v>
      </c>
      <c r="AX242" s="134">
        <v>10</v>
      </c>
      <c r="AY242" s="134">
        <v>-12</v>
      </c>
      <c r="AZ242" s="134">
        <v>1</v>
      </c>
      <c r="BA242" s="134">
        <v>1</v>
      </c>
      <c r="BB242" s="134">
        <v>10</v>
      </c>
      <c r="BC242" s="134">
        <v>13</v>
      </c>
      <c r="BD242" s="134">
        <v>1</v>
      </c>
      <c r="BE242" s="134">
        <v>65.800000000000011</v>
      </c>
      <c r="BF242" s="134">
        <v>28.7</v>
      </c>
      <c r="BG242" s="134">
        <v>-13.999999999999996</v>
      </c>
      <c r="BH242" s="134">
        <v>-23.5</v>
      </c>
      <c r="BI242" s="134">
        <v>-31.000000000000014</v>
      </c>
      <c r="BJ242" s="134">
        <v>-5</v>
      </c>
      <c r="BK242" s="134">
        <v>0</v>
      </c>
      <c r="BL242" s="134">
        <v>0</v>
      </c>
      <c r="BM242" s="134">
        <v>0</v>
      </c>
      <c r="BN242" s="134">
        <v>0</v>
      </c>
      <c r="BO242" s="134">
        <v>0</v>
      </c>
      <c r="BP242" s="134">
        <v>0</v>
      </c>
      <c r="BQ242" s="134">
        <v>0</v>
      </c>
      <c r="BR242" s="134">
        <v>0</v>
      </c>
      <c r="BS242" s="134">
        <v>0</v>
      </c>
      <c r="BT242" s="134">
        <v>0</v>
      </c>
      <c r="BU242" s="134">
        <v>50</v>
      </c>
      <c r="BV242" s="134">
        <v>100</v>
      </c>
      <c r="BW242" s="134">
        <v>0</v>
      </c>
      <c r="BX242" s="134">
        <v>10</v>
      </c>
      <c r="BY242" s="134">
        <v>20</v>
      </c>
      <c r="BZ242" s="134">
        <v>0</v>
      </c>
      <c r="CA242" s="134">
        <v>-5</v>
      </c>
      <c r="CB242" s="134">
        <v>-22</v>
      </c>
      <c r="CC242" s="134">
        <v>-3</v>
      </c>
      <c r="CD242" s="134">
        <v>0</v>
      </c>
      <c r="CE242" s="134">
        <v>0</v>
      </c>
      <c r="CF242" s="134">
        <v>0.379</v>
      </c>
      <c r="CG242" s="134">
        <v>-0.379</v>
      </c>
      <c r="CH242" s="134">
        <v>0</v>
      </c>
      <c r="CI242" s="134">
        <v>0</v>
      </c>
      <c r="CJ242" s="134">
        <v>2.3260000000000001</v>
      </c>
      <c r="CK242" s="134">
        <v>18.824999999999999</v>
      </c>
      <c r="CL242" s="134">
        <v>25.057000000000002</v>
      </c>
      <c r="CM242" s="134">
        <v>116.027</v>
      </c>
      <c r="CN242" s="134">
        <v>48.901999999999987</v>
      </c>
      <c r="CO242" s="134">
        <v>33.863</v>
      </c>
      <c r="CP242" s="134">
        <v>40</v>
      </c>
      <c r="CQ242" s="134">
        <v>-5</v>
      </c>
      <c r="CR242" s="134">
        <v>-18.275999999999986</v>
      </c>
      <c r="CS242" s="134">
        <v>40.009000000000157</v>
      </c>
      <c r="CT242" s="134">
        <v>15.597</v>
      </c>
      <c r="CU242" s="134">
        <v>42.67</v>
      </c>
      <c r="CV242" s="134">
        <v>8.9919999999998268</v>
      </c>
      <c r="CW242" s="134">
        <v>-41.95399999999983</v>
      </c>
      <c r="CX242" s="134">
        <v>-40</v>
      </c>
      <c r="CY242" s="134">
        <v>-45</v>
      </c>
      <c r="CZ242" s="134">
        <v>-50</v>
      </c>
      <c r="DA242" s="134">
        <v>-30</v>
      </c>
      <c r="DB242" s="134">
        <v>-10</v>
      </c>
      <c r="DC242" s="134">
        <v>0</v>
      </c>
      <c r="DD242" s="134">
        <v>4.8440000000000003</v>
      </c>
      <c r="DE242" s="134">
        <v>-4.8440000000000003</v>
      </c>
      <c r="DF242" s="134">
        <v>0</v>
      </c>
      <c r="DG242" s="134">
        <v>0</v>
      </c>
      <c r="DH242" s="134">
        <v>3.9550000000000001</v>
      </c>
      <c r="DI242" s="134">
        <v>-118.955</v>
      </c>
      <c r="DJ242" s="134">
        <v>0</v>
      </c>
      <c r="DK242" s="134">
        <v>0</v>
      </c>
      <c r="DL242" s="134">
        <v>0</v>
      </c>
      <c r="DM242" s="134">
        <v>-40</v>
      </c>
      <c r="DN242" s="130">
        <v>0</v>
      </c>
      <c r="DO242" s="130">
        <v>0</v>
      </c>
      <c r="DP242" s="130">
        <v>-0.03</v>
      </c>
      <c r="DQ242" s="130">
        <v>-114.97</v>
      </c>
      <c r="DR242" s="130">
        <v>1.002</v>
      </c>
      <c r="DS242" s="130">
        <v>504.34899999999999</v>
      </c>
      <c r="DT242" s="130">
        <v>-2.6039999999999752</v>
      </c>
      <c r="DU242" s="130">
        <v>-45.622000000000007</v>
      </c>
      <c r="DV242" s="130">
        <v>0</v>
      </c>
      <c r="DW242" s="130">
        <v>0</v>
      </c>
      <c r="DX242" s="130">
        <v>0</v>
      </c>
      <c r="DY242" s="130">
        <v>-40</v>
      </c>
      <c r="DZ242" s="130">
        <v>0</v>
      </c>
      <c r="EA242" s="130">
        <v>0</v>
      </c>
      <c r="EB242" s="130">
        <v>0</v>
      </c>
      <c r="EC242" s="130">
        <v>0</v>
      </c>
      <c r="ED242" s="130">
        <v>0</v>
      </c>
      <c r="EE242" s="129">
        <v>0</v>
      </c>
      <c r="EF242" s="129">
        <v>0</v>
      </c>
      <c r="EG242" s="129">
        <v>0</v>
      </c>
      <c r="EH242" s="129">
        <v>0</v>
      </c>
      <c r="EI242" s="129">
        <v>0</v>
      </c>
      <c r="EJ242" s="129">
        <v>0</v>
      </c>
      <c r="EK242" s="129">
        <v>0</v>
      </c>
      <c r="EL242" s="129">
        <v>0</v>
      </c>
      <c r="EM242" s="129">
        <v>0</v>
      </c>
      <c r="EN242" s="129">
        <v>0</v>
      </c>
      <c r="EO242" s="129">
        <v>0</v>
      </c>
      <c r="EP242" s="129">
        <v>0</v>
      </c>
      <c r="EQ242" s="5"/>
      <c r="ER242" s="5"/>
      <c r="ES242" s="355">
        <f t="shared" si="632"/>
        <v>237</v>
      </c>
      <c r="ET242"/>
      <c r="EU242"/>
      <c r="EV242"/>
      <c r="EW242"/>
      <c r="EX242"/>
      <c r="EY242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</row>
    <row r="243" spans="1:257" s="4" customFormat="1" ht="12.75" customHeight="1" outlineLevel="1">
      <c r="A243" s="15"/>
      <c r="B243" s="14" t="s">
        <v>114</v>
      </c>
      <c r="C243" s="129"/>
      <c r="D243" s="129"/>
      <c r="E243" s="129">
        <f t="shared" si="764"/>
        <v>0</v>
      </c>
      <c r="F243" s="129">
        <f t="shared" si="765"/>
        <v>0</v>
      </c>
      <c r="G243" s="129">
        <f t="shared" si="766"/>
        <v>0</v>
      </c>
      <c r="H243" s="129">
        <f t="shared" si="767"/>
        <v>0</v>
      </c>
      <c r="I243" s="129">
        <f t="shared" si="768"/>
        <v>-3.0000000000000001E-3</v>
      </c>
      <c r="J243" s="129">
        <f t="shared" si="769"/>
        <v>0</v>
      </c>
      <c r="K243" s="129">
        <f t="shared" si="770"/>
        <v>0</v>
      </c>
      <c r="L243" s="129">
        <f t="shared" si="771"/>
        <v>0</v>
      </c>
      <c r="M243" s="129">
        <f t="shared" si="772"/>
        <v>-89.591999999999999</v>
      </c>
      <c r="N243" s="129">
        <f t="shared" si="773"/>
        <v>1.000000000000334E-3</v>
      </c>
      <c r="O243" s="129">
        <f t="shared" si="774"/>
        <v>0</v>
      </c>
      <c r="P243" s="129">
        <f t="shared" si="775"/>
        <v>0</v>
      </c>
      <c r="Q243" s="129">
        <f t="shared" si="776"/>
        <v>0</v>
      </c>
      <c r="R243" s="129">
        <f t="shared" si="777"/>
        <v>0</v>
      </c>
      <c r="S243" s="129">
        <f t="shared" si="778"/>
        <v>0</v>
      </c>
      <c r="T243" s="129">
        <f t="shared" si="779"/>
        <v>0</v>
      </c>
      <c r="U243" s="129">
        <f t="shared" si="780"/>
        <v>0</v>
      </c>
      <c r="V243" s="129">
        <f t="shared" si="781"/>
        <v>-35.802999999999997</v>
      </c>
      <c r="W243" s="129">
        <f t="shared" si="782"/>
        <v>0</v>
      </c>
      <c r="X243" s="129">
        <f t="shared" si="783"/>
        <v>-1.514</v>
      </c>
      <c r="Y243" s="129">
        <f t="shared" si="784"/>
        <v>-1.677</v>
      </c>
      <c r="Z243" s="129">
        <f t="shared" si="785"/>
        <v>-3.0490000000000004</v>
      </c>
      <c r="AA243" s="129">
        <f t="shared" si="785"/>
        <v>-5.4740000000000002</v>
      </c>
      <c r="AB243" s="129">
        <f t="shared" si="785"/>
        <v>10.29</v>
      </c>
      <c r="AC243" s="129">
        <f t="shared" si="785"/>
        <v>-5.8479999999999999</v>
      </c>
      <c r="AD243" s="129">
        <f t="shared" si="785"/>
        <v>0</v>
      </c>
      <c r="AE243" s="129">
        <f t="shared" si="785"/>
        <v>0</v>
      </c>
      <c r="AF243" s="129">
        <f t="shared" si="785"/>
        <v>0</v>
      </c>
      <c r="AG243" s="96"/>
      <c r="AH243" s="134">
        <v>0</v>
      </c>
      <c r="AI243" s="134">
        <v>0</v>
      </c>
      <c r="AJ243" s="134">
        <v>0</v>
      </c>
      <c r="AK243" s="134">
        <v>0</v>
      </c>
      <c r="AL243" s="134">
        <v>0</v>
      </c>
      <c r="AM243" s="135">
        <v>0</v>
      </c>
      <c r="AN243" s="57">
        <v>0</v>
      </c>
      <c r="AO243" s="134">
        <v>0</v>
      </c>
      <c r="AP243" s="134">
        <v>0</v>
      </c>
      <c r="AQ243" s="135">
        <v>0</v>
      </c>
      <c r="AR243" s="134">
        <v>0</v>
      </c>
      <c r="AS243" s="134">
        <v>0</v>
      </c>
      <c r="AT243" s="57">
        <v>0.26300000000000001</v>
      </c>
      <c r="AU243" s="135">
        <v>-0.14699999999999999</v>
      </c>
      <c r="AV243" s="57">
        <v>0.61099999999999999</v>
      </c>
      <c r="AW243" s="57">
        <v>-0.72699999999999998</v>
      </c>
      <c r="AX243" s="57">
        <v>0</v>
      </c>
      <c r="AY243" s="57">
        <v>0</v>
      </c>
      <c r="AZ243" s="57">
        <v>0</v>
      </c>
      <c r="BA243" s="57">
        <v>-3.0000000000000001E-3</v>
      </c>
      <c r="BB243" s="57">
        <v>0</v>
      </c>
      <c r="BC243" s="57">
        <v>0</v>
      </c>
      <c r="BD243" s="57">
        <v>0</v>
      </c>
      <c r="BE243" s="57">
        <v>0</v>
      </c>
      <c r="BF243" s="57">
        <v>0</v>
      </c>
      <c r="BG243" s="57">
        <v>0</v>
      </c>
      <c r="BH243" s="57">
        <v>0</v>
      </c>
      <c r="BI243" s="57">
        <v>0</v>
      </c>
      <c r="BJ243" s="57">
        <v>0</v>
      </c>
      <c r="BK243" s="57">
        <v>0</v>
      </c>
      <c r="BL243" s="57">
        <v>0</v>
      </c>
      <c r="BM243" s="57">
        <v>0</v>
      </c>
      <c r="BN243" s="57">
        <v>0</v>
      </c>
      <c r="BO243" s="57">
        <v>0</v>
      </c>
      <c r="BP243" s="57">
        <v>0</v>
      </c>
      <c r="BQ243" s="57">
        <v>-89.591999999999999</v>
      </c>
      <c r="BR243" s="57">
        <v>-5.8639999999999999</v>
      </c>
      <c r="BS243" s="57">
        <v>0</v>
      </c>
      <c r="BT243" s="57">
        <v>0</v>
      </c>
      <c r="BU243" s="57">
        <v>5.8650000000000002</v>
      </c>
      <c r="BV243" s="57">
        <v>0</v>
      </c>
      <c r="BW243" s="57">
        <v>0</v>
      </c>
      <c r="BX243" s="57">
        <v>0</v>
      </c>
      <c r="BY243" s="57">
        <v>0</v>
      </c>
      <c r="BZ243" s="57">
        <v>0</v>
      </c>
      <c r="CA243" s="134">
        <v>0</v>
      </c>
      <c r="CB243" s="57">
        <v>0</v>
      </c>
      <c r="CC243" s="134">
        <v>0</v>
      </c>
      <c r="CD243" s="134">
        <v>0</v>
      </c>
      <c r="CE243" s="134">
        <v>0</v>
      </c>
      <c r="CF243" s="134">
        <v>0</v>
      </c>
      <c r="CG243" s="57">
        <v>0</v>
      </c>
      <c r="CH243" s="57">
        <v>0</v>
      </c>
      <c r="CI243" s="57">
        <v>0</v>
      </c>
      <c r="CJ243" s="134">
        <v>0</v>
      </c>
      <c r="CK243" s="57">
        <v>0</v>
      </c>
      <c r="CL243" s="57">
        <v>0</v>
      </c>
      <c r="CM243" s="57">
        <v>0</v>
      </c>
      <c r="CN243" s="57">
        <v>0</v>
      </c>
      <c r="CO243" s="57">
        <v>0</v>
      </c>
      <c r="CP243" s="57">
        <v>0</v>
      </c>
      <c r="CQ243" s="134">
        <v>0</v>
      </c>
      <c r="CR243" s="134">
        <v>0</v>
      </c>
      <c r="CS243" s="134">
        <v>0</v>
      </c>
      <c r="CT243" s="57">
        <v>0</v>
      </c>
      <c r="CU243" s="57">
        <v>0</v>
      </c>
      <c r="CV243" s="57">
        <v>0</v>
      </c>
      <c r="CW243" s="57">
        <v>0</v>
      </c>
      <c r="CX243" s="57">
        <v>-2.0379999999999998</v>
      </c>
      <c r="CY243" s="57">
        <v>0</v>
      </c>
      <c r="CZ243" s="57">
        <v>-40.880000000000003</v>
      </c>
      <c r="DA243" s="57">
        <v>7.1150000000000002</v>
      </c>
      <c r="DB243" s="57">
        <v>0</v>
      </c>
      <c r="DC243" s="57">
        <v>0</v>
      </c>
      <c r="DD243" s="57">
        <v>0</v>
      </c>
      <c r="DE243" s="57">
        <v>0</v>
      </c>
      <c r="DF243" s="57">
        <v>-1.514</v>
      </c>
      <c r="DG243" s="57">
        <v>0</v>
      </c>
      <c r="DH243" s="57">
        <v>0</v>
      </c>
      <c r="DI243" s="57">
        <v>0</v>
      </c>
      <c r="DJ243" s="57">
        <v>-1.677</v>
      </c>
      <c r="DK243" s="57">
        <v>0</v>
      </c>
      <c r="DL243" s="57">
        <v>0</v>
      </c>
      <c r="DM243" s="57">
        <v>0</v>
      </c>
      <c r="DN243" s="133">
        <v>-3.05</v>
      </c>
      <c r="DO243" s="133">
        <v>-7.93</v>
      </c>
      <c r="DP243" s="133">
        <v>7.931</v>
      </c>
      <c r="DQ243" s="133">
        <v>0</v>
      </c>
      <c r="DR243" s="133">
        <v>0</v>
      </c>
      <c r="DS243" s="133">
        <v>0</v>
      </c>
      <c r="DT243" s="133">
        <v>-5.1040000000000001</v>
      </c>
      <c r="DU243" s="133">
        <v>-0.37000000000000011</v>
      </c>
      <c r="DV243" s="133">
        <v>11.37</v>
      </c>
      <c r="DW243" s="133">
        <v>0</v>
      </c>
      <c r="DX243" s="133">
        <v>0</v>
      </c>
      <c r="DY243" s="133">
        <v>-1.08</v>
      </c>
      <c r="DZ243" s="133">
        <v>-0.02</v>
      </c>
      <c r="EA243" s="133">
        <f>-5.679-DZ243</f>
        <v>-5.6590000000000007</v>
      </c>
      <c r="EB243" s="133">
        <f>-5.848-EA243-DZ243</f>
        <v>-0.16899999999999918</v>
      </c>
      <c r="EC243" s="133">
        <f>-5.848-EB243-EA243-DZ243</f>
        <v>4.2674197509029455E-16</v>
      </c>
      <c r="ED243" s="133">
        <v>0</v>
      </c>
      <c r="EE243" s="132">
        <v>0</v>
      </c>
      <c r="EF243" s="132">
        <v>0</v>
      </c>
      <c r="EG243" s="132">
        <v>0</v>
      </c>
      <c r="EH243" s="132">
        <v>0</v>
      </c>
      <c r="EI243" s="132">
        <v>0</v>
      </c>
      <c r="EJ243" s="132">
        <v>0</v>
      </c>
      <c r="EK243" s="132">
        <v>0</v>
      </c>
      <c r="EL243" s="132">
        <v>0</v>
      </c>
      <c r="EM243" s="132">
        <v>0</v>
      </c>
      <c r="EN243" s="132">
        <v>0</v>
      </c>
      <c r="EO243" s="132">
        <v>0</v>
      </c>
      <c r="EP243" s="132">
        <v>0</v>
      </c>
      <c r="EQ243" s="5"/>
      <c r="ER243" s="5"/>
      <c r="ES243" s="355">
        <f t="shared" si="632"/>
        <v>238</v>
      </c>
      <c r="ET243"/>
      <c r="EU243"/>
      <c r="EV243"/>
      <c r="EW243"/>
      <c r="EX243"/>
      <c r="EY243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</row>
    <row r="244" spans="1:257" s="4" customFormat="1" ht="12.75" customHeight="1" outlineLevel="1">
      <c r="A244" s="15"/>
      <c r="B244" s="128" t="s">
        <v>113</v>
      </c>
      <c r="C244" s="127"/>
      <c r="D244" s="127"/>
      <c r="E244" s="127">
        <f t="shared" ref="E244:AF244" si="788">SUM(E233:E243)</f>
        <v>24.070000000000025</v>
      </c>
      <c r="F244" s="127">
        <f t="shared" si="788"/>
        <v>-32.209000000000017</v>
      </c>
      <c r="G244" s="127">
        <f t="shared" si="788"/>
        <v>-13.488999999999976</v>
      </c>
      <c r="H244" s="127">
        <f t="shared" si="788"/>
        <v>-3.4079999999999728</v>
      </c>
      <c r="I244" s="127">
        <f t="shared" si="788"/>
        <v>11.071000000000005</v>
      </c>
      <c r="J244" s="127">
        <f t="shared" si="788"/>
        <v>-3.4869999999999095</v>
      </c>
      <c r="K244" s="127">
        <f t="shared" si="788"/>
        <v>-2.7179999999999893</v>
      </c>
      <c r="L244" s="127">
        <f t="shared" si="788"/>
        <v>86.329000000000022</v>
      </c>
      <c r="M244" s="127">
        <f t="shared" si="788"/>
        <v>-47.734000000000044</v>
      </c>
      <c r="N244" s="127">
        <f t="shared" si="788"/>
        <v>-76.331999999999994</v>
      </c>
      <c r="O244" s="127">
        <f t="shared" si="788"/>
        <v>-8.6940000000000452</v>
      </c>
      <c r="P244" s="127">
        <f t="shared" si="788"/>
        <v>27.107000000000042</v>
      </c>
      <c r="Q244" s="127">
        <f t="shared" si="788"/>
        <v>223.45600000000007</v>
      </c>
      <c r="R244" s="127">
        <f t="shared" si="788"/>
        <v>-254.89899999999989</v>
      </c>
      <c r="S244" s="127">
        <f t="shared" si="788"/>
        <v>55.361999999999256</v>
      </c>
      <c r="T244" s="127">
        <f t="shared" si="788"/>
        <v>32.298000000000499</v>
      </c>
      <c r="U244" s="127">
        <f t="shared" si="788"/>
        <v>19.973000000000027</v>
      </c>
      <c r="V244" s="127">
        <f t="shared" si="788"/>
        <v>-78.410999999999873</v>
      </c>
      <c r="W244" s="127">
        <f t="shared" si="788"/>
        <v>301.22599999999994</v>
      </c>
      <c r="X244" s="127">
        <f t="shared" si="788"/>
        <v>-268.15100000000007</v>
      </c>
      <c r="Y244" s="127">
        <f t="shared" si="788"/>
        <v>351.77299999999912</v>
      </c>
      <c r="Z244" s="127">
        <f t="shared" si="788"/>
        <v>-86.912000000000901</v>
      </c>
      <c r="AA244" s="127">
        <f t="shared" si="788"/>
        <v>357.11493399999989</v>
      </c>
      <c r="AB244" s="127">
        <f t="shared" si="788"/>
        <v>187.57800000000003</v>
      </c>
      <c r="AC244" s="127">
        <f t="shared" si="788"/>
        <v>-384.18599999999998</v>
      </c>
      <c r="AD244" s="127">
        <f t="shared" si="788"/>
        <v>-358.39322793632152</v>
      </c>
      <c r="AE244" s="127">
        <f t="shared" si="788"/>
        <v>61.069807013171328</v>
      </c>
      <c r="AF244" s="127">
        <f t="shared" si="788"/>
        <v>165.67459551072187</v>
      </c>
      <c r="AG244" s="96"/>
      <c r="AH244" s="127">
        <f t="shared" ref="AH244:BM244" si="789">SUM(AH233:AH243)</f>
        <v>8.620000000000001</v>
      </c>
      <c r="AI244" s="127">
        <f t="shared" si="789"/>
        <v>6.1979999999999995</v>
      </c>
      <c r="AJ244" s="127">
        <f t="shared" si="789"/>
        <v>10.433000000000003</v>
      </c>
      <c r="AK244" s="127">
        <f t="shared" si="789"/>
        <v>-1.1809999999999776</v>
      </c>
      <c r="AL244" s="127">
        <f t="shared" si="789"/>
        <v>-7.5469999999999953</v>
      </c>
      <c r="AM244" s="127">
        <f t="shared" si="789"/>
        <v>13.56699999999999</v>
      </c>
      <c r="AN244" s="127">
        <f t="shared" si="789"/>
        <v>-22.704000000000004</v>
      </c>
      <c r="AO244" s="127">
        <f t="shared" si="789"/>
        <v>-15.525000000000027</v>
      </c>
      <c r="AP244" s="127">
        <f t="shared" si="789"/>
        <v>-14.012999999999995</v>
      </c>
      <c r="AQ244" s="127">
        <f t="shared" si="789"/>
        <v>1.1870000000000043</v>
      </c>
      <c r="AR244" s="127">
        <f t="shared" si="789"/>
        <v>0.60999999999999588</v>
      </c>
      <c r="AS244" s="127">
        <f t="shared" si="789"/>
        <v>-1.2730000000000103</v>
      </c>
      <c r="AT244" s="127">
        <f t="shared" si="789"/>
        <v>-11.931999999999988</v>
      </c>
      <c r="AU244" s="127">
        <f t="shared" si="789"/>
        <v>3.6789999999999901</v>
      </c>
      <c r="AV244" s="127">
        <f t="shared" si="789"/>
        <v>3.1780000000000017</v>
      </c>
      <c r="AW244" s="127">
        <f t="shared" si="789"/>
        <v>1.6670000000000305</v>
      </c>
      <c r="AX244" s="127">
        <f t="shared" si="789"/>
        <v>10.602000000000009</v>
      </c>
      <c r="AY244" s="127">
        <f t="shared" si="789"/>
        <v>-8.0169999999999941</v>
      </c>
      <c r="AZ244" s="127">
        <f t="shared" si="789"/>
        <v>10.759000000000013</v>
      </c>
      <c r="BA244" s="127">
        <f t="shared" si="789"/>
        <v>-2.2729999999999402</v>
      </c>
      <c r="BB244" s="127">
        <f t="shared" si="789"/>
        <v>22.451000000000001</v>
      </c>
      <c r="BC244" s="127">
        <f t="shared" si="789"/>
        <v>-14.775000000000006</v>
      </c>
      <c r="BD244" s="127">
        <f t="shared" si="789"/>
        <v>-4.9360000000000044</v>
      </c>
      <c r="BE244" s="127">
        <f t="shared" si="789"/>
        <v>-6.2269999999998333</v>
      </c>
      <c r="BF244" s="127">
        <f t="shared" si="789"/>
        <v>3.4139999999999873</v>
      </c>
      <c r="BG244" s="127">
        <f t="shared" si="789"/>
        <v>-7.1839999999999815</v>
      </c>
      <c r="BH244" s="127">
        <f t="shared" si="789"/>
        <v>6.3489999999999718</v>
      </c>
      <c r="BI244" s="127">
        <f t="shared" si="789"/>
        <v>-5.2969999999999366</v>
      </c>
      <c r="BJ244" s="127">
        <f t="shared" si="789"/>
        <v>16.785999999999991</v>
      </c>
      <c r="BK244" s="127">
        <f t="shared" si="789"/>
        <v>30.428000000000026</v>
      </c>
      <c r="BL244" s="127">
        <f t="shared" si="789"/>
        <v>19.726999999999979</v>
      </c>
      <c r="BM244" s="127">
        <f t="shared" si="789"/>
        <v>19.388000000000023</v>
      </c>
      <c r="BN244" s="127">
        <f t="shared" ref="BN244:CS244" si="790">SUM(BN233:BN243)</f>
        <v>18.451000000000001</v>
      </c>
      <c r="BO244" s="127">
        <f t="shared" si="790"/>
        <v>20.103000000000016</v>
      </c>
      <c r="BP244" s="127">
        <f t="shared" si="790"/>
        <v>21.233000000000018</v>
      </c>
      <c r="BQ244" s="127">
        <f t="shared" si="790"/>
        <v>-107.52100000000003</v>
      </c>
      <c r="BR244" s="127">
        <f t="shared" si="790"/>
        <v>-42.993000000000002</v>
      </c>
      <c r="BS244" s="127">
        <f t="shared" si="790"/>
        <v>-32.837000000000003</v>
      </c>
      <c r="BT244" s="127">
        <f t="shared" si="790"/>
        <v>-6.8450000000000149</v>
      </c>
      <c r="BU244" s="127">
        <f t="shared" si="790"/>
        <v>6.3429999999999875</v>
      </c>
      <c r="BV244" s="127">
        <f t="shared" si="790"/>
        <v>54.348000000000006</v>
      </c>
      <c r="BW244" s="127">
        <f t="shared" si="790"/>
        <v>-57.983000000000004</v>
      </c>
      <c r="BX244" s="127">
        <f t="shared" si="790"/>
        <v>-16.27500000000002</v>
      </c>
      <c r="BY244" s="127">
        <f t="shared" si="790"/>
        <v>11.216000000000014</v>
      </c>
      <c r="BZ244" s="127">
        <f t="shared" si="790"/>
        <v>-2.6920000000000046</v>
      </c>
      <c r="CA244" s="127">
        <f t="shared" si="790"/>
        <v>-4.9390000000000018</v>
      </c>
      <c r="CB244" s="127">
        <f t="shared" si="790"/>
        <v>-6.11099999999999</v>
      </c>
      <c r="CC244" s="127">
        <f t="shared" si="790"/>
        <v>40.849000000000018</v>
      </c>
      <c r="CD244" s="127">
        <f t="shared" si="790"/>
        <v>112.22800000000001</v>
      </c>
      <c r="CE244" s="127">
        <f t="shared" si="790"/>
        <v>30.929000000000009</v>
      </c>
      <c r="CF244" s="127">
        <f t="shared" si="790"/>
        <v>27.832000000000008</v>
      </c>
      <c r="CG244" s="127">
        <f t="shared" si="790"/>
        <v>52.46700000000002</v>
      </c>
      <c r="CH244" s="127">
        <f t="shared" si="790"/>
        <v>12.826000000000001</v>
      </c>
      <c r="CI244" s="127">
        <f t="shared" si="790"/>
        <v>-106.42300000000004</v>
      </c>
      <c r="CJ244" s="127">
        <f t="shared" si="790"/>
        <v>-81.053999999999959</v>
      </c>
      <c r="CK244" s="127">
        <f t="shared" si="790"/>
        <v>-80.247999999999948</v>
      </c>
      <c r="CL244" s="127">
        <f t="shared" si="790"/>
        <v>39.234999999999978</v>
      </c>
      <c r="CM244" s="127">
        <f t="shared" si="790"/>
        <v>16.051999999999964</v>
      </c>
      <c r="CN244" s="127">
        <f t="shared" si="790"/>
        <v>-18.578000000000074</v>
      </c>
      <c r="CO244" s="127">
        <f t="shared" si="790"/>
        <v>18.652999999999974</v>
      </c>
      <c r="CP244" s="127">
        <f t="shared" si="790"/>
        <v>8.2920000000000726</v>
      </c>
      <c r="CQ244" s="127">
        <f t="shared" si="790"/>
        <v>-6.7710000000000683</v>
      </c>
      <c r="CR244" s="127">
        <f t="shared" si="790"/>
        <v>8.2820000000000782</v>
      </c>
      <c r="CS244" s="127">
        <f t="shared" si="790"/>
        <v>22.495000000000068</v>
      </c>
      <c r="CT244" s="127">
        <f t="shared" ref="CT244:DY244" si="791">SUM(CT233:CT243)</f>
        <v>16.510999999999921</v>
      </c>
      <c r="CU244" s="127">
        <f t="shared" si="791"/>
        <v>-11.646000000000079</v>
      </c>
      <c r="CV244" s="127">
        <f t="shared" si="791"/>
        <v>15.326999999999959</v>
      </c>
      <c r="CW244" s="127">
        <f t="shared" si="791"/>
        <v>-0.21899999999992303</v>
      </c>
      <c r="CX244" s="127">
        <f t="shared" si="791"/>
        <v>11.567000000000075</v>
      </c>
      <c r="CY244" s="127">
        <f t="shared" si="791"/>
        <v>-27.341000000000037</v>
      </c>
      <c r="CZ244" s="127">
        <f t="shared" si="791"/>
        <v>-47.939999999999984</v>
      </c>
      <c r="DA244" s="127">
        <f t="shared" si="791"/>
        <v>-14.696999999999962</v>
      </c>
      <c r="DB244" s="127">
        <f t="shared" si="791"/>
        <v>110.80399999999989</v>
      </c>
      <c r="DC244" s="127">
        <f t="shared" si="791"/>
        <v>66.861000000000004</v>
      </c>
      <c r="DD244" s="127">
        <f t="shared" si="791"/>
        <v>47.379999999999882</v>
      </c>
      <c r="DE244" s="127">
        <f t="shared" si="791"/>
        <v>76.18100000000004</v>
      </c>
      <c r="DF244" s="127">
        <f t="shared" si="791"/>
        <v>-16.386999999999979</v>
      </c>
      <c r="DG244" s="127">
        <f t="shared" si="791"/>
        <v>-23.474000000000046</v>
      </c>
      <c r="DH244" s="127">
        <f t="shared" si="791"/>
        <v>-175.51900000000009</v>
      </c>
      <c r="DI244" s="127">
        <f t="shared" si="791"/>
        <v>-52.770999999999972</v>
      </c>
      <c r="DJ244" s="127">
        <f t="shared" si="791"/>
        <v>145.05100000000007</v>
      </c>
      <c r="DK244" s="127">
        <f t="shared" si="791"/>
        <v>-68.153000000000048</v>
      </c>
      <c r="DL244" s="127">
        <f t="shared" si="791"/>
        <v>307.48700000000002</v>
      </c>
      <c r="DM244" s="127">
        <f t="shared" si="791"/>
        <v>-32.612000000000194</v>
      </c>
      <c r="DN244" s="127">
        <f t="shared" si="791"/>
        <v>133.54500000000002</v>
      </c>
      <c r="DO244" s="127">
        <f t="shared" si="791"/>
        <v>3.5669999999999806</v>
      </c>
      <c r="DP244" s="127">
        <f t="shared" si="791"/>
        <v>-35.052000000000007</v>
      </c>
      <c r="DQ244" s="127">
        <f t="shared" si="791"/>
        <v>-188.97200000000009</v>
      </c>
      <c r="DR244" s="127">
        <f t="shared" si="791"/>
        <v>-109.25799999999985</v>
      </c>
      <c r="DS244" s="127">
        <f t="shared" si="791"/>
        <v>467.48993400000006</v>
      </c>
      <c r="DT244" s="127">
        <f t="shared" si="791"/>
        <v>51.818000000000104</v>
      </c>
      <c r="DU244" s="127">
        <f t="shared" si="791"/>
        <v>-52.935000000000187</v>
      </c>
      <c r="DV244" s="127">
        <f t="shared" si="791"/>
        <v>130.24810000000005</v>
      </c>
      <c r="DW244" s="127">
        <f t="shared" si="791"/>
        <v>49.782899999999906</v>
      </c>
      <c r="DX244" s="127">
        <f t="shared" si="791"/>
        <v>9.0190000000000889</v>
      </c>
      <c r="DY244" s="127">
        <f t="shared" si="791"/>
        <v>-1.4720000000000102</v>
      </c>
      <c r="DZ244" s="127">
        <f t="shared" ref="DZ244:EP244" si="792">SUM(DZ233:DZ243)</f>
        <v>-79.668999999999997</v>
      </c>
      <c r="EA244" s="127">
        <f t="shared" si="792"/>
        <v>-84.145999999999987</v>
      </c>
      <c r="EB244" s="127">
        <f t="shared" si="792"/>
        <v>-168.95900000000003</v>
      </c>
      <c r="EC244" s="127">
        <f t="shared" si="792"/>
        <v>-51.412000000000056</v>
      </c>
      <c r="ED244" s="127">
        <f>SUM(ED233:ED243)</f>
        <v>-137.71100000000001</v>
      </c>
      <c r="EE244" s="127">
        <f t="shared" si="792"/>
        <v>-80.132653397099546</v>
      </c>
      <c r="EF244" s="127">
        <f t="shared" si="792"/>
        <v>-79.4932507159414</v>
      </c>
      <c r="EG244" s="127">
        <f t="shared" si="792"/>
        <v>-61.056323823280749</v>
      </c>
      <c r="EH244" s="127">
        <f t="shared" si="792"/>
        <v>-1.3335379640907092</v>
      </c>
      <c r="EI244" s="127">
        <f t="shared" si="792"/>
        <v>1.0543243051327522</v>
      </c>
      <c r="EJ244" s="127">
        <f t="shared" si="792"/>
        <v>27.437245825015395</v>
      </c>
      <c r="EK244" s="127">
        <f t="shared" si="792"/>
        <v>33.911774847113875</v>
      </c>
      <c r="EL244" s="127">
        <f t="shared" si="792"/>
        <v>30.578173352390181</v>
      </c>
      <c r="EM244" s="127">
        <f t="shared" si="792"/>
        <v>43.538853383393402</v>
      </c>
      <c r="EN244" s="127">
        <f t="shared" si="792"/>
        <v>44.319955185363099</v>
      </c>
      <c r="EO244" s="127">
        <f t="shared" si="792"/>
        <v>47.23761358957529</v>
      </c>
      <c r="EP244" s="127">
        <f t="shared" si="792"/>
        <v>42.180510728760069</v>
      </c>
      <c r="EQ244" s="5"/>
      <c r="ER244" s="5"/>
      <c r="ES244" s="355">
        <f t="shared" si="632"/>
        <v>239</v>
      </c>
      <c r="ET244"/>
      <c r="EU244"/>
      <c r="EV244"/>
      <c r="EW244"/>
      <c r="EX244"/>
      <c r="EY244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</row>
    <row r="245" spans="1:257" s="4" customFormat="1" ht="12.75" customHeight="1" outlineLevel="1">
      <c r="A245" s="15"/>
      <c r="B245" s="37" t="s">
        <v>112</v>
      </c>
      <c r="C245" s="129"/>
      <c r="D245" s="129"/>
      <c r="E245" s="129">
        <f>SUM(AH245:AK245)</f>
        <v>0</v>
      </c>
      <c r="F245" s="129">
        <f>SUM(AL245:AO245)</f>
        <v>0</v>
      </c>
      <c r="G245" s="129">
        <f>SUM(AP245:AS245)</f>
        <v>3.5850000000000004</v>
      </c>
      <c r="H245" s="129">
        <f>SUM(AT245:AW245)</f>
        <v>0.75700000000000012</v>
      </c>
      <c r="I245" s="129">
        <f>SUM(AX245:BA245)</f>
        <v>0</v>
      </c>
      <c r="J245" s="129">
        <f>SUM(BB245:BE245)</f>
        <v>0</v>
      </c>
      <c r="K245" s="129">
        <f>SUM(BF245:BI245)</f>
        <v>0</v>
      </c>
      <c r="L245" s="129">
        <f>SUM(BJ245:BM245)</f>
        <v>0</v>
      </c>
      <c r="M245" s="129">
        <f>SUM(BN245:BQ245)</f>
        <v>68.472999999999999</v>
      </c>
      <c r="N245" s="129">
        <f>SUM(BR245:BU245)</f>
        <v>-5.6109999999999998</v>
      </c>
      <c r="O245" s="129">
        <f>SUM(BV245:BY245)</f>
        <v>0</v>
      </c>
      <c r="P245" s="129">
        <f>SUM(BZ245:CC245)</f>
        <v>0</v>
      </c>
      <c r="Q245" s="129">
        <f>SUM(CD245:CG245)</f>
        <v>0</v>
      </c>
      <c r="R245" s="129">
        <f>SUM(CH245:CK245)</f>
        <v>0</v>
      </c>
      <c r="S245" s="129">
        <f>SUM(CL245:CO245)</f>
        <v>0</v>
      </c>
      <c r="T245" s="129">
        <f>SUM(CP245:CS245)</f>
        <v>0</v>
      </c>
      <c r="U245" s="129">
        <f>SUM(CT245:CW245)</f>
        <v>0</v>
      </c>
      <c r="V245" s="129">
        <f>SUM(CX245:DA245)</f>
        <v>-5.5E-2</v>
      </c>
      <c r="W245" s="129">
        <f>SUM(DB245:DE245)</f>
        <v>0</v>
      </c>
      <c r="X245" s="129">
        <f>SUM(DF245:DI245)</f>
        <v>0</v>
      </c>
      <c r="Y245" s="129">
        <f>SUM(DJ245:DM245)</f>
        <v>0</v>
      </c>
      <c r="Z245" s="129">
        <f t="shared" ref="Z245:AF245" si="793">SUMIF($AH$5:$ER$5,Z$5,$AH245:$ER245)</f>
        <v>-4.7E-2</v>
      </c>
      <c r="AA245" s="129">
        <f t="shared" si="793"/>
        <v>-4.7E-2</v>
      </c>
      <c r="AB245" s="129">
        <f t="shared" si="793"/>
        <v>0</v>
      </c>
      <c r="AC245" s="129">
        <f t="shared" si="793"/>
        <v>0</v>
      </c>
      <c r="AD245" s="129">
        <f t="shared" si="793"/>
        <v>0</v>
      </c>
      <c r="AE245" s="129">
        <f t="shared" si="793"/>
        <v>0</v>
      </c>
      <c r="AF245" s="129">
        <f t="shared" si="793"/>
        <v>0</v>
      </c>
      <c r="AG245" s="96"/>
      <c r="AH245" s="129">
        <v>0</v>
      </c>
      <c r="AI245" s="129">
        <v>0</v>
      </c>
      <c r="AJ245" s="129">
        <v>0</v>
      </c>
      <c r="AK245" s="129">
        <v>0</v>
      </c>
      <c r="AL245" s="129">
        <v>0</v>
      </c>
      <c r="AM245" s="129">
        <v>0</v>
      </c>
      <c r="AN245" s="129">
        <v>0</v>
      </c>
      <c r="AO245" s="129">
        <v>0</v>
      </c>
      <c r="AP245" s="129">
        <v>0</v>
      </c>
      <c r="AQ245" s="129">
        <v>0</v>
      </c>
      <c r="AR245" s="129">
        <v>0</v>
      </c>
      <c r="AS245" s="129">
        <f>4.562-0.977-SUM(AP245:AR245)</f>
        <v>3.5850000000000004</v>
      </c>
      <c r="AT245" s="129">
        <f>(1.453-0.458)</f>
        <v>0.99500000000000011</v>
      </c>
      <c r="AU245" s="129">
        <f>(2.387-0.54)-AT245</f>
        <v>0.85199999999999987</v>
      </c>
      <c r="AV245" s="129">
        <f>(3.792-1.974)-SUM(AT245:AU245)</f>
        <v>-2.9000000000000137E-2</v>
      </c>
      <c r="AW245" s="129">
        <f>(3.503-2.746)-SUM(AT245:AV245)</f>
        <v>-1.0609999999999997</v>
      </c>
      <c r="AX245" s="129">
        <v>0</v>
      </c>
      <c r="AY245" s="129">
        <f>0-AX245</f>
        <v>0</v>
      </c>
      <c r="AZ245" s="129">
        <f>0-SUM(AX245:AY245)</f>
        <v>0</v>
      </c>
      <c r="BA245" s="129">
        <f>0-SUM(AX245:AZ245)</f>
        <v>0</v>
      </c>
      <c r="BB245" s="129">
        <v>0</v>
      </c>
      <c r="BC245" s="129">
        <f>0-BB245</f>
        <v>0</v>
      </c>
      <c r="BD245" s="129">
        <f>0-SUM(BB245:BC245)</f>
        <v>0</v>
      </c>
      <c r="BE245" s="129">
        <f>0-SUM(BB245:BD245)</f>
        <v>0</v>
      </c>
      <c r="BF245" s="129">
        <v>0</v>
      </c>
      <c r="BG245" s="129">
        <f>0-BF245</f>
        <v>0</v>
      </c>
      <c r="BH245" s="129">
        <f>0-SUM(BF245:BG245)</f>
        <v>0</v>
      </c>
      <c r="BI245" s="129">
        <f>0-SUM(BF245:BH245)</f>
        <v>0</v>
      </c>
      <c r="BJ245" s="129">
        <v>0</v>
      </c>
      <c r="BK245" s="129">
        <f>0-BJ245</f>
        <v>0</v>
      </c>
      <c r="BL245" s="129">
        <f>0-SUM(BJ245:BK245)</f>
        <v>0</v>
      </c>
      <c r="BM245" s="129">
        <f>0-SUM(BJ245:BL245)</f>
        <v>0</v>
      </c>
      <c r="BN245" s="129">
        <v>0</v>
      </c>
      <c r="BO245" s="129">
        <f>0-BN245</f>
        <v>0</v>
      </c>
      <c r="BP245" s="129">
        <f>0-SUM(BM245:BO245)</f>
        <v>0</v>
      </c>
      <c r="BQ245" s="129">
        <f>68.473-SUM(BN245:BP245)</f>
        <v>68.472999999999999</v>
      </c>
      <c r="BR245" s="129">
        <v>-8.109</v>
      </c>
      <c r="BS245" s="129">
        <f>-8.097-BR245</f>
        <v>1.2000000000000455E-2</v>
      </c>
      <c r="BT245" s="129">
        <f>2.049-SUM(BR245:BS245)</f>
        <v>10.145999999999999</v>
      </c>
      <c r="BU245" s="129">
        <f>-5.611-SUM(BR245:BT245)</f>
        <v>-7.6599999999999993</v>
      </c>
      <c r="BV245" s="129">
        <v>0</v>
      </c>
      <c r="BW245" s="129">
        <f>0-BV245</f>
        <v>0</v>
      </c>
      <c r="BX245" s="129">
        <f>0-SUM(BV245:BW245)</f>
        <v>0</v>
      </c>
      <c r="BY245" s="129">
        <f>0-SUM(BV245:BX245)</f>
        <v>0</v>
      </c>
      <c r="BZ245" s="129">
        <v>0</v>
      </c>
      <c r="CA245" s="129">
        <f>0-BZ245</f>
        <v>0</v>
      </c>
      <c r="CB245" s="129">
        <f>0-SUM(BZ245:CA245)</f>
        <v>0</v>
      </c>
      <c r="CC245" s="129">
        <f>0-SUM(BZ245:CB245)</f>
        <v>0</v>
      </c>
      <c r="CD245" s="129">
        <v>0</v>
      </c>
      <c r="CE245" s="129">
        <f>0-CD245</f>
        <v>0</v>
      </c>
      <c r="CF245" s="129">
        <f>0-SUM(CD245:CE245)</f>
        <v>0</v>
      </c>
      <c r="CG245" s="129">
        <f>0-SUM(CD245:CF245)</f>
        <v>0</v>
      </c>
      <c r="CH245" s="129">
        <v>0</v>
      </c>
      <c r="CI245" s="129">
        <f>0-CH245</f>
        <v>0</v>
      </c>
      <c r="CJ245" s="129">
        <f>0-SUM(CH245:CI245)</f>
        <v>0</v>
      </c>
      <c r="CK245" s="129">
        <f>0-SUM(CH245:CJ245)</f>
        <v>0</v>
      </c>
      <c r="CL245" s="129">
        <v>0</v>
      </c>
      <c r="CM245" s="129">
        <f>0-CL245</f>
        <v>0</v>
      </c>
      <c r="CN245" s="129">
        <f>0-SUM(CL245:CM245)</f>
        <v>0</v>
      </c>
      <c r="CO245" s="129">
        <f>0-SUM(CL245:CN245)</f>
        <v>0</v>
      </c>
      <c r="CP245" s="129">
        <v>0</v>
      </c>
      <c r="CQ245" s="129">
        <f>0-CP245</f>
        <v>0</v>
      </c>
      <c r="CR245" s="129">
        <f>0-SUM(CP245:CQ245)</f>
        <v>0</v>
      </c>
      <c r="CS245" s="129">
        <f>0-SUM(CP245:CR245)</f>
        <v>0</v>
      </c>
      <c r="CT245" s="129">
        <v>0</v>
      </c>
      <c r="CU245" s="129">
        <v>0</v>
      </c>
      <c r="CV245" s="129">
        <v>0</v>
      </c>
      <c r="CW245" s="129">
        <v>0</v>
      </c>
      <c r="CX245" s="129">
        <v>0</v>
      </c>
      <c r="CY245" s="129">
        <v>0</v>
      </c>
      <c r="CZ245" s="129">
        <f>-0.055-SUM(CX245:CY245)</f>
        <v>-5.5E-2</v>
      </c>
      <c r="DA245" s="129">
        <v>0</v>
      </c>
      <c r="DB245" s="129">
        <v>0</v>
      </c>
      <c r="DC245" s="129">
        <v>0</v>
      </c>
      <c r="DD245" s="129">
        <v>0</v>
      </c>
      <c r="DE245" s="129">
        <v>0</v>
      </c>
      <c r="DF245" s="129">
        <v>0</v>
      </c>
      <c r="DG245" s="129">
        <v>0</v>
      </c>
      <c r="DH245" s="129">
        <v>0</v>
      </c>
      <c r="DI245" s="129">
        <v>0</v>
      </c>
      <c r="DJ245" s="129">
        <v>0</v>
      </c>
      <c r="DK245" s="129">
        <v>0</v>
      </c>
      <c r="DL245" s="129">
        <v>0</v>
      </c>
      <c r="DM245" s="129">
        <v>0</v>
      </c>
      <c r="DN245" s="131">
        <v>0</v>
      </c>
      <c r="DO245" s="131">
        <v>0</v>
      </c>
      <c r="DP245" s="131">
        <v>0</v>
      </c>
      <c r="DQ245" s="130">
        <f>-0.047-DP245-DO245-DN245</f>
        <v>-4.7E-2</v>
      </c>
      <c r="DR245" s="130">
        <v>-1.4999999999999999E-2</v>
      </c>
      <c r="DS245" s="130">
        <v>0</v>
      </c>
      <c r="DT245" s="130">
        <f>-0.041-SUM(DR245:DS245)</f>
        <v>-2.6000000000000002E-2</v>
      </c>
      <c r="DU245" s="130">
        <f>-0.047-DT245-DS245-DR245</f>
        <v>-5.9999999999999984E-3</v>
      </c>
      <c r="DV245" s="130">
        <v>0</v>
      </c>
      <c r="DW245" s="130">
        <v>0</v>
      </c>
      <c r="DX245" s="130">
        <v>0</v>
      </c>
      <c r="DY245" s="130">
        <v>0</v>
      </c>
      <c r="DZ245" s="130">
        <v>0</v>
      </c>
      <c r="EA245" s="130">
        <v>0</v>
      </c>
      <c r="EB245" s="130">
        <v>0</v>
      </c>
      <c r="EC245" s="130">
        <v>0</v>
      </c>
      <c r="ED245" s="130">
        <v>0</v>
      </c>
      <c r="EE245" s="129">
        <v>0</v>
      </c>
      <c r="EF245" s="129">
        <v>0</v>
      </c>
      <c r="EG245" s="129">
        <v>0</v>
      </c>
      <c r="EH245" s="129">
        <v>0</v>
      </c>
      <c r="EI245" s="129">
        <v>0</v>
      </c>
      <c r="EJ245" s="129">
        <v>0</v>
      </c>
      <c r="EK245" s="129">
        <v>0</v>
      </c>
      <c r="EL245" s="129">
        <v>0</v>
      </c>
      <c r="EM245" s="129">
        <v>0</v>
      </c>
      <c r="EN245" s="129">
        <v>0</v>
      </c>
      <c r="EO245" s="129">
        <v>0</v>
      </c>
      <c r="EP245" s="129">
        <v>0</v>
      </c>
      <c r="EQ245" s="5"/>
      <c r="ER245" s="5"/>
      <c r="ES245" s="355">
        <f t="shared" si="632"/>
        <v>240</v>
      </c>
      <c r="ET245"/>
      <c r="EU245"/>
      <c r="EV245"/>
      <c r="EW245"/>
      <c r="EX245"/>
      <c r="EY245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</row>
    <row r="246" spans="1:257" s="4" customFormat="1" ht="12.75" customHeight="1" outlineLevel="1">
      <c r="A246" s="15"/>
      <c r="B246" s="128" t="s">
        <v>111</v>
      </c>
      <c r="C246" s="127"/>
      <c r="D246" s="127"/>
      <c r="E246" s="127">
        <f t="shared" ref="E246:AF246" si="794">E244+E245</f>
        <v>24.070000000000025</v>
      </c>
      <c r="F246" s="127">
        <f t="shared" si="794"/>
        <v>-32.209000000000017</v>
      </c>
      <c r="G246" s="127">
        <f t="shared" si="794"/>
        <v>-9.903999999999975</v>
      </c>
      <c r="H246" s="127">
        <f t="shared" si="794"/>
        <v>-2.6509999999999727</v>
      </c>
      <c r="I246" s="127">
        <f t="shared" si="794"/>
        <v>11.071000000000005</v>
      </c>
      <c r="J246" s="127">
        <f t="shared" si="794"/>
        <v>-3.4869999999999095</v>
      </c>
      <c r="K246" s="127">
        <f t="shared" si="794"/>
        <v>-2.7179999999999893</v>
      </c>
      <c r="L246" s="127">
        <f t="shared" si="794"/>
        <v>86.329000000000022</v>
      </c>
      <c r="M246" s="127">
        <f t="shared" si="794"/>
        <v>20.738999999999955</v>
      </c>
      <c r="N246" s="127">
        <f t="shared" si="794"/>
        <v>-81.942999999999998</v>
      </c>
      <c r="O246" s="127">
        <f t="shared" si="794"/>
        <v>-8.6940000000000452</v>
      </c>
      <c r="P246" s="127">
        <f t="shared" si="794"/>
        <v>27.107000000000042</v>
      </c>
      <c r="Q246" s="127">
        <f t="shared" si="794"/>
        <v>223.45600000000007</v>
      </c>
      <c r="R246" s="127">
        <f t="shared" si="794"/>
        <v>-254.89899999999989</v>
      </c>
      <c r="S246" s="127">
        <f t="shared" si="794"/>
        <v>55.361999999999256</v>
      </c>
      <c r="T246" s="127">
        <f t="shared" si="794"/>
        <v>32.298000000000499</v>
      </c>
      <c r="U246" s="127">
        <f t="shared" si="794"/>
        <v>19.973000000000027</v>
      </c>
      <c r="V246" s="127">
        <f t="shared" si="794"/>
        <v>-78.46599999999988</v>
      </c>
      <c r="W246" s="127">
        <f t="shared" si="794"/>
        <v>301.22599999999994</v>
      </c>
      <c r="X246" s="127">
        <f t="shared" si="794"/>
        <v>-268.15100000000007</v>
      </c>
      <c r="Y246" s="127">
        <f t="shared" si="794"/>
        <v>351.77299999999912</v>
      </c>
      <c r="Z246" s="127">
        <f t="shared" si="794"/>
        <v>-86.959000000000898</v>
      </c>
      <c r="AA246" s="127">
        <f t="shared" si="794"/>
        <v>357.06793399999987</v>
      </c>
      <c r="AB246" s="127">
        <f t="shared" si="794"/>
        <v>187.57800000000003</v>
      </c>
      <c r="AC246" s="127">
        <f t="shared" si="794"/>
        <v>-384.18599999999998</v>
      </c>
      <c r="AD246" s="127">
        <f t="shared" si="794"/>
        <v>-358.39322793632152</v>
      </c>
      <c r="AE246" s="127">
        <f t="shared" si="794"/>
        <v>61.069807013171328</v>
      </c>
      <c r="AF246" s="127">
        <f t="shared" si="794"/>
        <v>165.67459551072187</v>
      </c>
      <c r="AG246" s="96"/>
      <c r="AH246" s="127">
        <f t="shared" ref="AH246:BM246" si="795">AH244+AH245</f>
        <v>8.620000000000001</v>
      </c>
      <c r="AI246" s="127">
        <f t="shared" si="795"/>
        <v>6.1979999999999995</v>
      </c>
      <c r="AJ246" s="127">
        <f t="shared" si="795"/>
        <v>10.433000000000003</v>
      </c>
      <c r="AK246" s="127">
        <f t="shared" si="795"/>
        <v>-1.1809999999999776</v>
      </c>
      <c r="AL246" s="127">
        <f t="shared" si="795"/>
        <v>-7.5469999999999953</v>
      </c>
      <c r="AM246" s="127">
        <f t="shared" si="795"/>
        <v>13.56699999999999</v>
      </c>
      <c r="AN246" s="127">
        <f t="shared" si="795"/>
        <v>-22.704000000000004</v>
      </c>
      <c r="AO246" s="127">
        <f t="shared" si="795"/>
        <v>-15.525000000000027</v>
      </c>
      <c r="AP246" s="127">
        <f t="shared" si="795"/>
        <v>-14.012999999999995</v>
      </c>
      <c r="AQ246" s="127">
        <f t="shared" si="795"/>
        <v>1.1870000000000043</v>
      </c>
      <c r="AR246" s="127">
        <f t="shared" si="795"/>
        <v>0.60999999999999588</v>
      </c>
      <c r="AS246" s="127">
        <f t="shared" si="795"/>
        <v>2.3119999999999901</v>
      </c>
      <c r="AT246" s="127">
        <f t="shared" si="795"/>
        <v>-10.936999999999987</v>
      </c>
      <c r="AU246" s="127">
        <f t="shared" si="795"/>
        <v>4.5309999999999899</v>
      </c>
      <c r="AV246" s="127">
        <f t="shared" si="795"/>
        <v>3.1490000000000018</v>
      </c>
      <c r="AW246" s="127">
        <f t="shared" si="795"/>
        <v>0.60600000000003074</v>
      </c>
      <c r="AX246" s="127">
        <f t="shared" si="795"/>
        <v>10.602000000000009</v>
      </c>
      <c r="AY246" s="127">
        <f t="shared" si="795"/>
        <v>-8.0169999999999941</v>
      </c>
      <c r="AZ246" s="127">
        <f t="shared" si="795"/>
        <v>10.759000000000013</v>
      </c>
      <c r="BA246" s="127">
        <f t="shared" si="795"/>
        <v>-2.2729999999999402</v>
      </c>
      <c r="BB246" s="127">
        <f t="shared" si="795"/>
        <v>22.451000000000001</v>
      </c>
      <c r="BC246" s="127">
        <f t="shared" si="795"/>
        <v>-14.775000000000006</v>
      </c>
      <c r="BD246" s="127">
        <f t="shared" si="795"/>
        <v>-4.9360000000000044</v>
      </c>
      <c r="BE246" s="127">
        <f t="shared" si="795"/>
        <v>-6.2269999999998333</v>
      </c>
      <c r="BF246" s="127">
        <f t="shared" si="795"/>
        <v>3.4139999999999873</v>
      </c>
      <c r="BG246" s="127">
        <f t="shared" si="795"/>
        <v>-7.1839999999999815</v>
      </c>
      <c r="BH246" s="127">
        <f t="shared" si="795"/>
        <v>6.3489999999999718</v>
      </c>
      <c r="BI246" s="127">
        <f t="shared" si="795"/>
        <v>-5.2969999999999366</v>
      </c>
      <c r="BJ246" s="127">
        <f t="shared" si="795"/>
        <v>16.785999999999991</v>
      </c>
      <c r="BK246" s="127">
        <f t="shared" si="795"/>
        <v>30.428000000000026</v>
      </c>
      <c r="BL246" s="127">
        <f t="shared" si="795"/>
        <v>19.726999999999979</v>
      </c>
      <c r="BM246" s="127">
        <f t="shared" si="795"/>
        <v>19.388000000000023</v>
      </c>
      <c r="BN246" s="127">
        <f t="shared" ref="BN246:CS246" si="796">BN244+BN245</f>
        <v>18.451000000000001</v>
      </c>
      <c r="BO246" s="127">
        <f t="shared" si="796"/>
        <v>20.103000000000016</v>
      </c>
      <c r="BP246" s="127">
        <f t="shared" si="796"/>
        <v>21.233000000000018</v>
      </c>
      <c r="BQ246" s="127">
        <f t="shared" si="796"/>
        <v>-39.04800000000003</v>
      </c>
      <c r="BR246" s="127">
        <f t="shared" si="796"/>
        <v>-51.102000000000004</v>
      </c>
      <c r="BS246" s="127">
        <f t="shared" si="796"/>
        <v>-32.825000000000003</v>
      </c>
      <c r="BT246" s="127">
        <f t="shared" si="796"/>
        <v>3.3009999999999842</v>
      </c>
      <c r="BU246" s="127">
        <f t="shared" si="796"/>
        <v>-1.3170000000000117</v>
      </c>
      <c r="BV246" s="127">
        <f t="shared" si="796"/>
        <v>54.348000000000006</v>
      </c>
      <c r="BW246" s="127">
        <f t="shared" si="796"/>
        <v>-57.983000000000004</v>
      </c>
      <c r="BX246" s="127">
        <f t="shared" si="796"/>
        <v>-16.27500000000002</v>
      </c>
      <c r="BY246" s="127">
        <f t="shared" si="796"/>
        <v>11.216000000000014</v>
      </c>
      <c r="BZ246" s="127">
        <f t="shared" si="796"/>
        <v>-2.6920000000000046</v>
      </c>
      <c r="CA246" s="127">
        <f t="shared" si="796"/>
        <v>-4.9390000000000018</v>
      </c>
      <c r="CB246" s="127">
        <f t="shared" si="796"/>
        <v>-6.11099999999999</v>
      </c>
      <c r="CC246" s="127">
        <f t="shared" si="796"/>
        <v>40.849000000000018</v>
      </c>
      <c r="CD246" s="127">
        <f t="shared" si="796"/>
        <v>112.22800000000001</v>
      </c>
      <c r="CE246" s="127">
        <f t="shared" si="796"/>
        <v>30.929000000000009</v>
      </c>
      <c r="CF246" s="127">
        <f t="shared" si="796"/>
        <v>27.832000000000008</v>
      </c>
      <c r="CG246" s="127">
        <f t="shared" si="796"/>
        <v>52.46700000000002</v>
      </c>
      <c r="CH246" s="127">
        <f t="shared" si="796"/>
        <v>12.826000000000001</v>
      </c>
      <c r="CI246" s="127">
        <f t="shared" si="796"/>
        <v>-106.42300000000004</v>
      </c>
      <c r="CJ246" s="127">
        <f t="shared" si="796"/>
        <v>-81.053999999999959</v>
      </c>
      <c r="CK246" s="127">
        <f t="shared" si="796"/>
        <v>-80.247999999999948</v>
      </c>
      <c r="CL246" s="127">
        <f t="shared" si="796"/>
        <v>39.234999999999978</v>
      </c>
      <c r="CM246" s="127">
        <f t="shared" si="796"/>
        <v>16.051999999999964</v>
      </c>
      <c r="CN246" s="127">
        <f t="shared" si="796"/>
        <v>-18.578000000000074</v>
      </c>
      <c r="CO246" s="127">
        <f t="shared" si="796"/>
        <v>18.652999999999974</v>
      </c>
      <c r="CP246" s="127">
        <f t="shared" si="796"/>
        <v>8.2920000000000726</v>
      </c>
      <c r="CQ246" s="127">
        <f t="shared" si="796"/>
        <v>-6.7710000000000683</v>
      </c>
      <c r="CR246" s="127">
        <f t="shared" si="796"/>
        <v>8.2820000000000782</v>
      </c>
      <c r="CS246" s="127">
        <f t="shared" si="796"/>
        <v>22.495000000000068</v>
      </c>
      <c r="CT246" s="127">
        <f t="shared" ref="CT246:DY246" si="797">CT244+CT245</f>
        <v>16.510999999999921</v>
      </c>
      <c r="CU246" s="127">
        <f t="shared" si="797"/>
        <v>-11.646000000000079</v>
      </c>
      <c r="CV246" s="127">
        <f t="shared" si="797"/>
        <v>15.326999999999959</v>
      </c>
      <c r="CW246" s="127">
        <f t="shared" si="797"/>
        <v>-0.21899999999992303</v>
      </c>
      <c r="CX246" s="127">
        <f t="shared" si="797"/>
        <v>11.567000000000075</v>
      </c>
      <c r="CY246" s="127">
        <f t="shared" si="797"/>
        <v>-27.341000000000037</v>
      </c>
      <c r="CZ246" s="127">
        <f t="shared" si="797"/>
        <v>-47.994999999999983</v>
      </c>
      <c r="DA246" s="127">
        <f t="shared" si="797"/>
        <v>-14.696999999999962</v>
      </c>
      <c r="DB246" s="127">
        <f t="shared" si="797"/>
        <v>110.80399999999989</v>
      </c>
      <c r="DC246" s="127">
        <f t="shared" si="797"/>
        <v>66.861000000000004</v>
      </c>
      <c r="DD246" s="127">
        <f t="shared" si="797"/>
        <v>47.379999999999882</v>
      </c>
      <c r="DE246" s="127">
        <f t="shared" si="797"/>
        <v>76.18100000000004</v>
      </c>
      <c r="DF246" s="127">
        <f t="shared" si="797"/>
        <v>-16.386999999999979</v>
      </c>
      <c r="DG246" s="127">
        <f t="shared" si="797"/>
        <v>-23.474000000000046</v>
      </c>
      <c r="DH246" s="127">
        <f t="shared" si="797"/>
        <v>-175.51900000000009</v>
      </c>
      <c r="DI246" s="127">
        <f t="shared" si="797"/>
        <v>-52.770999999999972</v>
      </c>
      <c r="DJ246" s="127">
        <f t="shared" si="797"/>
        <v>145.05100000000007</v>
      </c>
      <c r="DK246" s="127">
        <f t="shared" si="797"/>
        <v>-68.153000000000048</v>
      </c>
      <c r="DL246" s="127">
        <f t="shared" si="797"/>
        <v>307.48700000000002</v>
      </c>
      <c r="DM246" s="127">
        <f t="shared" si="797"/>
        <v>-32.612000000000194</v>
      </c>
      <c r="DN246" s="127">
        <f t="shared" si="797"/>
        <v>133.54500000000002</v>
      </c>
      <c r="DO246" s="127">
        <f t="shared" si="797"/>
        <v>3.5669999999999806</v>
      </c>
      <c r="DP246" s="127">
        <f t="shared" si="797"/>
        <v>-35.052000000000007</v>
      </c>
      <c r="DQ246" s="127">
        <f t="shared" si="797"/>
        <v>-189.01900000000009</v>
      </c>
      <c r="DR246" s="127">
        <f t="shared" si="797"/>
        <v>-109.27299999999985</v>
      </c>
      <c r="DS246" s="127">
        <f t="shared" si="797"/>
        <v>467.48993400000006</v>
      </c>
      <c r="DT246" s="127">
        <f t="shared" si="797"/>
        <v>51.792000000000101</v>
      </c>
      <c r="DU246" s="127">
        <f t="shared" si="797"/>
        <v>-52.941000000000187</v>
      </c>
      <c r="DV246" s="127">
        <f t="shared" si="797"/>
        <v>130.24810000000005</v>
      </c>
      <c r="DW246" s="127">
        <f t="shared" si="797"/>
        <v>49.782899999999906</v>
      </c>
      <c r="DX246" s="127">
        <f t="shared" si="797"/>
        <v>9.0190000000000889</v>
      </c>
      <c r="DY246" s="127">
        <f t="shared" si="797"/>
        <v>-1.4720000000000102</v>
      </c>
      <c r="DZ246" s="127">
        <f t="shared" ref="DZ246:EP246" si="798">DZ244+DZ245</f>
        <v>-79.668999999999997</v>
      </c>
      <c r="EA246" s="127">
        <f t="shared" si="798"/>
        <v>-84.145999999999987</v>
      </c>
      <c r="EB246" s="127">
        <f t="shared" si="798"/>
        <v>-168.95900000000003</v>
      </c>
      <c r="EC246" s="127">
        <f t="shared" si="798"/>
        <v>-51.412000000000056</v>
      </c>
      <c r="ED246" s="127">
        <f t="shared" si="798"/>
        <v>-137.71100000000001</v>
      </c>
      <c r="EE246" s="127">
        <f t="shared" si="798"/>
        <v>-80.132653397099546</v>
      </c>
      <c r="EF246" s="127">
        <f t="shared" si="798"/>
        <v>-79.4932507159414</v>
      </c>
      <c r="EG246" s="127">
        <f t="shared" si="798"/>
        <v>-61.056323823280749</v>
      </c>
      <c r="EH246" s="127">
        <f t="shared" si="798"/>
        <v>-1.3335379640907092</v>
      </c>
      <c r="EI246" s="127">
        <f t="shared" si="798"/>
        <v>1.0543243051327522</v>
      </c>
      <c r="EJ246" s="127">
        <f t="shared" si="798"/>
        <v>27.437245825015395</v>
      </c>
      <c r="EK246" s="127">
        <f t="shared" si="798"/>
        <v>33.911774847113875</v>
      </c>
      <c r="EL246" s="127">
        <f t="shared" si="798"/>
        <v>30.578173352390181</v>
      </c>
      <c r="EM246" s="127">
        <f t="shared" si="798"/>
        <v>43.538853383393402</v>
      </c>
      <c r="EN246" s="127">
        <f t="shared" si="798"/>
        <v>44.319955185363099</v>
      </c>
      <c r="EO246" s="127">
        <f t="shared" si="798"/>
        <v>47.23761358957529</v>
      </c>
      <c r="EP246" s="127">
        <f t="shared" si="798"/>
        <v>42.180510728760069</v>
      </c>
      <c r="EQ246" s="126"/>
      <c r="ER246" s="126"/>
      <c r="ES246" s="355">
        <f t="shared" si="632"/>
        <v>241</v>
      </c>
      <c r="ET246"/>
      <c r="EU246"/>
      <c r="EV246"/>
      <c r="EW246"/>
      <c r="EX246"/>
      <c r="EY246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</row>
    <row r="247" spans="1:257" s="4" customFormat="1" ht="12.75" customHeight="1" outlineLevel="1">
      <c r="A247" s="15"/>
      <c r="B247" s="97"/>
      <c r="C247" s="122"/>
      <c r="D247" s="122"/>
      <c r="E247" s="122"/>
      <c r="F247" s="122">
        <f t="shared" ref="F247:X247" si="799">ROUND((F251-E251)-F246,2)</f>
        <v>0</v>
      </c>
      <c r="G247" s="122">
        <f t="shared" si="799"/>
        <v>0</v>
      </c>
      <c r="H247" s="122">
        <f t="shared" si="799"/>
        <v>0</v>
      </c>
      <c r="I247" s="122">
        <f t="shared" si="799"/>
        <v>0</v>
      </c>
      <c r="J247" s="122">
        <f t="shared" si="799"/>
        <v>0</v>
      </c>
      <c r="K247" s="122">
        <f t="shared" si="799"/>
        <v>0</v>
      </c>
      <c r="L247" s="122">
        <f t="shared" si="799"/>
        <v>0</v>
      </c>
      <c r="M247" s="122">
        <f t="shared" si="799"/>
        <v>0</v>
      </c>
      <c r="N247" s="122">
        <f t="shared" si="799"/>
        <v>0</v>
      </c>
      <c r="O247" s="122">
        <f t="shared" si="799"/>
        <v>0</v>
      </c>
      <c r="P247" s="122">
        <f t="shared" si="799"/>
        <v>0</v>
      </c>
      <c r="Q247" s="122">
        <f t="shared" si="799"/>
        <v>0</v>
      </c>
      <c r="R247" s="122">
        <f t="shared" si="799"/>
        <v>0</v>
      </c>
      <c r="S247" s="122">
        <f t="shared" si="799"/>
        <v>0</v>
      </c>
      <c r="T247" s="122">
        <f t="shared" si="799"/>
        <v>0</v>
      </c>
      <c r="U247" s="122">
        <f t="shared" si="799"/>
        <v>0</v>
      </c>
      <c r="V247" s="122">
        <f t="shared" si="799"/>
        <v>0</v>
      </c>
      <c r="W247" s="93">
        <f t="shared" si="799"/>
        <v>0</v>
      </c>
      <c r="X247" s="93">
        <f t="shared" si="799"/>
        <v>0</v>
      </c>
      <c r="Y247" s="93">
        <f>ROUND((Y251-X251)-Y246,1)</f>
        <v>0</v>
      </c>
      <c r="Z247" s="93">
        <f>ROUND((Z251-Y251)-Z246,2)</f>
        <v>0</v>
      </c>
      <c r="AA247" s="93">
        <f>ROUND((AA251-Z251)-AA246,2)</f>
        <v>0</v>
      </c>
      <c r="AB247" s="93"/>
      <c r="AC247" s="93">
        <f>ROUND((AC251-AB251)-AC246,2)</f>
        <v>0</v>
      </c>
      <c r="AD247" s="93">
        <f>ROUND((AD251-AC251)-AD246,2)</f>
        <v>0</v>
      </c>
      <c r="AE247" s="93">
        <f>ROUND((AE251-AD251)-AE246,2)</f>
        <v>0</v>
      </c>
      <c r="AF247" s="93">
        <f>ROUND((AF251-AE251)-AF246,2)</f>
        <v>0</v>
      </c>
      <c r="AG247" s="125"/>
      <c r="AH247" s="124"/>
      <c r="AI247" s="124"/>
      <c r="AJ247" s="123"/>
      <c r="AK247" s="123"/>
      <c r="AL247" s="93">
        <f t="shared" ref="AL247:BQ247" si="800">ROUND((AL251-AK251)-AL246,2)</f>
        <v>0</v>
      </c>
      <c r="AM247" s="93">
        <f t="shared" si="800"/>
        <v>0</v>
      </c>
      <c r="AN247" s="93">
        <f t="shared" si="800"/>
        <v>0</v>
      </c>
      <c r="AO247" s="93">
        <f t="shared" si="800"/>
        <v>0</v>
      </c>
      <c r="AP247" s="93">
        <f t="shared" si="800"/>
        <v>0</v>
      </c>
      <c r="AQ247" s="93">
        <f t="shared" si="800"/>
        <v>0</v>
      </c>
      <c r="AR247" s="93">
        <f t="shared" si="800"/>
        <v>0</v>
      </c>
      <c r="AS247" s="93">
        <f t="shared" si="800"/>
        <v>0</v>
      </c>
      <c r="AT247" s="93">
        <f t="shared" si="800"/>
        <v>0</v>
      </c>
      <c r="AU247" s="93">
        <f t="shared" si="800"/>
        <v>0</v>
      </c>
      <c r="AV247" s="93">
        <f t="shared" si="800"/>
        <v>0</v>
      </c>
      <c r="AW247" s="93">
        <f t="shared" si="800"/>
        <v>0</v>
      </c>
      <c r="AX247" s="93">
        <f t="shared" si="800"/>
        <v>0</v>
      </c>
      <c r="AY247" s="93">
        <f t="shared" si="800"/>
        <v>0</v>
      </c>
      <c r="AZ247" s="93">
        <f t="shared" si="800"/>
        <v>0</v>
      </c>
      <c r="BA247" s="93">
        <f t="shared" si="800"/>
        <v>0</v>
      </c>
      <c r="BB247" s="93">
        <f t="shared" si="800"/>
        <v>0</v>
      </c>
      <c r="BC247" s="93">
        <f t="shared" si="800"/>
        <v>0</v>
      </c>
      <c r="BD247" s="93">
        <f t="shared" si="800"/>
        <v>0</v>
      </c>
      <c r="BE247" s="93">
        <f t="shared" si="800"/>
        <v>0</v>
      </c>
      <c r="BF247" s="93">
        <f t="shared" si="800"/>
        <v>0</v>
      </c>
      <c r="BG247" s="93">
        <f t="shared" si="800"/>
        <v>0</v>
      </c>
      <c r="BH247" s="93">
        <f t="shared" si="800"/>
        <v>0</v>
      </c>
      <c r="BI247" s="93">
        <f t="shared" si="800"/>
        <v>0</v>
      </c>
      <c r="BJ247" s="93">
        <f t="shared" si="800"/>
        <v>0</v>
      </c>
      <c r="BK247" s="93">
        <f t="shared" si="800"/>
        <v>0</v>
      </c>
      <c r="BL247" s="93">
        <f t="shared" si="800"/>
        <v>0</v>
      </c>
      <c r="BM247" s="93">
        <f t="shared" si="800"/>
        <v>0</v>
      </c>
      <c r="BN247" s="93">
        <f t="shared" si="800"/>
        <v>0</v>
      </c>
      <c r="BO247" s="93">
        <f t="shared" si="800"/>
        <v>0</v>
      </c>
      <c r="BP247" s="93">
        <f t="shared" si="800"/>
        <v>0</v>
      </c>
      <c r="BQ247" s="93">
        <f t="shared" si="800"/>
        <v>0</v>
      </c>
      <c r="BR247" s="93">
        <f t="shared" ref="BR247:CW247" si="801">ROUND((BR251-BQ251)-BR246,2)</f>
        <v>0</v>
      </c>
      <c r="BS247" s="93">
        <f t="shared" si="801"/>
        <v>0</v>
      </c>
      <c r="BT247" s="93">
        <f t="shared" si="801"/>
        <v>0</v>
      </c>
      <c r="BU247" s="93">
        <f t="shared" si="801"/>
        <v>0</v>
      </c>
      <c r="BV247" s="93">
        <f t="shared" si="801"/>
        <v>0</v>
      </c>
      <c r="BW247" s="93">
        <f t="shared" si="801"/>
        <v>0</v>
      </c>
      <c r="BX247" s="93">
        <f t="shared" si="801"/>
        <v>0</v>
      </c>
      <c r="BY247" s="93">
        <f t="shared" si="801"/>
        <v>0</v>
      </c>
      <c r="BZ247" s="93">
        <f t="shared" si="801"/>
        <v>0</v>
      </c>
      <c r="CA247" s="93">
        <f t="shared" si="801"/>
        <v>0</v>
      </c>
      <c r="CB247" s="93">
        <f t="shared" si="801"/>
        <v>0</v>
      </c>
      <c r="CC247" s="93">
        <f t="shared" si="801"/>
        <v>0</v>
      </c>
      <c r="CD247" s="93">
        <f t="shared" si="801"/>
        <v>0</v>
      </c>
      <c r="CE247" s="93">
        <f t="shared" si="801"/>
        <v>0</v>
      </c>
      <c r="CF247" s="93">
        <f t="shared" si="801"/>
        <v>0</v>
      </c>
      <c r="CG247" s="93">
        <f t="shared" si="801"/>
        <v>0</v>
      </c>
      <c r="CH247" s="93">
        <f t="shared" si="801"/>
        <v>0</v>
      </c>
      <c r="CI247" s="93">
        <f t="shared" si="801"/>
        <v>0</v>
      </c>
      <c r="CJ247" s="93">
        <f t="shared" si="801"/>
        <v>0</v>
      </c>
      <c r="CK247" s="93">
        <f t="shared" si="801"/>
        <v>0</v>
      </c>
      <c r="CL247" s="93">
        <f t="shared" si="801"/>
        <v>0</v>
      </c>
      <c r="CM247" s="93">
        <f t="shared" si="801"/>
        <v>0</v>
      </c>
      <c r="CN247" s="93">
        <f t="shared" si="801"/>
        <v>0</v>
      </c>
      <c r="CO247" s="93">
        <f t="shared" si="801"/>
        <v>0</v>
      </c>
      <c r="CP247" s="93">
        <f t="shared" si="801"/>
        <v>0</v>
      </c>
      <c r="CQ247" s="93">
        <f t="shared" si="801"/>
        <v>0</v>
      </c>
      <c r="CR247" s="93">
        <f t="shared" si="801"/>
        <v>0</v>
      </c>
      <c r="CS247" s="93">
        <f t="shared" si="801"/>
        <v>0</v>
      </c>
      <c r="CT247" s="93">
        <f t="shared" si="801"/>
        <v>0</v>
      </c>
      <c r="CU247" s="93">
        <f t="shared" si="801"/>
        <v>0</v>
      </c>
      <c r="CV247" s="93">
        <f t="shared" si="801"/>
        <v>0</v>
      </c>
      <c r="CW247" s="93">
        <f t="shared" si="801"/>
        <v>0</v>
      </c>
      <c r="CX247" s="93">
        <f t="shared" ref="CX247:EC247" si="802">ROUND((CX251-CW251)-CX246,2)</f>
        <v>0</v>
      </c>
      <c r="CY247" s="93">
        <f t="shared" si="802"/>
        <v>0</v>
      </c>
      <c r="CZ247" s="93">
        <f t="shared" si="802"/>
        <v>0</v>
      </c>
      <c r="DA247" s="93">
        <f t="shared" si="802"/>
        <v>0</v>
      </c>
      <c r="DB247" s="93">
        <f t="shared" si="802"/>
        <v>0</v>
      </c>
      <c r="DC247" s="93">
        <f t="shared" si="802"/>
        <v>0</v>
      </c>
      <c r="DD247" s="93">
        <f t="shared" si="802"/>
        <v>0</v>
      </c>
      <c r="DE247" s="93">
        <f t="shared" si="802"/>
        <v>0</v>
      </c>
      <c r="DF247" s="93">
        <f t="shared" si="802"/>
        <v>0</v>
      </c>
      <c r="DG247" s="93">
        <f t="shared" si="802"/>
        <v>0</v>
      </c>
      <c r="DH247" s="93">
        <f t="shared" si="802"/>
        <v>0</v>
      </c>
      <c r="DI247" s="93">
        <f t="shared" si="802"/>
        <v>0</v>
      </c>
      <c r="DJ247" s="93">
        <f t="shared" si="802"/>
        <v>0</v>
      </c>
      <c r="DK247" s="93">
        <f t="shared" si="802"/>
        <v>0</v>
      </c>
      <c r="DL247" s="93">
        <f t="shared" si="802"/>
        <v>0</v>
      </c>
      <c r="DM247" s="93">
        <f t="shared" si="802"/>
        <v>0</v>
      </c>
      <c r="DN247" s="93">
        <f t="shared" si="802"/>
        <v>0</v>
      </c>
      <c r="DO247" s="93">
        <f t="shared" si="802"/>
        <v>0</v>
      </c>
      <c r="DP247" s="93">
        <f t="shared" si="802"/>
        <v>0</v>
      </c>
      <c r="DQ247" s="93">
        <f t="shared" si="802"/>
        <v>0</v>
      </c>
      <c r="DR247" s="93">
        <f t="shared" si="802"/>
        <v>0</v>
      </c>
      <c r="DS247" s="93">
        <f t="shared" si="802"/>
        <v>0</v>
      </c>
      <c r="DT247" s="93">
        <f t="shared" si="802"/>
        <v>0</v>
      </c>
      <c r="DU247" s="93">
        <f t="shared" si="802"/>
        <v>0</v>
      </c>
      <c r="DV247" s="93">
        <f t="shared" si="802"/>
        <v>0</v>
      </c>
      <c r="DW247" s="93">
        <f t="shared" si="802"/>
        <v>0</v>
      </c>
      <c r="DX247" s="93">
        <f t="shared" si="802"/>
        <v>0</v>
      </c>
      <c r="DY247" s="93">
        <f t="shared" si="802"/>
        <v>0</v>
      </c>
      <c r="DZ247" s="93">
        <f t="shared" si="802"/>
        <v>0</v>
      </c>
      <c r="EA247" s="93">
        <f t="shared" si="802"/>
        <v>0</v>
      </c>
      <c r="EB247" s="94">
        <f t="shared" si="802"/>
        <v>0</v>
      </c>
      <c r="EC247" s="369">
        <f t="shared" si="802"/>
        <v>0</v>
      </c>
      <c r="ED247" s="369">
        <f t="shared" ref="ED247:EP247" si="803">ROUND((ED251-EC251)-ED246,2)</f>
        <v>0</v>
      </c>
      <c r="EE247" s="93">
        <f t="shared" si="803"/>
        <v>0</v>
      </c>
      <c r="EF247" s="93">
        <f t="shared" si="803"/>
        <v>0</v>
      </c>
      <c r="EG247" s="93">
        <f t="shared" si="803"/>
        <v>0</v>
      </c>
      <c r="EH247" s="93">
        <f t="shared" si="803"/>
        <v>0</v>
      </c>
      <c r="EI247" s="93">
        <f t="shared" si="803"/>
        <v>0</v>
      </c>
      <c r="EJ247" s="93">
        <f t="shared" si="803"/>
        <v>0</v>
      </c>
      <c r="EK247" s="93">
        <f t="shared" si="803"/>
        <v>0</v>
      </c>
      <c r="EL247" s="93">
        <f t="shared" si="803"/>
        <v>0</v>
      </c>
      <c r="EM247" s="93">
        <f t="shared" si="803"/>
        <v>0</v>
      </c>
      <c r="EN247" s="93">
        <f t="shared" si="803"/>
        <v>0</v>
      </c>
      <c r="EO247" s="93">
        <f t="shared" si="803"/>
        <v>0</v>
      </c>
      <c r="EP247" s="93">
        <f t="shared" si="803"/>
        <v>0</v>
      </c>
      <c r="EQ247" s="122"/>
      <c r="ER247" s="122"/>
      <c r="ES247" s="355">
        <f t="shared" si="632"/>
        <v>242</v>
      </c>
      <c r="ET247"/>
      <c r="EU247"/>
      <c r="EV247"/>
      <c r="EW247"/>
      <c r="EX247"/>
      <c r="EY247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</row>
    <row r="248" spans="1:257" s="4" customFormat="1" ht="12.75" customHeight="1">
      <c r="A248" s="15" t="s">
        <v>0</v>
      </c>
      <c r="B248" s="92" t="s">
        <v>110</v>
      </c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17"/>
      <c r="AH248" s="118"/>
      <c r="AI248" s="118"/>
      <c r="AJ248" s="118"/>
      <c r="AK248" s="118"/>
      <c r="AL248" s="118"/>
      <c r="AM248" s="118"/>
      <c r="AN248" s="118"/>
      <c r="AO248" s="118"/>
      <c r="AP248" s="118"/>
      <c r="AQ248" s="118"/>
      <c r="AR248" s="118"/>
      <c r="AS248" s="118"/>
      <c r="AT248" s="118"/>
      <c r="AU248" s="118"/>
      <c r="AV248" s="118"/>
      <c r="AW248" s="118"/>
      <c r="AX248" s="118"/>
      <c r="AY248" s="118"/>
      <c r="AZ248" s="118"/>
      <c r="BA248" s="118"/>
      <c r="BB248" s="118"/>
      <c r="BC248" s="118"/>
      <c r="BD248" s="118"/>
      <c r="BE248" s="118"/>
      <c r="BF248" s="118"/>
      <c r="BG248" s="118"/>
      <c r="BH248" s="118"/>
      <c r="BI248" s="118"/>
      <c r="BJ248" s="118"/>
      <c r="BK248" s="118"/>
      <c r="BL248" s="118"/>
      <c r="BM248" s="118"/>
      <c r="BN248" s="118"/>
      <c r="BO248" s="118"/>
      <c r="BP248" s="118"/>
      <c r="BQ248" s="118"/>
      <c r="BR248" s="118"/>
      <c r="BS248" s="118"/>
      <c r="BT248" s="118"/>
      <c r="BU248" s="118"/>
      <c r="BV248" s="118"/>
      <c r="BW248" s="118"/>
      <c r="BX248" s="118"/>
      <c r="BY248" s="118"/>
      <c r="BZ248" s="118"/>
      <c r="CA248" s="118"/>
      <c r="CB248" s="118"/>
      <c r="CC248" s="118"/>
      <c r="CD248" s="118"/>
      <c r="CE248" s="118"/>
      <c r="CF248" s="118"/>
      <c r="CG248" s="118"/>
      <c r="CH248" s="118"/>
      <c r="CI248" s="118"/>
      <c r="CJ248" s="118"/>
      <c r="CK248" s="118"/>
      <c r="CL248" s="118"/>
      <c r="CM248" s="118"/>
      <c r="CN248" s="118"/>
      <c r="CO248" s="118"/>
      <c r="CP248" s="118"/>
      <c r="CQ248" s="118"/>
      <c r="CR248" s="118"/>
      <c r="CS248" s="118"/>
      <c r="CT248" s="118"/>
      <c r="CU248" s="18"/>
      <c r="CV248" s="18"/>
      <c r="CW248" s="18"/>
      <c r="CX248" s="18"/>
      <c r="CY248" s="18"/>
      <c r="CZ248" s="18"/>
      <c r="DA248" s="118"/>
      <c r="DB248" s="118"/>
      <c r="DC248" s="118"/>
      <c r="DD248" s="118"/>
      <c r="DE248" s="118"/>
      <c r="DF248" s="118"/>
      <c r="DG248" s="118"/>
      <c r="DH248" s="118"/>
      <c r="DI248" s="118"/>
      <c r="DJ248" s="118"/>
      <c r="DK248" s="118"/>
      <c r="DL248" s="118"/>
      <c r="DM248" s="118"/>
      <c r="DN248" s="118"/>
      <c r="DO248" s="118"/>
      <c r="DP248" s="118"/>
      <c r="DQ248" s="118"/>
      <c r="DR248" s="118"/>
      <c r="DS248" s="118"/>
      <c r="DT248" s="118"/>
      <c r="DU248" s="118"/>
      <c r="DV248" s="118"/>
      <c r="DW248" s="118"/>
      <c r="DX248" s="118"/>
      <c r="DY248" s="118"/>
      <c r="DZ248" s="118"/>
      <c r="EA248" s="118"/>
      <c r="EB248" s="118"/>
      <c r="EC248" s="118"/>
      <c r="ED248" s="118"/>
      <c r="EE248" s="118"/>
      <c r="EF248" s="118"/>
      <c r="EG248" s="118"/>
      <c r="EH248" s="118"/>
      <c r="EI248" s="118"/>
      <c r="EJ248" s="118"/>
      <c r="EK248" s="118"/>
      <c r="EL248" s="118"/>
      <c r="EM248" s="118"/>
      <c r="EN248" s="118"/>
      <c r="EO248" s="118"/>
      <c r="EP248" s="118"/>
      <c r="EQ248" s="118"/>
      <c r="ER248" s="118"/>
      <c r="ES248" s="355">
        <f t="shared" si="632"/>
        <v>243</v>
      </c>
      <c r="ET248"/>
      <c r="EU248"/>
      <c r="EV248"/>
      <c r="EW248"/>
      <c r="EX248"/>
      <c r="EY248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</row>
    <row r="249" spans="1:257" s="4" customFormat="1" ht="12.75" customHeight="1" outlineLevel="1">
      <c r="A249" s="15"/>
      <c r="B249" s="121" t="s">
        <v>109</v>
      </c>
      <c r="C249" s="120">
        <f t="shared" ref="C249:AF249" si="804">C$7</f>
        <v>1991</v>
      </c>
      <c r="D249" s="120">
        <f t="shared" si="804"/>
        <v>1992</v>
      </c>
      <c r="E249" s="120">
        <f t="shared" si="804"/>
        <v>1993</v>
      </c>
      <c r="F249" s="120">
        <f t="shared" si="804"/>
        <v>1994</v>
      </c>
      <c r="G249" s="120">
        <f t="shared" si="804"/>
        <v>1995</v>
      </c>
      <c r="H249" s="120">
        <f t="shared" si="804"/>
        <v>1996</v>
      </c>
      <c r="I249" s="120">
        <f t="shared" si="804"/>
        <v>1997</v>
      </c>
      <c r="J249" s="120">
        <f t="shared" si="804"/>
        <v>1998</v>
      </c>
      <c r="K249" s="120">
        <f t="shared" si="804"/>
        <v>1999</v>
      </c>
      <c r="L249" s="120">
        <f t="shared" si="804"/>
        <v>2000</v>
      </c>
      <c r="M249" s="120">
        <f t="shared" si="804"/>
        <v>2001</v>
      </c>
      <c r="N249" s="120">
        <f t="shared" si="804"/>
        <v>2002</v>
      </c>
      <c r="O249" s="120">
        <f t="shared" si="804"/>
        <v>2003</v>
      </c>
      <c r="P249" s="120">
        <f t="shared" si="804"/>
        <v>2004</v>
      </c>
      <c r="Q249" s="120">
        <f t="shared" si="804"/>
        <v>2005</v>
      </c>
      <c r="R249" s="120">
        <f t="shared" si="804"/>
        <v>2006</v>
      </c>
      <c r="S249" s="120">
        <f t="shared" si="804"/>
        <v>2007</v>
      </c>
      <c r="T249" s="120">
        <f t="shared" si="804"/>
        <v>2008</v>
      </c>
      <c r="U249" s="120">
        <f t="shared" si="804"/>
        <v>2009</v>
      </c>
      <c r="V249" s="120">
        <f t="shared" si="804"/>
        <v>2010</v>
      </c>
      <c r="W249" s="120">
        <f t="shared" si="804"/>
        <v>2011</v>
      </c>
      <c r="X249" s="120">
        <f t="shared" si="804"/>
        <v>2012</v>
      </c>
      <c r="Y249" s="120">
        <f t="shared" si="804"/>
        <v>2013</v>
      </c>
      <c r="Z249" s="120">
        <f t="shared" si="804"/>
        <v>2014</v>
      </c>
      <c r="AA249" s="120">
        <f t="shared" si="804"/>
        <v>2015</v>
      </c>
      <c r="AB249" s="120">
        <f t="shared" si="804"/>
        <v>2016</v>
      </c>
      <c r="AC249" s="120">
        <f t="shared" si="804"/>
        <v>2017</v>
      </c>
      <c r="AD249" s="120" t="str">
        <f t="shared" si="804"/>
        <v>2018E</v>
      </c>
      <c r="AE249" s="120" t="str">
        <f t="shared" si="804"/>
        <v>2019E</v>
      </c>
      <c r="AF249" s="120" t="str">
        <f t="shared" si="804"/>
        <v>2020E</v>
      </c>
      <c r="AG249" s="17"/>
      <c r="AH249" s="119">
        <f t="shared" ref="AH249:BM249" si="805">AH$7</f>
        <v>33969</v>
      </c>
      <c r="AI249" s="119">
        <f t="shared" si="805"/>
        <v>34059</v>
      </c>
      <c r="AJ249" s="119">
        <f t="shared" si="805"/>
        <v>34150</v>
      </c>
      <c r="AK249" s="119">
        <f t="shared" si="805"/>
        <v>34242</v>
      </c>
      <c r="AL249" s="119">
        <f t="shared" si="805"/>
        <v>34334</v>
      </c>
      <c r="AM249" s="119">
        <f t="shared" si="805"/>
        <v>34424</v>
      </c>
      <c r="AN249" s="119">
        <f t="shared" si="805"/>
        <v>34515</v>
      </c>
      <c r="AO249" s="119">
        <f t="shared" si="805"/>
        <v>34607</v>
      </c>
      <c r="AP249" s="119">
        <f t="shared" si="805"/>
        <v>34699</v>
      </c>
      <c r="AQ249" s="119">
        <f t="shared" si="805"/>
        <v>34789</v>
      </c>
      <c r="AR249" s="119">
        <f t="shared" si="805"/>
        <v>34880</v>
      </c>
      <c r="AS249" s="119">
        <f t="shared" si="805"/>
        <v>34972</v>
      </c>
      <c r="AT249" s="119">
        <f t="shared" si="805"/>
        <v>35064</v>
      </c>
      <c r="AU249" s="119">
        <f t="shared" si="805"/>
        <v>35155</v>
      </c>
      <c r="AV249" s="119">
        <f t="shared" si="805"/>
        <v>35246</v>
      </c>
      <c r="AW249" s="119">
        <f t="shared" si="805"/>
        <v>35338</v>
      </c>
      <c r="AX249" s="119">
        <f t="shared" si="805"/>
        <v>35430</v>
      </c>
      <c r="AY249" s="119">
        <f t="shared" si="805"/>
        <v>35520</v>
      </c>
      <c r="AZ249" s="119">
        <f t="shared" si="805"/>
        <v>35611</v>
      </c>
      <c r="BA249" s="119">
        <f t="shared" si="805"/>
        <v>35703</v>
      </c>
      <c r="BB249" s="119">
        <f t="shared" si="805"/>
        <v>35795</v>
      </c>
      <c r="BC249" s="119">
        <f t="shared" si="805"/>
        <v>35885</v>
      </c>
      <c r="BD249" s="119">
        <f t="shared" si="805"/>
        <v>35976</v>
      </c>
      <c r="BE249" s="119">
        <f t="shared" si="805"/>
        <v>36068</v>
      </c>
      <c r="BF249" s="119">
        <f t="shared" si="805"/>
        <v>36160</v>
      </c>
      <c r="BG249" s="119">
        <f t="shared" si="805"/>
        <v>36250</v>
      </c>
      <c r="BH249" s="119">
        <f t="shared" si="805"/>
        <v>36341</v>
      </c>
      <c r="BI249" s="119">
        <f t="shared" si="805"/>
        <v>36433</v>
      </c>
      <c r="BJ249" s="119">
        <f t="shared" si="805"/>
        <v>36525</v>
      </c>
      <c r="BK249" s="119">
        <f t="shared" si="805"/>
        <v>36616</v>
      </c>
      <c r="BL249" s="119">
        <f t="shared" si="805"/>
        <v>36707</v>
      </c>
      <c r="BM249" s="119">
        <f t="shared" si="805"/>
        <v>36799</v>
      </c>
      <c r="BN249" s="119">
        <f t="shared" ref="BN249:CS249" si="806">BN$7</f>
        <v>36891</v>
      </c>
      <c r="BO249" s="119">
        <f t="shared" si="806"/>
        <v>36981</v>
      </c>
      <c r="BP249" s="119">
        <f t="shared" si="806"/>
        <v>37072</v>
      </c>
      <c r="BQ249" s="119">
        <f t="shared" si="806"/>
        <v>37164</v>
      </c>
      <c r="BR249" s="119">
        <f t="shared" si="806"/>
        <v>37256</v>
      </c>
      <c r="BS249" s="119">
        <f t="shared" si="806"/>
        <v>37346</v>
      </c>
      <c r="BT249" s="119">
        <f t="shared" si="806"/>
        <v>37437</v>
      </c>
      <c r="BU249" s="119">
        <f t="shared" si="806"/>
        <v>37529</v>
      </c>
      <c r="BV249" s="119">
        <f t="shared" si="806"/>
        <v>37621</v>
      </c>
      <c r="BW249" s="119">
        <f t="shared" si="806"/>
        <v>37711</v>
      </c>
      <c r="BX249" s="119">
        <f t="shared" si="806"/>
        <v>37802</v>
      </c>
      <c r="BY249" s="119">
        <f t="shared" si="806"/>
        <v>37894</v>
      </c>
      <c r="BZ249" s="119">
        <f t="shared" si="806"/>
        <v>37986</v>
      </c>
      <c r="CA249" s="119">
        <f t="shared" si="806"/>
        <v>38077</v>
      </c>
      <c r="CB249" s="119">
        <f t="shared" si="806"/>
        <v>38168</v>
      </c>
      <c r="CC249" s="119">
        <f t="shared" si="806"/>
        <v>38260</v>
      </c>
      <c r="CD249" s="119">
        <f t="shared" si="806"/>
        <v>38352</v>
      </c>
      <c r="CE249" s="119">
        <f t="shared" si="806"/>
        <v>38442</v>
      </c>
      <c r="CF249" s="119">
        <f t="shared" si="806"/>
        <v>38533</v>
      </c>
      <c r="CG249" s="119">
        <f t="shared" si="806"/>
        <v>38625</v>
      </c>
      <c r="CH249" s="119">
        <f t="shared" si="806"/>
        <v>38717</v>
      </c>
      <c r="CI249" s="119">
        <f t="shared" si="806"/>
        <v>38807</v>
      </c>
      <c r="CJ249" s="119">
        <f t="shared" si="806"/>
        <v>38898</v>
      </c>
      <c r="CK249" s="119">
        <f t="shared" si="806"/>
        <v>38990</v>
      </c>
      <c r="CL249" s="119">
        <f t="shared" si="806"/>
        <v>39082</v>
      </c>
      <c r="CM249" s="119">
        <f t="shared" si="806"/>
        <v>39172</v>
      </c>
      <c r="CN249" s="119">
        <f t="shared" si="806"/>
        <v>39263</v>
      </c>
      <c r="CO249" s="119">
        <f t="shared" si="806"/>
        <v>39355</v>
      </c>
      <c r="CP249" s="119">
        <f t="shared" si="806"/>
        <v>39447</v>
      </c>
      <c r="CQ249" s="119">
        <f t="shared" si="806"/>
        <v>39538</v>
      </c>
      <c r="CR249" s="119">
        <f t="shared" si="806"/>
        <v>39629</v>
      </c>
      <c r="CS249" s="119">
        <f t="shared" si="806"/>
        <v>39721</v>
      </c>
      <c r="CT249" s="119">
        <f t="shared" ref="CT249:DY249" si="807">CT$7</f>
        <v>39813</v>
      </c>
      <c r="CU249" s="119">
        <f t="shared" si="807"/>
        <v>39903</v>
      </c>
      <c r="CV249" s="119">
        <f t="shared" si="807"/>
        <v>39994</v>
      </c>
      <c r="CW249" s="119">
        <f t="shared" si="807"/>
        <v>40086</v>
      </c>
      <c r="CX249" s="119">
        <f t="shared" si="807"/>
        <v>40178</v>
      </c>
      <c r="CY249" s="119">
        <f t="shared" si="807"/>
        <v>40268</v>
      </c>
      <c r="CZ249" s="119">
        <f t="shared" si="807"/>
        <v>40359</v>
      </c>
      <c r="DA249" s="119">
        <f t="shared" si="807"/>
        <v>40451</v>
      </c>
      <c r="DB249" s="119">
        <f t="shared" si="807"/>
        <v>40543</v>
      </c>
      <c r="DC249" s="119">
        <f t="shared" si="807"/>
        <v>40633</v>
      </c>
      <c r="DD249" s="119">
        <f t="shared" si="807"/>
        <v>40724</v>
      </c>
      <c r="DE249" s="119">
        <f t="shared" si="807"/>
        <v>40816</v>
      </c>
      <c r="DF249" s="119">
        <f t="shared" si="807"/>
        <v>40908</v>
      </c>
      <c r="DG249" s="119">
        <f t="shared" si="807"/>
        <v>40999</v>
      </c>
      <c r="DH249" s="119">
        <f t="shared" si="807"/>
        <v>41090</v>
      </c>
      <c r="DI249" s="119">
        <f t="shared" si="807"/>
        <v>41182</v>
      </c>
      <c r="DJ249" s="119">
        <f t="shared" si="807"/>
        <v>41274</v>
      </c>
      <c r="DK249" s="119">
        <f t="shared" si="807"/>
        <v>41364</v>
      </c>
      <c r="DL249" s="119">
        <f t="shared" si="807"/>
        <v>41455</v>
      </c>
      <c r="DM249" s="119">
        <f t="shared" si="807"/>
        <v>41547</v>
      </c>
      <c r="DN249" s="119">
        <f t="shared" si="807"/>
        <v>41639</v>
      </c>
      <c r="DO249" s="119">
        <f t="shared" si="807"/>
        <v>41729</v>
      </c>
      <c r="DP249" s="119">
        <f t="shared" si="807"/>
        <v>41820</v>
      </c>
      <c r="DQ249" s="119">
        <f t="shared" si="807"/>
        <v>41912</v>
      </c>
      <c r="DR249" s="119">
        <f t="shared" si="807"/>
        <v>42004</v>
      </c>
      <c r="DS249" s="119">
        <f t="shared" si="807"/>
        <v>42094</v>
      </c>
      <c r="DT249" s="119">
        <f t="shared" si="807"/>
        <v>42185</v>
      </c>
      <c r="DU249" s="119">
        <f t="shared" si="807"/>
        <v>42277</v>
      </c>
      <c r="DV249" s="119">
        <f t="shared" si="807"/>
        <v>42369</v>
      </c>
      <c r="DW249" s="119">
        <f t="shared" si="807"/>
        <v>42460</v>
      </c>
      <c r="DX249" s="119">
        <f t="shared" si="807"/>
        <v>42551</v>
      </c>
      <c r="DY249" s="119">
        <f t="shared" si="807"/>
        <v>42643</v>
      </c>
      <c r="DZ249" s="119">
        <f t="shared" ref="DZ249:EP249" si="808">DZ$7</f>
        <v>42735</v>
      </c>
      <c r="EA249" s="119">
        <f t="shared" si="808"/>
        <v>42825</v>
      </c>
      <c r="EB249" s="119">
        <f t="shared" si="808"/>
        <v>42916</v>
      </c>
      <c r="EC249" s="119">
        <f t="shared" si="808"/>
        <v>43008</v>
      </c>
      <c r="ED249" s="119">
        <f t="shared" si="808"/>
        <v>43100</v>
      </c>
      <c r="EE249" s="119">
        <f t="shared" si="808"/>
        <v>43190</v>
      </c>
      <c r="EF249" s="119">
        <f t="shared" si="808"/>
        <v>43281</v>
      </c>
      <c r="EG249" s="119">
        <f t="shared" si="808"/>
        <v>43373</v>
      </c>
      <c r="EH249" s="119">
        <f t="shared" si="808"/>
        <v>43465</v>
      </c>
      <c r="EI249" s="119">
        <f t="shared" si="808"/>
        <v>43555</v>
      </c>
      <c r="EJ249" s="119">
        <f t="shared" si="808"/>
        <v>43646</v>
      </c>
      <c r="EK249" s="119">
        <f t="shared" si="808"/>
        <v>43738</v>
      </c>
      <c r="EL249" s="119">
        <f t="shared" si="808"/>
        <v>43830</v>
      </c>
      <c r="EM249" s="119">
        <f t="shared" si="808"/>
        <v>43921</v>
      </c>
      <c r="EN249" s="119">
        <f t="shared" si="808"/>
        <v>44012</v>
      </c>
      <c r="EO249" s="119">
        <f t="shared" si="808"/>
        <v>44104</v>
      </c>
      <c r="EP249" s="119">
        <f t="shared" si="808"/>
        <v>44196</v>
      </c>
      <c r="EQ249" s="118"/>
      <c r="ER249" s="118"/>
      <c r="ES249" s="355">
        <f t="shared" si="632"/>
        <v>244</v>
      </c>
      <c r="ET249"/>
      <c r="EU249"/>
      <c r="EV249"/>
      <c r="EW249"/>
      <c r="EX249"/>
      <c r="EY249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</row>
    <row r="250" spans="1:257" s="4" customFormat="1" ht="12.75" customHeight="1" outlineLevel="1">
      <c r="A250" s="15"/>
      <c r="B250" s="117" t="s">
        <v>108</v>
      </c>
      <c r="C250" s="114"/>
      <c r="D250" s="114"/>
      <c r="E250" s="114"/>
      <c r="F250" s="114"/>
      <c r="G250" s="114"/>
      <c r="H250" s="114"/>
      <c r="I250" s="114"/>
      <c r="J250" s="114"/>
      <c r="K250" s="114"/>
      <c r="L250" s="114"/>
      <c r="M250" s="114"/>
      <c r="N250" s="114"/>
      <c r="O250" s="114"/>
      <c r="P250" s="114"/>
      <c r="Q250" s="114"/>
      <c r="R250" s="114"/>
      <c r="S250" s="114"/>
      <c r="T250" s="114"/>
      <c r="U250" s="114"/>
      <c r="V250" s="114"/>
      <c r="W250" s="114"/>
      <c r="X250" s="114"/>
      <c r="Y250" s="114"/>
      <c r="Z250" s="114"/>
      <c r="AA250" s="114"/>
      <c r="AB250" s="114"/>
      <c r="AC250" s="114"/>
      <c r="AD250" s="114"/>
      <c r="AE250" s="114"/>
      <c r="AF250" s="114"/>
      <c r="AG250" s="17"/>
      <c r="AH250" s="114"/>
      <c r="AI250" s="114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4"/>
      <c r="AY250" s="114"/>
      <c r="AZ250" s="114"/>
      <c r="BA250" s="114"/>
      <c r="BB250" s="114"/>
      <c r="BC250" s="114"/>
      <c r="BD250" s="114"/>
      <c r="BE250" s="114"/>
      <c r="BF250" s="114"/>
      <c r="BG250" s="114"/>
      <c r="BH250" s="114"/>
      <c r="BI250" s="114"/>
      <c r="BJ250" s="114"/>
      <c r="BK250" s="114"/>
      <c r="BL250" s="114"/>
      <c r="BM250" s="114"/>
      <c r="BN250" s="114"/>
      <c r="BO250" s="114"/>
      <c r="BP250" s="114"/>
      <c r="BQ250" s="114"/>
      <c r="BR250" s="114"/>
      <c r="BS250" s="114"/>
      <c r="BT250" s="114"/>
      <c r="BU250" s="114"/>
      <c r="BV250" s="114"/>
      <c r="BW250" s="114"/>
      <c r="BX250" s="114"/>
      <c r="BY250" s="114"/>
      <c r="BZ250" s="114"/>
      <c r="CA250" s="114"/>
      <c r="CB250" s="114"/>
      <c r="CC250" s="114"/>
      <c r="CD250" s="114"/>
      <c r="CE250" s="114"/>
      <c r="CF250" s="114"/>
      <c r="CG250" s="114"/>
      <c r="CH250" s="114"/>
      <c r="CI250" s="114"/>
      <c r="CJ250" s="114"/>
      <c r="CK250" s="114"/>
      <c r="CL250" s="114"/>
      <c r="CM250" s="114"/>
      <c r="CN250" s="114"/>
      <c r="CO250" s="114"/>
      <c r="CP250" s="114"/>
      <c r="CQ250" s="114"/>
      <c r="CR250" s="114"/>
      <c r="CS250" s="114"/>
      <c r="CT250" s="114"/>
      <c r="CU250" s="115"/>
      <c r="CV250" s="115"/>
      <c r="CW250" s="115"/>
      <c r="CX250" s="115"/>
      <c r="CY250" s="115"/>
      <c r="CZ250" s="115"/>
      <c r="DA250" s="114"/>
      <c r="DB250" s="114"/>
      <c r="DC250" s="114"/>
      <c r="DD250" s="114"/>
      <c r="DE250" s="114"/>
      <c r="DF250" s="114"/>
      <c r="DG250" s="114"/>
      <c r="DH250" s="114"/>
      <c r="DI250" s="114"/>
      <c r="DJ250" s="114"/>
      <c r="DK250" s="114"/>
      <c r="DL250" s="114"/>
      <c r="DM250" s="114"/>
      <c r="DN250" s="114"/>
      <c r="DO250" s="114"/>
      <c r="DP250" s="114"/>
      <c r="DQ250" s="114"/>
      <c r="DR250" s="114"/>
      <c r="DS250" s="114"/>
      <c r="DT250" s="114"/>
      <c r="DU250" s="114"/>
      <c r="DV250" s="114"/>
      <c r="DW250" s="114"/>
      <c r="DX250" s="114"/>
      <c r="DY250" s="114"/>
      <c r="DZ250" s="114"/>
      <c r="EA250" s="114"/>
      <c r="EB250" s="114"/>
      <c r="EC250" s="114"/>
      <c r="ED250" s="114"/>
      <c r="EE250" s="18"/>
      <c r="EF250" s="18"/>
      <c r="EG250" s="18"/>
      <c r="EH250" s="18"/>
      <c r="EI250" s="18"/>
      <c r="EJ250" s="18"/>
      <c r="EK250" s="18"/>
      <c r="EL250" s="18"/>
      <c r="EM250" s="18"/>
      <c r="EN250" s="18"/>
      <c r="EO250" s="18"/>
      <c r="EP250" s="18"/>
      <c r="EQ250" s="18"/>
      <c r="ER250" s="18"/>
      <c r="ES250" s="355">
        <f t="shared" si="632"/>
        <v>245</v>
      </c>
      <c r="ET250"/>
      <c r="EU250"/>
      <c r="EV250"/>
      <c r="EW250"/>
      <c r="EX250"/>
      <c r="EY250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</row>
    <row r="251" spans="1:257" s="4" customFormat="1" ht="12.75" customHeight="1" outlineLevel="1">
      <c r="A251" s="15"/>
      <c r="B251" s="14" t="s">
        <v>107</v>
      </c>
      <c r="C251" s="59"/>
      <c r="D251" s="59"/>
      <c r="E251" s="59">
        <f t="shared" ref="E251:E257" si="809">AK251</f>
        <v>61.655999999999999</v>
      </c>
      <c r="F251" s="59">
        <f t="shared" ref="F251:O257" si="810">INDEX($AH251:$EQ251,1,MATCH(F$4,$AH$4:$EQ$4,0))</f>
        <v>29.446999999999999</v>
      </c>
      <c r="G251" s="59">
        <f t="shared" si="810"/>
        <v>19.542999999999999</v>
      </c>
      <c r="H251" s="59">
        <f t="shared" si="810"/>
        <v>16.891999999999999</v>
      </c>
      <c r="I251" s="62">
        <f t="shared" si="810"/>
        <v>27.963000000000001</v>
      </c>
      <c r="J251" s="62">
        <f t="shared" si="810"/>
        <v>24.475999999999999</v>
      </c>
      <c r="K251" s="62">
        <f t="shared" si="810"/>
        <v>21.757999999999999</v>
      </c>
      <c r="L251" s="62">
        <f t="shared" si="810"/>
        <v>108.087</v>
      </c>
      <c r="M251" s="62">
        <f t="shared" si="810"/>
        <v>128.82599999999999</v>
      </c>
      <c r="N251" s="62">
        <f t="shared" si="810"/>
        <v>46.883000000000003</v>
      </c>
      <c r="O251" s="62">
        <f t="shared" si="810"/>
        <v>38.189</v>
      </c>
      <c r="P251" s="62">
        <f t="shared" ref="P251:Y257" si="811">INDEX($AH251:$EQ251,1,MATCH(P$4,$AH$4:$EQ$4,0))</f>
        <v>65.296000000000006</v>
      </c>
      <c r="Q251" s="62">
        <f t="shared" si="811"/>
        <v>288.75200000000001</v>
      </c>
      <c r="R251" s="62">
        <f t="shared" si="811"/>
        <v>33.853000000000002</v>
      </c>
      <c r="S251" s="62">
        <f t="shared" si="811"/>
        <v>89.215000000000003</v>
      </c>
      <c r="T251" s="62">
        <f t="shared" si="811"/>
        <v>121.51300000000001</v>
      </c>
      <c r="U251" s="62">
        <f t="shared" si="811"/>
        <v>141.48599999999999</v>
      </c>
      <c r="V251" s="62">
        <f t="shared" si="811"/>
        <v>63.02</v>
      </c>
      <c r="W251" s="62">
        <f t="shared" si="811"/>
        <v>364.24599999999998</v>
      </c>
      <c r="X251" s="62">
        <f t="shared" si="811"/>
        <v>96.094999999999999</v>
      </c>
      <c r="Y251" s="62">
        <f t="shared" si="811"/>
        <v>447.86799999999999</v>
      </c>
      <c r="Z251" s="62">
        <f t="shared" ref="Z251:AF257" si="812">INDEX($AH251:$EQ251,1,MATCH(Z$4,$AH$4:$EQ$4,0))</f>
        <v>360.90899999999999</v>
      </c>
      <c r="AA251" s="62">
        <f t="shared" si="812"/>
        <v>717.97699999999998</v>
      </c>
      <c r="AB251" s="62">
        <f t="shared" si="812"/>
        <v>905.56100000000004</v>
      </c>
      <c r="AC251" s="62">
        <f t="shared" si="812"/>
        <v>521.375</v>
      </c>
      <c r="AD251" s="62">
        <f t="shared" si="812"/>
        <v>162.98177206367831</v>
      </c>
      <c r="AE251" s="62">
        <f t="shared" si="812"/>
        <v>224.05157907684963</v>
      </c>
      <c r="AF251" s="62">
        <f t="shared" si="812"/>
        <v>389.72617458757162</v>
      </c>
      <c r="AG251" s="18"/>
      <c r="AH251" s="62"/>
      <c r="AI251" s="62"/>
      <c r="AJ251" s="62"/>
      <c r="AK251" s="61">
        <v>61.655999999999999</v>
      </c>
      <c r="AL251" s="61">
        <v>54.109000000000002</v>
      </c>
      <c r="AM251" s="61">
        <v>67.676000000000002</v>
      </c>
      <c r="AN251" s="61">
        <v>44.972000000000001</v>
      </c>
      <c r="AO251" s="61">
        <v>29.446999999999999</v>
      </c>
      <c r="AP251" s="61">
        <v>15.433999999999999</v>
      </c>
      <c r="AQ251" s="61">
        <v>16.620999999999999</v>
      </c>
      <c r="AR251" s="61">
        <v>17.231000000000002</v>
      </c>
      <c r="AS251" s="61">
        <v>19.542999999999999</v>
      </c>
      <c r="AT251" s="61">
        <v>8.6059999999999999</v>
      </c>
      <c r="AU251" s="61">
        <v>13.137</v>
      </c>
      <c r="AV251" s="61">
        <v>16.286000000000001</v>
      </c>
      <c r="AW251" s="61">
        <v>16.891999999999999</v>
      </c>
      <c r="AX251" s="61">
        <v>27.494</v>
      </c>
      <c r="AY251" s="61">
        <v>19.477</v>
      </c>
      <c r="AZ251" s="61">
        <v>30.236000000000001</v>
      </c>
      <c r="BA251" s="61">
        <v>27.963000000000001</v>
      </c>
      <c r="BB251" s="61">
        <v>50.414000000000001</v>
      </c>
      <c r="BC251" s="61">
        <v>35.639000000000003</v>
      </c>
      <c r="BD251" s="61">
        <v>30.702999999999999</v>
      </c>
      <c r="BE251" s="61">
        <v>24.475999999999999</v>
      </c>
      <c r="BF251" s="61">
        <v>27.89</v>
      </c>
      <c r="BG251" s="61">
        <v>20.706</v>
      </c>
      <c r="BH251" s="61">
        <v>27.055</v>
      </c>
      <c r="BI251" s="61">
        <v>21.757999999999999</v>
      </c>
      <c r="BJ251" s="61">
        <v>38.543999999999997</v>
      </c>
      <c r="BK251" s="61">
        <v>68.971999999999994</v>
      </c>
      <c r="BL251" s="61">
        <v>88.698999999999998</v>
      </c>
      <c r="BM251" s="61">
        <v>108.087</v>
      </c>
      <c r="BN251" s="61">
        <v>126.538</v>
      </c>
      <c r="BO251" s="61">
        <v>146.64099999999999</v>
      </c>
      <c r="BP251" s="61">
        <v>167.874</v>
      </c>
      <c r="BQ251" s="61">
        <v>128.82599999999999</v>
      </c>
      <c r="BR251" s="61">
        <v>77.724000000000004</v>
      </c>
      <c r="BS251" s="61">
        <v>44.899000000000001</v>
      </c>
      <c r="BT251" s="61">
        <v>48.2</v>
      </c>
      <c r="BU251" s="110">
        <v>46.883000000000003</v>
      </c>
      <c r="BV251" s="61">
        <v>101.23099999999999</v>
      </c>
      <c r="BW251" s="61">
        <v>43.247999999999998</v>
      </c>
      <c r="BX251" s="61">
        <v>26.972999999999999</v>
      </c>
      <c r="BY251" s="61">
        <v>38.189</v>
      </c>
      <c r="BZ251" s="61">
        <v>35.497</v>
      </c>
      <c r="CA251" s="61">
        <v>30.558</v>
      </c>
      <c r="CB251" s="61">
        <v>24.446999999999999</v>
      </c>
      <c r="CC251" s="61">
        <v>65.296000000000006</v>
      </c>
      <c r="CD251" s="61">
        <v>177.524</v>
      </c>
      <c r="CE251" s="61">
        <v>208.453</v>
      </c>
      <c r="CF251" s="61">
        <v>236.285</v>
      </c>
      <c r="CG251" s="61">
        <v>288.75200000000001</v>
      </c>
      <c r="CH251" s="61">
        <v>301.57799999999997</v>
      </c>
      <c r="CI251" s="61">
        <v>195.155</v>
      </c>
      <c r="CJ251" s="61">
        <v>114.101</v>
      </c>
      <c r="CK251" s="61">
        <v>33.853000000000002</v>
      </c>
      <c r="CL251" s="61">
        <v>73.087999999999994</v>
      </c>
      <c r="CM251" s="61">
        <v>89.14</v>
      </c>
      <c r="CN251" s="61">
        <v>70.561999999999998</v>
      </c>
      <c r="CO251" s="61">
        <v>89.215000000000003</v>
      </c>
      <c r="CP251" s="61">
        <v>97.507000000000005</v>
      </c>
      <c r="CQ251" s="61">
        <v>90.736000000000004</v>
      </c>
      <c r="CR251" s="61">
        <v>99.018000000000001</v>
      </c>
      <c r="CS251" s="61">
        <v>121.51300000000001</v>
      </c>
      <c r="CT251" s="61">
        <v>138.024</v>
      </c>
      <c r="CU251" s="61">
        <v>126.378</v>
      </c>
      <c r="CV251" s="61">
        <v>141.70500000000001</v>
      </c>
      <c r="CW251" s="61">
        <v>141.48599999999999</v>
      </c>
      <c r="CX251" s="61">
        <v>153.053</v>
      </c>
      <c r="CY251" s="61">
        <v>125.712</v>
      </c>
      <c r="CZ251" s="61">
        <v>77.716999999999999</v>
      </c>
      <c r="DA251" s="61">
        <v>63.02</v>
      </c>
      <c r="DB251" s="61">
        <v>173.82400000000001</v>
      </c>
      <c r="DC251" s="61">
        <v>240.685</v>
      </c>
      <c r="DD251" s="61">
        <v>288.065</v>
      </c>
      <c r="DE251" s="74">
        <v>364.24599999999998</v>
      </c>
      <c r="DF251" s="74">
        <v>347.85899999999998</v>
      </c>
      <c r="DG251" s="74">
        <v>324.38499999999999</v>
      </c>
      <c r="DH251" s="74">
        <v>148.86600000000001</v>
      </c>
      <c r="DI251" s="74">
        <v>96.094999999999999</v>
      </c>
      <c r="DJ251" s="74">
        <v>241.14599999999999</v>
      </c>
      <c r="DK251" s="74">
        <v>172.99299999999999</v>
      </c>
      <c r="DL251" s="74">
        <v>480.48</v>
      </c>
      <c r="DM251" s="74">
        <v>447.86799999999999</v>
      </c>
      <c r="DN251" s="74">
        <v>581.41399999999999</v>
      </c>
      <c r="DO251" s="74">
        <v>584.97900000000004</v>
      </c>
      <c r="DP251" s="74">
        <v>549.928</v>
      </c>
      <c r="DQ251" s="74">
        <v>360.90899999999999</v>
      </c>
      <c r="DR251" s="74">
        <v>251.636</v>
      </c>
      <c r="DS251" s="74">
        <v>719.12699999999995</v>
      </c>
      <c r="DT251" s="74">
        <v>770.91800000000001</v>
      </c>
      <c r="DU251" s="74">
        <v>717.97699999999998</v>
      </c>
      <c r="DV251" s="74">
        <v>848.23</v>
      </c>
      <c r="DW251" s="74">
        <v>898.01300000000003</v>
      </c>
      <c r="DX251" s="74">
        <v>907.03200000000004</v>
      </c>
      <c r="DY251" s="74">
        <v>905.56100000000004</v>
      </c>
      <c r="DZ251" s="74">
        <v>825.89300000000003</v>
      </c>
      <c r="EA251" s="74">
        <v>741.74599999999998</v>
      </c>
      <c r="EB251" s="74">
        <v>572.78700000000003</v>
      </c>
      <c r="EC251" s="74">
        <v>521.375</v>
      </c>
      <c r="ED251" s="74">
        <v>383.66399999999999</v>
      </c>
      <c r="EE251" s="59">
        <f t="shared" ref="EE251:EP251" si="813">ED251+EE246</f>
        <v>303.53134660290044</v>
      </c>
      <c r="EF251" s="59">
        <f t="shared" si="813"/>
        <v>224.03809588695904</v>
      </c>
      <c r="EG251" s="59">
        <f t="shared" si="813"/>
        <v>162.98177206367831</v>
      </c>
      <c r="EH251" s="59">
        <f t="shared" si="813"/>
        <v>161.6482340995876</v>
      </c>
      <c r="EI251" s="59">
        <f t="shared" si="813"/>
        <v>162.70255840472035</v>
      </c>
      <c r="EJ251" s="59">
        <f t="shared" si="813"/>
        <v>190.13980422973574</v>
      </c>
      <c r="EK251" s="59">
        <f t="shared" si="813"/>
        <v>224.05157907684963</v>
      </c>
      <c r="EL251" s="59">
        <f t="shared" si="813"/>
        <v>254.62975242923983</v>
      </c>
      <c r="EM251" s="59">
        <f t="shared" si="813"/>
        <v>298.16860581263325</v>
      </c>
      <c r="EN251" s="59">
        <f t="shared" si="813"/>
        <v>342.48856099799633</v>
      </c>
      <c r="EO251" s="59">
        <f t="shared" si="813"/>
        <v>389.72617458757162</v>
      </c>
      <c r="EP251" s="59">
        <f t="shared" si="813"/>
        <v>431.90668531633168</v>
      </c>
      <c r="EQ251" s="5"/>
      <c r="ER251" s="5"/>
      <c r="ES251" s="355">
        <f t="shared" si="632"/>
        <v>246</v>
      </c>
      <c r="ET251"/>
      <c r="EU251"/>
      <c r="EV251"/>
      <c r="EW251"/>
      <c r="EX251"/>
      <c r="EY25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</row>
    <row r="252" spans="1:257" s="4" customFormat="1" ht="12.75" customHeight="1" outlineLevel="1">
      <c r="A252" s="15"/>
      <c r="B252" s="14" t="s">
        <v>106</v>
      </c>
      <c r="C252" s="59"/>
      <c r="D252" s="59"/>
      <c r="E252" s="59">
        <f t="shared" si="809"/>
        <v>0</v>
      </c>
      <c r="F252" s="59">
        <f t="shared" si="810"/>
        <v>0</v>
      </c>
      <c r="G252" s="59">
        <f t="shared" si="810"/>
        <v>0</v>
      </c>
      <c r="H252" s="59">
        <f t="shared" si="810"/>
        <v>0</v>
      </c>
      <c r="I252" s="62">
        <f t="shared" si="810"/>
        <v>0</v>
      </c>
      <c r="J252" s="62">
        <f t="shared" si="810"/>
        <v>0</v>
      </c>
      <c r="K252" s="62">
        <f t="shared" si="810"/>
        <v>0</v>
      </c>
      <c r="L252" s="62">
        <f t="shared" si="810"/>
        <v>0</v>
      </c>
      <c r="M252" s="62">
        <f t="shared" si="810"/>
        <v>0</v>
      </c>
      <c r="N252" s="62">
        <f t="shared" si="810"/>
        <v>0</v>
      </c>
      <c r="O252" s="62">
        <f t="shared" si="810"/>
        <v>0</v>
      </c>
      <c r="P252" s="62">
        <f t="shared" si="811"/>
        <v>0</v>
      </c>
      <c r="Q252" s="62">
        <f t="shared" si="811"/>
        <v>0</v>
      </c>
      <c r="R252" s="62">
        <f t="shared" si="811"/>
        <v>0</v>
      </c>
      <c r="S252" s="62">
        <f t="shared" si="811"/>
        <v>0</v>
      </c>
      <c r="T252" s="62">
        <f t="shared" si="811"/>
        <v>0</v>
      </c>
      <c r="U252" s="62">
        <f t="shared" si="811"/>
        <v>12.5</v>
      </c>
      <c r="V252" s="62">
        <f t="shared" si="811"/>
        <v>0</v>
      </c>
      <c r="W252" s="62">
        <f t="shared" si="811"/>
        <v>0</v>
      </c>
      <c r="X252" s="62">
        <f t="shared" si="811"/>
        <v>0</v>
      </c>
      <c r="Y252" s="62">
        <f t="shared" si="811"/>
        <v>0</v>
      </c>
      <c r="Z252" s="62">
        <f t="shared" si="812"/>
        <v>0</v>
      </c>
      <c r="AA252" s="62">
        <f t="shared" si="812"/>
        <v>45.542999999999999</v>
      </c>
      <c r="AB252" s="62">
        <f t="shared" si="812"/>
        <v>44.148000000000003</v>
      </c>
      <c r="AC252" s="62">
        <f t="shared" si="812"/>
        <v>44.491</v>
      </c>
      <c r="AD252" s="62">
        <f t="shared" si="812"/>
        <v>42.540999999999997</v>
      </c>
      <c r="AE252" s="62">
        <f t="shared" si="812"/>
        <v>42.540999999999997</v>
      </c>
      <c r="AF252" s="62">
        <f t="shared" si="812"/>
        <v>42.540999999999997</v>
      </c>
      <c r="AG252" s="18"/>
      <c r="AH252" s="62"/>
      <c r="AI252" s="62"/>
      <c r="AJ252" s="62"/>
      <c r="AK252" s="61">
        <v>0</v>
      </c>
      <c r="AL252" s="61">
        <v>0</v>
      </c>
      <c r="AM252" s="61">
        <v>0</v>
      </c>
      <c r="AN252" s="61">
        <v>0</v>
      </c>
      <c r="AO252" s="61">
        <v>0</v>
      </c>
      <c r="AP252" s="61">
        <v>0</v>
      </c>
      <c r="AQ252" s="61">
        <v>0</v>
      </c>
      <c r="AR252" s="61">
        <v>0</v>
      </c>
      <c r="AS252" s="61">
        <v>0</v>
      </c>
      <c r="AT252" s="61">
        <v>0</v>
      </c>
      <c r="AU252" s="61">
        <v>0</v>
      </c>
      <c r="AV252" s="61">
        <v>0</v>
      </c>
      <c r="AW252" s="61">
        <v>0</v>
      </c>
      <c r="AX252" s="61">
        <v>0</v>
      </c>
      <c r="AY252" s="61">
        <v>0</v>
      </c>
      <c r="AZ252" s="61">
        <v>0</v>
      </c>
      <c r="BA252" s="61">
        <v>0</v>
      </c>
      <c r="BB252" s="61">
        <v>0</v>
      </c>
      <c r="BC252" s="61">
        <v>0</v>
      </c>
      <c r="BD252" s="61">
        <v>0</v>
      </c>
      <c r="BE252" s="61">
        <v>0</v>
      </c>
      <c r="BF252" s="61">
        <v>0</v>
      </c>
      <c r="BG252" s="61">
        <v>0</v>
      </c>
      <c r="BH252" s="61">
        <v>0</v>
      </c>
      <c r="BI252" s="61">
        <v>0</v>
      </c>
      <c r="BJ252" s="61">
        <v>0</v>
      </c>
      <c r="BK252" s="61">
        <v>0</v>
      </c>
      <c r="BL252" s="61">
        <v>0</v>
      </c>
      <c r="BM252" s="61">
        <v>0</v>
      </c>
      <c r="BN252" s="61">
        <v>0</v>
      </c>
      <c r="BO252" s="61">
        <v>0</v>
      </c>
      <c r="BP252" s="61">
        <v>0</v>
      </c>
      <c r="BQ252" s="61">
        <v>0</v>
      </c>
      <c r="BR252" s="61">
        <v>0</v>
      </c>
      <c r="BS252" s="61">
        <v>0</v>
      </c>
      <c r="BT252" s="61">
        <v>0</v>
      </c>
      <c r="BU252" s="61">
        <v>0</v>
      </c>
      <c r="BV252" s="61">
        <v>0</v>
      </c>
      <c r="BW252" s="61">
        <v>0</v>
      </c>
      <c r="BX252" s="61">
        <v>0</v>
      </c>
      <c r="BY252" s="61">
        <v>0</v>
      </c>
      <c r="BZ252" s="61">
        <v>0</v>
      </c>
      <c r="CA252" s="61">
        <v>0</v>
      </c>
      <c r="CB252" s="61">
        <v>0</v>
      </c>
      <c r="CC252" s="61">
        <v>0</v>
      </c>
      <c r="CD252" s="61">
        <v>0</v>
      </c>
      <c r="CE252" s="61">
        <v>0</v>
      </c>
      <c r="CF252" s="61">
        <v>0</v>
      </c>
      <c r="CG252" s="61">
        <v>0</v>
      </c>
      <c r="CH252" s="61">
        <v>0</v>
      </c>
      <c r="CI252" s="61">
        <v>0</v>
      </c>
      <c r="CJ252" s="61">
        <v>0</v>
      </c>
      <c r="CK252" s="61">
        <v>0</v>
      </c>
      <c r="CL252" s="61">
        <v>0</v>
      </c>
      <c r="CM252" s="61">
        <v>0</v>
      </c>
      <c r="CN252" s="61">
        <v>0</v>
      </c>
      <c r="CO252" s="61">
        <v>0</v>
      </c>
      <c r="CP252" s="61">
        <v>0</v>
      </c>
      <c r="CQ252" s="61">
        <v>0</v>
      </c>
      <c r="CR252" s="61">
        <v>0</v>
      </c>
      <c r="CS252" s="61">
        <v>0</v>
      </c>
      <c r="CT252" s="61">
        <v>0</v>
      </c>
      <c r="CU252" s="61">
        <v>12.5</v>
      </c>
      <c r="CV252" s="61">
        <v>12.5</v>
      </c>
      <c r="CW252" s="61">
        <v>12.5</v>
      </c>
      <c r="CX252" s="61">
        <v>12.516</v>
      </c>
      <c r="CY252" s="61">
        <v>0</v>
      </c>
      <c r="CZ252" s="61">
        <v>0</v>
      </c>
      <c r="DA252" s="61">
        <v>0</v>
      </c>
      <c r="DB252" s="61">
        <v>0</v>
      </c>
      <c r="DC252" s="61">
        <v>0</v>
      </c>
      <c r="DD252" s="61">
        <v>0</v>
      </c>
      <c r="DE252" s="61">
        <v>0</v>
      </c>
      <c r="DF252" s="61">
        <v>0</v>
      </c>
      <c r="DG252" s="61">
        <v>0</v>
      </c>
      <c r="DH252" s="61">
        <f>DG252</f>
        <v>0</v>
      </c>
      <c r="DI252" s="61">
        <f>DH252</f>
        <v>0</v>
      </c>
      <c r="DJ252" s="61">
        <v>0</v>
      </c>
      <c r="DK252" s="61">
        <v>0</v>
      </c>
      <c r="DL252" s="61">
        <v>0</v>
      </c>
      <c r="DM252" s="61">
        <v>0</v>
      </c>
      <c r="DN252" s="61">
        <v>0</v>
      </c>
      <c r="DO252" s="61">
        <v>0</v>
      </c>
      <c r="DP252" s="61">
        <v>0</v>
      </c>
      <c r="DQ252" s="61">
        <v>0</v>
      </c>
      <c r="DR252" s="61">
        <v>0</v>
      </c>
      <c r="DS252" s="61">
        <f>DR252</f>
        <v>0</v>
      </c>
      <c r="DT252" s="61">
        <v>0</v>
      </c>
      <c r="DU252" s="61">
        <v>45.542999999999999</v>
      </c>
      <c r="DV252" s="61">
        <v>47.707999999999998</v>
      </c>
      <c r="DW252" s="61">
        <v>45.526000000000003</v>
      </c>
      <c r="DX252" s="61">
        <v>49.564999999999998</v>
      </c>
      <c r="DY252" s="61">
        <v>44.148000000000003</v>
      </c>
      <c r="DZ252" s="61">
        <v>45.262999999999998</v>
      </c>
      <c r="EA252" s="61">
        <v>48.012</v>
      </c>
      <c r="EB252" s="61">
        <v>39.893999999999998</v>
      </c>
      <c r="EC252" s="61">
        <v>44.491</v>
      </c>
      <c r="ED252" s="61">
        <v>42.540999999999997</v>
      </c>
      <c r="EE252" s="59">
        <f t="shared" ref="EE252:EP252" si="814">ED252</f>
        <v>42.540999999999997</v>
      </c>
      <c r="EF252" s="59">
        <f t="shared" si="814"/>
        <v>42.540999999999997</v>
      </c>
      <c r="EG252" s="59">
        <f t="shared" si="814"/>
        <v>42.540999999999997</v>
      </c>
      <c r="EH252" s="59">
        <f t="shared" si="814"/>
        <v>42.540999999999997</v>
      </c>
      <c r="EI252" s="59">
        <f t="shared" si="814"/>
        <v>42.540999999999997</v>
      </c>
      <c r="EJ252" s="59">
        <f t="shared" si="814"/>
        <v>42.540999999999997</v>
      </c>
      <c r="EK252" s="59">
        <f t="shared" si="814"/>
        <v>42.540999999999997</v>
      </c>
      <c r="EL252" s="59">
        <f t="shared" si="814"/>
        <v>42.540999999999997</v>
      </c>
      <c r="EM252" s="59">
        <f t="shared" si="814"/>
        <v>42.540999999999997</v>
      </c>
      <c r="EN252" s="59">
        <f t="shared" si="814"/>
        <v>42.540999999999997</v>
      </c>
      <c r="EO252" s="59">
        <f t="shared" si="814"/>
        <v>42.540999999999997</v>
      </c>
      <c r="EP252" s="59">
        <f t="shared" si="814"/>
        <v>42.540999999999997</v>
      </c>
      <c r="EQ252" s="5"/>
      <c r="ER252" s="5"/>
      <c r="ES252" s="355">
        <f t="shared" si="632"/>
        <v>247</v>
      </c>
      <c r="ET252"/>
      <c r="EU252"/>
      <c r="EV252"/>
      <c r="EW252"/>
      <c r="EX252"/>
      <c r="EY252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</row>
    <row r="253" spans="1:257" s="4" customFormat="1" ht="12.75" customHeight="1" outlineLevel="1">
      <c r="A253" s="15"/>
      <c r="B253" s="14" t="s">
        <v>105</v>
      </c>
      <c r="C253" s="59"/>
      <c r="D253" s="59"/>
      <c r="E253" s="59">
        <f t="shared" si="809"/>
        <v>56.305</v>
      </c>
      <c r="F253" s="59">
        <f t="shared" si="810"/>
        <v>59.896999999999998</v>
      </c>
      <c r="G253" s="59">
        <f t="shared" si="810"/>
        <v>57.033999999999999</v>
      </c>
      <c r="H253" s="59">
        <f t="shared" si="810"/>
        <v>75.373999999999995</v>
      </c>
      <c r="I253" s="62">
        <f t="shared" si="810"/>
        <v>98.697000000000003</v>
      </c>
      <c r="J253" s="62">
        <f t="shared" si="810"/>
        <v>119.395</v>
      </c>
      <c r="K253" s="62">
        <f t="shared" si="810"/>
        <v>99.597999999999999</v>
      </c>
      <c r="L253" s="62">
        <f t="shared" si="810"/>
        <v>106.63</v>
      </c>
      <c r="M253" s="62">
        <f t="shared" si="810"/>
        <v>116.752</v>
      </c>
      <c r="N253" s="62">
        <f t="shared" si="810"/>
        <v>92.603999999999999</v>
      </c>
      <c r="O253" s="62">
        <f t="shared" si="810"/>
        <v>91.087999999999994</v>
      </c>
      <c r="P253" s="62">
        <f t="shared" si="811"/>
        <v>133.262</v>
      </c>
      <c r="Q253" s="62">
        <f t="shared" si="811"/>
        <v>162.64599999999999</v>
      </c>
      <c r="R253" s="62">
        <f t="shared" si="811"/>
        <v>289.47899999999998</v>
      </c>
      <c r="S253" s="62">
        <f t="shared" si="811"/>
        <v>339.81900000000002</v>
      </c>
      <c r="T253" s="62">
        <f t="shared" si="811"/>
        <v>462.83300000000003</v>
      </c>
      <c r="U253" s="62">
        <f t="shared" si="811"/>
        <v>246.79</v>
      </c>
      <c r="V253" s="62">
        <f t="shared" si="811"/>
        <v>457.65899999999999</v>
      </c>
      <c r="W253" s="62">
        <f t="shared" si="811"/>
        <v>460.54</v>
      </c>
      <c r="X253" s="62">
        <f t="shared" si="811"/>
        <v>620.48900000000003</v>
      </c>
      <c r="Y253" s="62">
        <f t="shared" si="811"/>
        <v>621.41999999999996</v>
      </c>
      <c r="Z253" s="62">
        <f t="shared" si="812"/>
        <v>705.21400000000006</v>
      </c>
      <c r="AA253" s="62">
        <f t="shared" si="812"/>
        <v>449.34399999999999</v>
      </c>
      <c r="AB253" s="62">
        <f t="shared" si="812"/>
        <v>375.16899999999998</v>
      </c>
      <c r="AC253" s="62">
        <f t="shared" si="812"/>
        <v>477.07400000000001</v>
      </c>
      <c r="AD253" s="62">
        <f t="shared" si="812"/>
        <v>601.26498729917057</v>
      </c>
      <c r="AE253" s="62">
        <f t="shared" si="812"/>
        <v>682.28792550874425</v>
      </c>
      <c r="AF253" s="62">
        <f t="shared" si="812"/>
        <v>701.32645402437868</v>
      </c>
      <c r="AG253" s="96"/>
      <c r="AH253" s="62"/>
      <c r="AI253" s="62"/>
      <c r="AJ253" s="62"/>
      <c r="AK253" s="61">
        <v>56.305</v>
      </c>
      <c r="AL253" s="61">
        <v>61.283000000000001</v>
      </c>
      <c r="AM253" s="61">
        <v>59.106999999999999</v>
      </c>
      <c r="AN253" s="61">
        <v>55.145000000000003</v>
      </c>
      <c r="AO253" s="61">
        <v>59.896999999999998</v>
      </c>
      <c r="AP253" s="61">
        <v>59.923000000000002</v>
      </c>
      <c r="AQ253" s="61">
        <v>51.872</v>
      </c>
      <c r="AR253" s="61">
        <v>60.707999999999998</v>
      </c>
      <c r="AS253" s="61">
        <v>57.033999999999999</v>
      </c>
      <c r="AT253" s="61">
        <v>66.400000000000006</v>
      </c>
      <c r="AU253" s="61">
        <v>65.230999999999995</v>
      </c>
      <c r="AV253" s="61">
        <v>75.596000000000004</v>
      </c>
      <c r="AW253" s="61">
        <v>75.373999999999995</v>
      </c>
      <c r="AX253" s="61">
        <v>85.533000000000001</v>
      </c>
      <c r="AY253" s="61">
        <v>86.707999999999998</v>
      </c>
      <c r="AZ253" s="61">
        <f>87.872</f>
        <v>87.872</v>
      </c>
      <c r="BA253" s="61">
        <v>98.697000000000003</v>
      </c>
      <c r="BB253" s="61">
        <v>112.479</v>
      </c>
      <c r="BC253" s="61">
        <v>120.687</v>
      </c>
      <c r="BD253" s="61">
        <v>120.602</v>
      </c>
      <c r="BE253" s="61">
        <v>119.395</v>
      </c>
      <c r="BF253" s="61">
        <v>116.893</v>
      </c>
      <c r="BG253" s="61">
        <v>112.44199999999999</v>
      </c>
      <c r="BH253" s="61">
        <v>98.337999999999994</v>
      </c>
      <c r="BI253" s="61">
        <v>99.597999999999999</v>
      </c>
      <c r="BJ253" s="61">
        <v>96.718999999999994</v>
      </c>
      <c r="BK253" s="61">
        <v>90.867000000000004</v>
      </c>
      <c r="BL253" s="61">
        <v>99.69</v>
      </c>
      <c r="BM253" s="61">
        <v>106.63</v>
      </c>
      <c r="BN253" s="61">
        <v>125.283</v>
      </c>
      <c r="BO253" s="61">
        <v>121.429</v>
      </c>
      <c r="BP253" s="61">
        <v>134.74199999999999</v>
      </c>
      <c r="BQ253" s="61">
        <v>116.752</v>
      </c>
      <c r="BR253" s="61">
        <v>134.58000000000001</v>
      </c>
      <c r="BS253" s="61">
        <v>128.10499999999999</v>
      </c>
      <c r="BT253" s="61">
        <v>122.267</v>
      </c>
      <c r="BU253" s="110">
        <v>92.603999999999999</v>
      </c>
      <c r="BV253" s="61">
        <v>83.843999999999994</v>
      </c>
      <c r="BW253" s="61">
        <v>89.915000000000006</v>
      </c>
      <c r="BX253" s="61">
        <v>107.459</v>
      </c>
      <c r="BY253" s="61">
        <v>91.087999999999994</v>
      </c>
      <c r="BZ253" s="61">
        <v>89.597999999999999</v>
      </c>
      <c r="CA253" s="61">
        <v>101.982</v>
      </c>
      <c r="CB253" s="61">
        <v>102.258</v>
      </c>
      <c r="CC253" s="61">
        <v>133.262</v>
      </c>
      <c r="CD253" s="61">
        <v>124.05500000000001</v>
      </c>
      <c r="CE253" s="61">
        <v>133.184</v>
      </c>
      <c r="CF253" s="61">
        <v>150.86099999999999</v>
      </c>
      <c r="CG253" s="61">
        <v>162.64599999999999</v>
      </c>
      <c r="CH253" s="61">
        <v>186.571</v>
      </c>
      <c r="CI253" s="61">
        <v>193.44200000000001</v>
      </c>
      <c r="CJ253" s="61">
        <v>240.80099999999999</v>
      </c>
      <c r="CK253" s="61">
        <v>289.47899999999998</v>
      </c>
      <c r="CL253" s="61">
        <v>329.15</v>
      </c>
      <c r="CM253" s="61">
        <v>304.48599999999999</v>
      </c>
      <c r="CN253" s="61">
        <v>320.54700000000003</v>
      </c>
      <c r="CO253" s="61">
        <v>339.81900000000002</v>
      </c>
      <c r="CP253" s="61">
        <v>365.73200000000003</v>
      </c>
      <c r="CQ253" s="61">
        <v>361.25299999999999</v>
      </c>
      <c r="CR253" s="61">
        <v>396.62299999999999</v>
      </c>
      <c r="CS253" s="61">
        <v>462.83300000000003</v>
      </c>
      <c r="CT253" s="61">
        <v>460.56599999999997</v>
      </c>
      <c r="CU253" s="61">
        <v>460.99900000000002</v>
      </c>
      <c r="CV253" s="61">
        <v>319.827</v>
      </c>
      <c r="CW253" s="61">
        <v>246.79</v>
      </c>
      <c r="CX253" s="61">
        <v>270.50900000000001</v>
      </c>
      <c r="CY253" s="61">
        <f>288.647</f>
        <v>288.64699999999999</v>
      </c>
      <c r="CZ253" s="61">
        <v>335</v>
      </c>
      <c r="DA253" s="61">
        <f>457.659</f>
        <v>457.65899999999999</v>
      </c>
      <c r="DB253" s="61">
        <v>412.399</v>
      </c>
      <c r="DC253" s="74">
        <v>433.18</v>
      </c>
      <c r="DD253" s="74">
        <v>444.214</v>
      </c>
      <c r="DE253" s="74">
        <v>460.54</v>
      </c>
      <c r="DF253" s="74">
        <v>495.38900000000001</v>
      </c>
      <c r="DG253" s="74">
        <v>511.20299999999997</v>
      </c>
      <c r="DH253" s="74">
        <v>604.34699999999998</v>
      </c>
      <c r="DI253" s="74">
        <v>620.48900000000003</v>
      </c>
      <c r="DJ253" s="74">
        <v>580.173</v>
      </c>
      <c r="DK253" s="74">
        <v>603.23800000000006</v>
      </c>
      <c r="DL253" s="74">
        <v>622.40499999999997</v>
      </c>
      <c r="DM253" s="74">
        <v>621.41999999999996</v>
      </c>
      <c r="DN253" s="74">
        <v>630.24</v>
      </c>
      <c r="DO253" s="74">
        <v>624.10799999999995</v>
      </c>
      <c r="DP253" s="106">
        <v>705.78700000000003</v>
      </c>
      <c r="DQ253" s="106">
        <v>705.21400000000006</v>
      </c>
      <c r="DR253" s="106">
        <v>734.32899999999995</v>
      </c>
      <c r="DS253" s="106">
        <v>623.70600000000002</v>
      </c>
      <c r="DT253" s="106">
        <v>490.22399999999999</v>
      </c>
      <c r="DU253" s="106">
        <v>449.34399999999999</v>
      </c>
      <c r="DV253" s="106">
        <v>373.89600000000002</v>
      </c>
      <c r="DW253" s="106">
        <v>330.726</v>
      </c>
      <c r="DX253" s="106">
        <v>351.31700000000001</v>
      </c>
      <c r="DY253" s="106">
        <v>375.16899999999998</v>
      </c>
      <c r="DZ253" s="106">
        <v>326.77100000000002</v>
      </c>
      <c r="EA253" s="106">
        <v>345.54599999999999</v>
      </c>
      <c r="EB253" s="106">
        <v>440.87200000000001</v>
      </c>
      <c r="EC253" s="106">
        <v>477.07400000000001</v>
      </c>
      <c r="ED253" s="106">
        <v>535.27099999999996</v>
      </c>
      <c r="EE253" s="59">
        <f t="shared" ref="EE253:EP253" si="815">EE303*(EE15/EE3)</f>
        <v>543.02515414182949</v>
      </c>
      <c r="EF253" s="59">
        <f t="shared" si="815"/>
        <v>571.37870143894872</v>
      </c>
      <c r="EG253" s="59">
        <f t="shared" si="815"/>
        <v>601.26498729917057</v>
      </c>
      <c r="EH253" s="59">
        <f t="shared" si="815"/>
        <v>626.30236696899931</v>
      </c>
      <c r="EI253" s="59">
        <f t="shared" si="815"/>
        <v>654.43551256133321</v>
      </c>
      <c r="EJ253" s="59">
        <f t="shared" si="815"/>
        <v>669.11664826668505</v>
      </c>
      <c r="EK253" s="59">
        <f t="shared" si="815"/>
        <v>682.28792550874425</v>
      </c>
      <c r="EL253" s="59">
        <f t="shared" si="815"/>
        <v>708.2979087958438</v>
      </c>
      <c r="EM253" s="59">
        <f t="shared" si="815"/>
        <v>706.75142805249925</v>
      </c>
      <c r="EN253" s="59">
        <f t="shared" si="815"/>
        <v>704.42817312920897</v>
      </c>
      <c r="EO253" s="59">
        <f t="shared" si="815"/>
        <v>701.32645402437868</v>
      </c>
      <c r="EP253" s="59">
        <f t="shared" si="815"/>
        <v>699.00314964530753</v>
      </c>
      <c r="EQ253" s="5"/>
      <c r="ER253" s="5"/>
      <c r="ES253" s="355">
        <f t="shared" si="632"/>
        <v>248</v>
      </c>
      <c r="ET253"/>
      <c r="EU253"/>
      <c r="EV253"/>
      <c r="EW253"/>
      <c r="EX253"/>
      <c r="EY253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</row>
    <row r="254" spans="1:257" s="4" customFormat="1" ht="12.75" customHeight="1" outlineLevel="1">
      <c r="A254" s="15"/>
      <c r="B254" s="14" t="s">
        <v>104</v>
      </c>
      <c r="C254" s="59"/>
      <c r="D254" s="59"/>
      <c r="E254" s="59">
        <f t="shared" si="809"/>
        <v>17.646000000000001</v>
      </c>
      <c r="F254" s="59">
        <f t="shared" si="810"/>
        <v>20.995000000000001</v>
      </c>
      <c r="G254" s="59">
        <f t="shared" si="810"/>
        <v>19.329000000000001</v>
      </c>
      <c r="H254" s="59">
        <f t="shared" si="810"/>
        <v>16.914999999999999</v>
      </c>
      <c r="I254" s="62">
        <f t="shared" si="810"/>
        <v>19.638999999999999</v>
      </c>
      <c r="J254" s="62">
        <f t="shared" si="810"/>
        <v>25.401</v>
      </c>
      <c r="K254" s="62">
        <f t="shared" si="810"/>
        <v>25.187000000000001</v>
      </c>
      <c r="L254" s="62">
        <f t="shared" si="810"/>
        <v>25.597999999999999</v>
      </c>
      <c r="M254" s="62">
        <f t="shared" si="810"/>
        <v>23.553000000000001</v>
      </c>
      <c r="N254" s="62">
        <f t="shared" si="810"/>
        <v>22.510999999999999</v>
      </c>
      <c r="O254" s="62">
        <f t="shared" si="810"/>
        <v>22.533000000000001</v>
      </c>
      <c r="P254" s="62">
        <f t="shared" si="811"/>
        <v>20.826000000000001</v>
      </c>
      <c r="Q254" s="62">
        <f t="shared" si="811"/>
        <v>21.312999999999999</v>
      </c>
      <c r="R254" s="62">
        <f t="shared" si="811"/>
        <v>26.164999999999999</v>
      </c>
      <c r="S254" s="62">
        <f t="shared" si="811"/>
        <v>29.145</v>
      </c>
      <c r="T254" s="62">
        <f t="shared" si="811"/>
        <v>33.097999999999999</v>
      </c>
      <c r="U254" s="62">
        <f t="shared" si="811"/>
        <v>44.722999999999999</v>
      </c>
      <c r="V254" s="62">
        <f t="shared" si="811"/>
        <v>43.402000000000001</v>
      </c>
      <c r="W254" s="62">
        <f t="shared" si="811"/>
        <v>54.406999999999996</v>
      </c>
      <c r="X254" s="62">
        <f t="shared" si="811"/>
        <v>78.777000000000001</v>
      </c>
      <c r="Y254" s="62">
        <f t="shared" si="811"/>
        <v>88.866</v>
      </c>
      <c r="Z254" s="62">
        <f t="shared" si="812"/>
        <v>106.241</v>
      </c>
      <c r="AA254" s="62">
        <f t="shared" si="812"/>
        <v>128.72900000000001</v>
      </c>
      <c r="AB254" s="62">
        <f t="shared" si="812"/>
        <v>124.325</v>
      </c>
      <c r="AC254" s="62">
        <f t="shared" si="812"/>
        <v>137.20400000000001</v>
      </c>
      <c r="AD254" s="62">
        <f t="shared" si="812"/>
        <v>152.09612123571691</v>
      </c>
      <c r="AE254" s="62">
        <f t="shared" si="812"/>
        <v>165.63807451315481</v>
      </c>
      <c r="AF254" s="62">
        <f t="shared" si="812"/>
        <v>171.67085963270094</v>
      </c>
      <c r="AG254" s="96"/>
      <c r="AH254" s="62"/>
      <c r="AI254" s="62"/>
      <c r="AJ254" s="62"/>
      <c r="AK254" s="61">
        <v>17.646000000000001</v>
      </c>
      <c r="AL254" s="61">
        <v>18.843</v>
      </c>
      <c r="AM254" s="61">
        <v>18.754000000000001</v>
      </c>
      <c r="AN254" s="61">
        <v>20.936</v>
      </c>
      <c r="AO254" s="61">
        <v>20.995000000000001</v>
      </c>
      <c r="AP254" s="61">
        <v>21.29</v>
      </c>
      <c r="AQ254" s="61">
        <v>21.515000000000001</v>
      </c>
      <c r="AR254" s="61">
        <v>20.093</v>
      </c>
      <c r="AS254" s="61">
        <v>19.329000000000001</v>
      </c>
      <c r="AT254" s="61">
        <v>21.786999999999999</v>
      </c>
      <c r="AU254" s="61">
        <v>21.24</v>
      </c>
      <c r="AV254" s="61">
        <v>20.783999999999999</v>
      </c>
      <c r="AW254" s="61">
        <v>16.914999999999999</v>
      </c>
      <c r="AX254" s="61">
        <v>16.838999999999999</v>
      </c>
      <c r="AY254" s="61">
        <v>17.893999999999998</v>
      </c>
      <c r="AZ254" s="61">
        <v>18.597000000000001</v>
      </c>
      <c r="BA254" s="61">
        <v>19.638999999999999</v>
      </c>
      <c r="BB254" s="61">
        <v>20.954999999999998</v>
      </c>
      <c r="BC254" s="61">
        <v>22.155000000000001</v>
      </c>
      <c r="BD254" s="61">
        <v>23.248000000000001</v>
      </c>
      <c r="BE254" s="61">
        <v>25.401</v>
      </c>
      <c r="BF254" s="61">
        <v>26.981999999999999</v>
      </c>
      <c r="BG254" s="61">
        <v>26.489000000000001</v>
      </c>
      <c r="BH254" s="61">
        <v>26.463000000000001</v>
      </c>
      <c r="BI254" s="61">
        <v>25.187000000000001</v>
      </c>
      <c r="BJ254" s="61">
        <v>24.420999999999999</v>
      </c>
      <c r="BK254" s="61">
        <v>24.655000000000001</v>
      </c>
      <c r="BL254" s="61">
        <v>25.006</v>
      </c>
      <c r="BM254" s="61">
        <v>25.597999999999999</v>
      </c>
      <c r="BN254" s="61">
        <v>25.228000000000002</v>
      </c>
      <c r="BO254" s="61">
        <v>27.87</v>
      </c>
      <c r="BP254" s="61">
        <v>30.6</v>
      </c>
      <c r="BQ254" s="61">
        <v>23.553000000000001</v>
      </c>
      <c r="BR254" s="61">
        <v>24.744</v>
      </c>
      <c r="BS254" s="61">
        <v>27.349</v>
      </c>
      <c r="BT254" s="61">
        <v>26.963999999999999</v>
      </c>
      <c r="BU254" s="110">
        <v>22.510999999999999</v>
      </c>
      <c r="BV254" s="61">
        <v>22.013999999999999</v>
      </c>
      <c r="BW254" s="61">
        <v>22.111000000000001</v>
      </c>
      <c r="BX254" s="61">
        <v>21.798999999999999</v>
      </c>
      <c r="BY254" s="61">
        <v>22.533000000000001</v>
      </c>
      <c r="BZ254" s="61">
        <v>22.07</v>
      </c>
      <c r="CA254" s="61">
        <v>21.712</v>
      </c>
      <c r="CB254" s="61">
        <v>20.762</v>
      </c>
      <c r="CC254" s="61">
        <v>20.826000000000001</v>
      </c>
      <c r="CD254" s="61">
        <v>19.911000000000001</v>
      </c>
      <c r="CE254" s="61">
        <v>20.759</v>
      </c>
      <c r="CF254" s="61">
        <v>20.108000000000001</v>
      </c>
      <c r="CG254" s="61">
        <v>21.312999999999999</v>
      </c>
      <c r="CH254" s="61">
        <v>21.658000000000001</v>
      </c>
      <c r="CI254" s="61">
        <v>23.997</v>
      </c>
      <c r="CJ254" s="61">
        <v>24.442</v>
      </c>
      <c r="CK254" s="61">
        <v>26.164999999999999</v>
      </c>
      <c r="CL254" s="61">
        <v>26.422000000000001</v>
      </c>
      <c r="CM254" s="61">
        <v>26.024999999999999</v>
      </c>
      <c r="CN254" s="61">
        <v>28.398</v>
      </c>
      <c r="CO254" s="61">
        <v>29.145</v>
      </c>
      <c r="CP254" s="61">
        <v>29.247</v>
      </c>
      <c r="CQ254" s="61">
        <v>33.499000000000002</v>
      </c>
      <c r="CR254" s="61">
        <v>31.88</v>
      </c>
      <c r="CS254" s="61">
        <v>33.097999999999999</v>
      </c>
      <c r="CT254" s="61">
        <v>41.994</v>
      </c>
      <c r="CU254" s="61">
        <v>41.674999999999997</v>
      </c>
      <c r="CV254" s="61">
        <v>45.685000000000002</v>
      </c>
      <c r="CW254" s="61">
        <v>44.722999999999999</v>
      </c>
      <c r="CX254" s="61">
        <v>46.37</v>
      </c>
      <c r="CY254" s="61">
        <v>45.904000000000003</v>
      </c>
      <c r="CZ254" s="61">
        <v>43.505000000000003</v>
      </c>
      <c r="DA254" s="61">
        <v>43.402000000000001</v>
      </c>
      <c r="DB254" s="61">
        <v>43.764000000000003</v>
      </c>
      <c r="DC254" s="74">
        <v>45.843000000000004</v>
      </c>
      <c r="DD254" s="74">
        <v>48.911000000000001</v>
      </c>
      <c r="DE254" s="74">
        <v>54.406999999999996</v>
      </c>
      <c r="DF254" s="74">
        <v>58.906999999999996</v>
      </c>
      <c r="DG254" s="74">
        <v>61.41</v>
      </c>
      <c r="DH254" s="74">
        <v>70.418999999999997</v>
      </c>
      <c r="DI254" s="74">
        <v>78.777000000000001</v>
      </c>
      <c r="DJ254" s="74">
        <v>78.55</v>
      </c>
      <c r="DK254" s="74">
        <v>82.724999999999994</v>
      </c>
      <c r="DL254" s="74">
        <v>86.585999999999999</v>
      </c>
      <c r="DM254" s="74">
        <v>88.866</v>
      </c>
      <c r="DN254" s="74">
        <v>97.334999999999994</v>
      </c>
      <c r="DO254" s="74">
        <v>99.828999999999994</v>
      </c>
      <c r="DP254" s="106">
        <v>106.25</v>
      </c>
      <c r="DQ254" s="106">
        <v>106.241</v>
      </c>
      <c r="DR254" s="106">
        <v>110.773</v>
      </c>
      <c r="DS254" s="106">
        <v>124.26900000000001</v>
      </c>
      <c r="DT254" s="106">
        <v>128.21700000000001</v>
      </c>
      <c r="DU254" s="106">
        <v>128.72900000000001</v>
      </c>
      <c r="DV254" s="106">
        <v>127.242</v>
      </c>
      <c r="DW254" s="106">
        <v>129.649</v>
      </c>
      <c r="DX254" s="106">
        <v>128.88499999999999</v>
      </c>
      <c r="DY254" s="106">
        <v>124.325</v>
      </c>
      <c r="DZ254" s="106">
        <v>126.08199999999999</v>
      </c>
      <c r="EA254" s="106">
        <v>131.679</v>
      </c>
      <c r="EB254" s="106">
        <v>138.40299999999999</v>
      </c>
      <c r="EC254" s="106">
        <v>137.20400000000001</v>
      </c>
      <c r="ED254" s="106">
        <v>139.066</v>
      </c>
      <c r="EE254" s="59">
        <f t="shared" ref="EE254:EP254" si="816">EE305*(-EE22/EE3)</f>
        <v>143.25493978593786</v>
      </c>
      <c r="EF254" s="59">
        <f t="shared" si="816"/>
        <v>149.09930655287073</v>
      </c>
      <c r="EG254" s="59">
        <f t="shared" si="816"/>
        <v>152.09612123571691</v>
      </c>
      <c r="EH254" s="59">
        <f t="shared" si="816"/>
        <v>155.52009987750688</v>
      </c>
      <c r="EI254" s="59">
        <f t="shared" si="816"/>
        <v>158.82785356845488</v>
      </c>
      <c r="EJ254" s="59">
        <f t="shared" si="816"/>
        <v>162.23003026784696</v>
      </c>
      <c r="EK254" s="59">
        <f t="shared" si="816"/>
        <v>165.63807451315481</v>
      </c>
      <c r="EL254" s="59">
        <f t="shared" si="816"/>
        <v>171.6342540488827</v>
      </c>
      <c r="EM254" s="59">
        <f t="shared" si="816"/>
        <v>171.92010251390556</v>
      </c>
      <c r="EN254" s="59">
        <f t="shared" si="816"/>
        <v>171.93243835927859</v>
      </c>
      <c r="EO254" s="59">
        <f t="shared" si="816"/>
        <v>171.67085963270094</v>
      </c>
      <c r="EP254" s="59">
        <f t="shared" si="816"/>
        <v>171.68318371544322</v>
      </c>
      <c r="EQ254" s="5"/>
      <c r="ER254" s="5"/>
      <c r="ES254" s="355">
        <f t="shared" si="632"/>
        <v>249</v>
      </c>
      <c r="ET254"/>
      <c r="EU254"/>
      <c r="EV254"/>
      <c r="EW254"/>
      <c r="EX254"/>
      <c r="EY254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</row>
    <row r="255" spans="1:257" s="4" customFormat="1" ht="12.75" customHeight="1" outlineLevel="1">
      <c r="A255" s="15"/>
      <c r="B255" s="14" t="s">
        <v>103</v>
      </c>
      <c r="C255" s="59"/>
      <c r="D255" s="59"/>
      <c r="E255" s="59">
        <f t="shared" si="809"/>
        <v>0</v>
      </c>
      <c r="F255" s="59">
        <f t="shared" si="810"/>
        <v>0</v>
      </c>
      <c r="G255" s="59">
        <f t="shared" si="810"/>
        <v>0</v>
      </c>
      <c r="H255" s="59">
        <f t="shared" si="810"/>
        <v>0</v>
      </c>
      <c r="I255" s="62">
        <f t="shared" si="810"/>
        <v>0</v>
      </c>
      <c r="J255" s="62">
        <f t="shared" si="810"/>
        <v>0</v>
      </c>
      <c r="K255" s="62">
        <f t="shared" si="810"/>
        <v>0</v>
      </c>
      <c r="L255" s="62">
        <f t="shared" si="810"/>
        <v>0</v>
      </c>
      <c r="M255" s="62">
        <f t="shared" si="810"/>
        <v>0</v>
      </c>
      <c r="N255" s="62">
        <f t="shared" si="810"/>
        <v>0</v>
      </c>
      <c r="O255" s="62">
        <f t="shared" si="810"/>
        <v>1.9350000000000001</v>
      </c>
      <c r="P255" s="62">
        <f t="shared" si="811"/>
        <v>4.3460000000000001</v>
      </c>
      <c r="Q255" s="62">
        <f t="shared" si="811"/>
        <v>8.7650000000000006</v>
      </c>
      <c r="R255" s="62">
        <f t="shared" si="811"/>
        <v>10.167999999999999</v>
      </c>
      <c r="S255" s="62">
        <f t="shared" si="811"/>
        <v>11.558999999999999</v>
      </c>
      <c r="T255" s="62">
        <f t="shared" si="811"/>
        <v>21.939</v>
      </c>
      <c r="U255" s="62">
        <f t="shared" si="811"/>
        <v>12.861000000000001</v>
      </c>
      <c r="V255" s="62">
        <f t="shared" si="811"/>
        <v>14.282</v>
      </c>
      <c r="W255" s="62">
        <f t="shared" si="811"/>
        <v>19.855</v>
      </c>
      <c r="X255" s="62">
        <f t="shared" si="811"/>
        <v>17.555</v>
      </c>
      <c r="Y255" s="62">
        <f t="shared" si="811"/>
        <v>16.414000000000001</v>
      </c>
      <c r="Z255" s="62">
        <f t="shared" si="812"/>
        <v>16.518999999999998</v>
      </c>
      <c r="AA255" s="62">
        <f t="shared" si="812"/>
        <v>17.2</v>
      </c>
      <c r="AB255" s="62">
        <f t="shared" si="812"/>
        <v>0</v>
      </c>
      <c r="AC255" s="62">
        <f t="shared" si="812"/>
        <v>0</v>
      </c>
      <c r="AD255" s="62">
        <f t="shared" si="812"/>
        <v>0</v>
      </c>
      <c r="AE255" s="62">
        <f t="shared" si="812"/>
        <v>0</v>
      </c>
      <c r="AF255" s="62">
        <f t="shared" si="812"/>
        <v>0</v>
      </c>
      <c r="AG255" s="96"/>
      <c r="AH255" s="62"/>
      <c r="AI255" s="62"/>
      <c r="AJ255" s="62"/>
      <c r="AK255" s="57">
        <v>0</v>
      </c>
      <c r="AL255" s="57">
        <v>0</v>
      </c>
      <c r="AM255" s="57">
        <v>0</v>
      </c>
      <c r="AN255" s="57">
        <v>0</v>
      </c>
      <c r="AO255" s="57">
        <v>0</v>
      </c>
      <c r="AP255" s="57">
        <v>0</v>
      </c>
      <c r="AQ255" s="57">
        <v>0</v>
      </c>
      <c r="AR255" s="57">
        <v>0</v>
      </c>
      <c r="AS255" s="57">
        <v>0</v>
      </c>
      <c r="AT255" s="61">
        <v>0</v>
      </c>
      <c r="AU255" s="61">
        <v>0</v>
      </c>
      <c r="AV255" s="61">
        <v>0</v>
      </c>
      <c r="AW255" s="61">
        <v>0</v>
      </c>
      <c r="AX255" s="61">
        <v>0</v>
      </c>
      <c r="AY255" s="61">
        <v>0</v>
      </c>
      <c r="AZ255" s="61">
        <v>0</v>
      </c>
      <c r="BA255" s="61">
        <v>0</v>
      </c>
      <c r="BB255" s="61">
        <v>0</v>
      </c>
      <c r="BC255" s="61">
        <v>0</v>
      </c>
      <c r="BD255" s="61">
        <v>0</v>
      </c>
      <c r="BE255" s="61">
        <v>0</v>
      </c>
      <c r="BF255" s="61">
        <v>0</v>
      </c>
      <c r="BG255" s="61">
        <v>0</v>
      </c>
      <c r="BH255" s="61">
        <v>0</v>
      </c>
      <c r="BI255" s="61">
        <v>0</v>
      </c>
      <c r="BJ255" s="61">
        <v>0</v>
      </c>
      <c r="BK255" s="61">
        <v>0</v>
      </c>
      <c r="BL255" s="61">
        <v>0</v>
      </c>
      <c r="BM255" s="61">
        <v>0</v>
      </c>
      <c r="BN255" s="61">
        <v>0</v>
      </c>
      <c r="BO255" s="61">
        <v>0</v>
      </c>
      <c r="BP255" s="61">
        <v>0</v>
      </c>
      <c r="BQ255" s="61">
        <v>0</v>
      </c>
      <c r="BR255" s="61">
        <v>0</v>
      </c>
      <c r="BS255" s="61">
        <v>0</v>
      </c>
      <c r="BT255" s="61">
        <v>0</v>
      </c>
      <c r="BU255" s="61">
        <v>0</v>
      </c>
      <c r="BV255" s="61">
        <v>0</v>
      </c>
      <c r="BW255" s="61">
        <v>0</v>
      </c>
      <c r="BX255" s="61">
        <v>0</v>
      </c>
      <c r="BY255" s="61">
        <v>1.9350000000000001</v>
      </c>
      <c r="BZ255" s="61">
        <v>0</v>
      </c>
      <c r="CA255" s="61">
        <v>0</v>
      </c>
      <c r="CB255" s="61">
        <v>0</v>
      </c>
      <c r="CC255" s="61">
        <v>4.3460000000000001</v>
      </c>
      <c r="CD255" s="61">
        <v>4.3460000000000001</v>
      </c>
      <c r="CE255" s="61">
        <v>4.7510000000000003</v>
      </c>
      <c r="CF255" s="61">
        <v>5.3440000000000003</v>
      </c>
      <c r="CG255" s="61">
        <v>8.7650000000000006</v>
      </c>
      <c r="CH255" s="61">
        <v>7.0380000000000003</v>
      </c>
      <c r="CI255" s="61">
        <v>7.5350000000000001</v>
      </c>
      <c r="CJ255" s="61">
        <v>9.9779999999999998</v>
      </c>
      <c r="CK255" s="61">
        <v>10.167999999999999</v>
      </c>
      <c r="CL255" s="61">
        <v>8.6240000000000006</v>
      </c>
      <c r="CM255" s="61">
        <v>11.301</v>
      </c>
      <c r="CN255" s="61">
        <v>13.638</v>
      </c>
      <c r="CO255" s="61">
        <v>11.558999999999999</v>
      </c>
      <c r="CP255" s="61">
        <v>12.571999999999999</v>
      </c>
      <c r="CQ255" s="61">
        <v>17.533999999999999</v>
      </c>
      <c r="CR255" s="61">
        <v>18.350000000000001</v>
      </c>
      <c r="CS255" s="61">
        <v>21.939</v>
      </c>
      <c r="CT255" s="61">
        <v>15.606</v>
      </c>
      <c r="CU255" s="61">
        <v>13.984999999999999</v>
      </c>
      <c r="CV255" s="61">
        <v>8.25</v>
      </c>
      <c r="CW255" s="61">
        <v>12.861000000000001</v>
      </c>
      <c r="CX255" s="61">
        <v>20.56</v>
      </c>
      <c r="CY255" s="61">
        <f>18.652</f>
        <v>18.652000000000001</v>
      </c>
      <c r="CZ255" s="61">
        <v>17.48</v>
      </c>
      <c r="DA255" s="61">
        <v>14.282</v>
      </c>
      <c r="DB255" s="61">
        <v>10.146000000000001</v>
      </c>
      <c r="DC255" s="74">
        <v>14.198</v>
      </c>
      <c r="DD255" s="74">
        <v>19.535</v>
      </c>
      <c r="DE255" s="74">
        <v>19.855</v>
      </c>
      <c r="DF255" s="74">
        <v>15.789</v>
      </c>
      <c r="DG255" s="74">
        <v>21.89</v>
      </c>
      <c r="DH255" s="74">
        <v>20.686</v>
      </c>
      <c r="DI255" s="74">
        <v>17.555</v>
      </c>
      <c r="DJ255" s="74">
        <v>23.218</v>
      </c>
      <c r="DK255" s="74">
        <v>18.497</v>
      </c>
      <c r="DL255" s="74">
        <v>18.282</v>
      </c>
      <c r="DM255" s="74">
        <v>16.414000000000001</v>
      </c>
      <c r="DN255" s="74">
        <v>17.323</v>
      </c>
      <c r="DO255" s="74">
        <v>13.997999999999999</v>
      </c>
      <c r="DP255" s="106">
        <v>12.17</v>
      </c>
      <c r="DQ255" s="106">
        <v>16.518999999999998</v>
      </c>
      <c r="DR255" s="106">
        <v>15.739000000000001</v>
      </c>
      <c r="DS255" s="106">
        <v>14.648999999999999</v>
      </c>
      <c r="DT255" s="106">
        <v>9.1829999999999998</v>
      </c>
      <c r="DU255" s="106">
        <v>17.2</v>
      </c>
      <c r="DV255" s="106">
        <v>0</v>
      </c>
      <c r="DW255" s="106">
        <f>516.608*DV255/SUM(DV$253:DV$257)</f>
        <v>0</v>
      </c>
      <c r="DX255" s="106">
        <f>(580.995+0.08)*DW255/SUM(DW$253:DW$257)</f>
        <v>0</v>
      </c>
      <c r="DY255" s="106">
        <f>(580.995+0.08)*DX255/SUM(DX$253:DX$257)</f>
        <v>0</v>
      </c>
      <c r="DZ255" s="106">
        <v>0</v>
      </c>
      <c r="EA255" s="106">
        <v>0</v>
      </c>
      <c r="EB255" s="106">
        <f t="shared" ref="EB255" si="817">(637.7+0.007)*EA255/SUM(EA$253:EA$257)</f>
        <v>0</v>
      </c>
      <c r="EC255" s="106">
        <f t="shared" ref="EC255:EC256" si="818">669.398*EB255/SUM($EB$253:$EB$257)</f>
        <v>0</v>
      </c>
      <c r="ED255" s="106">
        <f t="shared" ref="ED255:EP255" si="819">EC255</f>
        <v>0</v>
      </c>
      <c r="EE255" s="74">
        <f t="shared" si="819"/>
        <v>0</v>
      </c>
      <c r="EF255" s="74">
        <f t="shared" si="819"/>
        <v>0</v>
      </c>
      <c r="EG255" s="74">
        <f t="shared" si="819"/>
        <v>0</v>
      </c>
      <c r="EH255" s="74">
        <f t="shared" si="819"/>
        <v>0</v>
      </c>
      <c r="EI255" s="74">
        <f t="shared" si="819"/>
        <v>0</v>
      </c>
      <c r="EJ255" s="74">
        <f t="shared" si="819"/>
        <v>0</v>
      </c>
      <c r="EK255" s="74">
        <f t="shared" si="819"/>
        <v>0</v>
      </c>
      <c r="EL255" s="74">
        <f t="shared" si="819"/>
        <v>0</v>
      </c>
      <c r="EM255" s="74">
        <f t="shared" si="819"/>
        <v>0</v>
      </c>
      <c r="EN255" s="74">
        <f t="shared" si="819"/>
        <v>0</v>
      </c>
      <c r="EO255" s="74">
        <f t="shared" si="819"/>
        <v>0</v>
      </c>
      <c r="EP255" s="74">
        <f t="shared" si="819"/>
        <v>0</v>
      </c>
      <c r="EQ255" s="5"/>
      <c r="ER255" s="5"/>
      <c r="ES255" s="355">
        <f t="shared" si="632"/>
        <v>250</v>
      </c>
      <c r="ET255"/>
      <c r="EU255"/>
      <c r="EV255"/>
      <c r="EW255"/>
      <c r="EX255"/>
      <c r="EY255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</row>
    <row r="256" spans="1:257" s="4" customFormat="1" ht="12.75" customHeight="1" outlineLevel="1">
      <c r="A256" s="15"/>
      <c r="B256" s="14" t="s">
        <v>102</v>
      </c>
      <c r="C256" s="59"/>
      <c r="D256" s="59"/>
      <c r="E256" s="59">
        <f t="shared" si="809"/>
        <v>0</v>
      </c>
      <c r="F256" s="59">
        <f t="shared" si="810"/>
        <v>0</v>
      </c>
      <c r="G256" s="59">
        <f t="shared" si="810"/>
        <v>0</v>
      </c>
      <c r="H256" s="59">
        <f t="shared" si="810"/>
        <v>0</v>
      </c>
      <c r="I256" s="62">
        <f t="shared" si="810"/>
        <v>0</v>
      </c>
      <c r="J256" s="62">
        <f t="shared" si="810"/>
        <v>0</v>
      </c>
      <c r="K256" s="62">
        <f t="shared" si="810"/>
        <v>0</v>
      </c>
      <c r="L256" s="62">
        <f t="shared" si="810"/>
        <v>0</v>
      </c>
      <c r="M256" s="62">
        <f t="shared" si="810"/>
        <v>0</v>
      </c>
      <c r="N256" s="62">
        <f t="shared" si="810"/>
        <v>0</v>
      </c>
      <c r="O256" s="62">
        <f t="shared" si="810"/>
        <v>0</v>
      </c>
      <c r="P256" s="62">
        <f t="shared" si="811"/>
        <v>0</v>
      </c>
      <c r="Q256" s="62">
        <f t="shared" si="811"/>
        <v>0</v>
      </c>
      <c r="R256" s="62">
        <f t="shared" si="811"/>
        <v>4.234</v>
      </c>
      <c r="S256" s="62">
        <f t="shared" si="811"/>
        <v>0</v>
      </c>
      <c r="T256" s="62">
        <f t="shared" si="811"/>
        <v>0</v>
      </c>
      <c r="U256" s="62">
        <f t="shared" si="811"/>
        <v>0</v>
      </c>
      <c r="V256" s="62">
        <f t="shared" si="811"/>
        <v>0</v>
      </c>
      <c r="W256" s="62">
        <f t="shared" si="811"/>
        <v>0</v>
      </c>
      <c r="X256" s="62">
        <f t="shared" si="811"/>
        <v>0</v>
      </c>
      <c r="Y256" s="62">
        <f t="shared" si="811"/>
        <v>3.7050000000000001</v>
      </c>
      <c r="Z256" s="62">
        <f t="shared" si="812"/>
        <v>7.2060000000000004</v>
      </c>
      <c r="AA256" s="62">
        <f t="shared" si="812"/>
        <v>8.0969999999999995</v>
      </c>
      <c r="AB256" s="62">
        <f t="shared" si="812"/>
        <v>45.351999999999997</v>
      </c>
      <c r="AC256" s="62">
        <f t="shared" si="812"/>
        <v>0</v>
      </c>
      <c r="AD256" s="62">
        <f t="shared" si="812"/>
        <v>0</v>
      </c>
      <c r="AE256" s="62">
        <f t="shared" si="812"/>
        <v>0</v>
      </c>
      <c r="AF256" s="62">
        <f t="shared" si="812"/>
        <v>0</v>
      </c>
      <c r="AG256" s="96"/>
      <c r="AH256" s="62"/>
      <c r="AI256" s="62"/>
      <c r="AJ256" s="62"/>
      <c r="AK256" s="57">
        <v>0</v>
      </c>
      <c r="AL256" s="57">
        <v>0</v>
      </c>
      <c r="AM256" s="57">
        <v>0</v>
      </c>
      <c r="AN256" s="57">
        <v>0</v>
      </c>
      <c r="AO256" s="57">
        <v>0</v>
      </c>
      <c r="AP256" s="57">
        <v>0</v>
      </c>
      <c r="AQ256" s="57">
        <v>0</v>
      </c>
      <c r="AR256" s="57">
        <v>0</v>
      </c>
      <c r="AS256" s="57">
        <v>0</v>
      </c>
      <c r="AT256" s="61">
        <v>0</v>
      </c>
      <c r="AU256" s="61">
        <v>0</v>
      </c>
      <c r="AV256" s="61">
        <v>0</v>
      </c>
      <c r="AW256" s="61">
        <v>0</v>
      </c>
      <c r="AX256" s="61">
        <v>0</v>
      </c>
      <c r="AY256" s="61">
        <v>0</v>
      </c>
      <c r="AZ256" s="61">
        <v>0</v>
      </c>
      <c r="BA256" s="61">
        <v>0</v>
      </c>
      <c r="BB256" s="61">
        <v>0</v>
      </c>
      <c r="BC256" s="61">
        <v>0</v>
      </c>
      <c r="BD256" s="61">
        <v>0</v>
      </c>
      <c r="BE256" s="61">
        <v>0</v>
      </c>
      <c r="BF256" s="61">
        <v>0</v>
      </c>
      <c r="BG256" s="61">
        <v>0</v>
      </c>
      <c r="BH256" s="61">
        <v>0</v>
      </c>
      <c r="BI256" s="61">
        <v>0</v>
      </c>
      <c r="BJ256" s="61">
        <v>0</v>
      </c>
      <c r="BK256" s="61">
        <v>0</v>
      </c>
      <c r="BL256" s="61">
        <v>0</v>
      </c>
      <c r="BM256" s="61">
        <v>0</v>
      </c>
      <c r="BN256" s="61">
        <v>0</v>
      </c>
      <c r="BO256" s="61">
        <v>0</v>
      </c>
      <c r="BP256" s="61">
        <v>0</v>
      </c>
      <c r="BQ256" s="61">
        <v>0</v>
      </c>
      <c r="BR256" s="61">
        <v>0</v>
      </c>
      <c r="BS256" s="61">
        <v>0</v>
      </c>
      <c r="BT256" s="61">
        <v>0</v>
      </c>
      <c r="BU256" s="61">
        <v>0</v>
      </c>
      <c r="BV256" s="61">
        <v>0</v>
      </c>
      <c r="BW256" s="61">
        <v>0</v>
      </c>
      <c r="BX256" s="61">
        <v>0</v>
      </c>
      <c r="BY256" s="61">
        <v>0</v>
      </c>
      <c r="BZ256" s="61">
        <v>0</v>
      </c>
      <c r="CA256" s="61">
        <v>0</v>
      </c>
      <c r="CB256" s="61">
        <v>0</v>
      </c>
      <c r="CC256" s="61">
        <v>0</v>
      </c>
      <c r="CD256" s="61">
        <v>0</v>
      </c>
      <c r="CE256" s="61">
        <v>0</v>
      </c>
      <c r="CF256" s="61">
        <v>0</v>
      </c>
      <c r="CG256" s="61">
        <v>0</v>
      </c>
      <c r="CH256" s="61">
        <v>0</v>
      </c>
      <c r="CI256" s="61">
        <v>0</v>
      </c>
      <c r="CJ256" s="61">
        <v>0</v>
      </c>
      <c r="CK256" s="61">
        <v>4.234</v>
      </c>
      <c r="CL256" s="61">
        <v>3.879</v>
      </c>
      <c r="CM256" s="61">
        <v>0</v>
      </c>
      <c r="CN256" s="61">
        <v>0.63300000000000001</v>
      </c>
      <c r="CO256" s="61">
        <v>0</v>
      </c>
      <c r="CP256" s="61">
        <v>0</v>
      </c>
      <c r="CQ256" s="61">
        <v>0</v>
      </c>
      <c r="CR256" s="61">
        <v>5.7240000000000002</v>
      </c>
      <c r="CS256" s="61">
        <v>0</v>
      </c>
      <c r="CT256" s="61">
        <v>0</v>
      </c>
      <c r="CU256" s="61">
        <v>0</v>
      </c>
      <c r="CV256" s="61">
        <v>0</v>
      </c>
      <c r="CW256" s="61">
        <v>0</v>
      </c>
      <c r="CX256" s="61">
        <v>0</v>
      </c>
      <c r="CY256" s="61">
        <v>0</v>
      </c>
      <c r="CZ256" s="61">
        <v>0</v>
      </c>
      <c r="DA256" s="61">
        <v>0</v>
      </c>
      <c r="DB256" s="61">
        <v>0</v>
      </c>
      <c r="DC256" s="74">
        <v>0</v>
      </c>
      <c r="DD256" s="74">
        <v>0</v>
      </c>
      <c r="DE256" s="74">
        <v>0</v>
      </c>
      <c r="DF256" s="74">
        <v>0</v>
      </c>
      <c r="DG256" s="74">
        <v>0</v>
      </c>
      <c r="DH256" s="74">
        <v>0</v>
      </c>
      <c r="DI256" s="74">
        <f>(791.514+7.619)*DH256/SUM($DH$253:$DH$257)</f>
        <v>0</v>
      </c>
      <c r="DJ256" s="74">
        <f>(730.498+7.788)*DI256/SUM($DI$253:$DI$257)</f>
        <v>0</v>
      </c>
      <c r="DK256" s="74">
        <v>4.0730000000000004</v>
      </c>
      <c r="DL256" s="74">
        <v>4.46</v>
      </c>
      <c r="DM256" s="74">
        <v>3.7050000000000001</v>
      </c>
      <c r="DN256" s="74">
        <v>3.7559999999999998</v>
      </c>
      <c r="DO256" s="74">
        <v>6.9790000000000001</v>
      </c>
      <c r="DP256" s="106">
        <v>6.9619999999999997</v>
      </c>
      <c r="DQ256" s="106">
        <v>7.2060000000000004</v>
      </c>
      <c r="DR256" s="106">
        <v>7.3970000000000002</v>
      </c>
      <c r="DS256" s="106">
        <v>7.4859999999999998</v>
      </c>
      <c r="DT256" s="106">
        <v>7.8220000000000001</v>
      </c>
      <c r="DU256" s="106">
        <v>8.0969999999999995</v>
      </c>
      <c r="DV256" s="106">
        <v>8.4489999999999998</v>
      </c>
      <c r="DW256" s="106">
        <v>0.23</v>
      </c>
      <c r="DX256" s="106">
        <v>21.771999999999998</v>
      </c>
      <c r="DY256" s="106">
        <v>45.351999999999997</v>
      </c>
      <c r="DZ256" s="106">
        <v>45.296999999999997</v>
      </c>
      <c r="EA256" s="106">
        <v>26.800999999999998</v>
      </c>
      <c r="EB256" s="106">
        <v>0</v>
      </c>
      <c r="EC256" s="106">
        <f t="shared" si="818"/>
        <v>0</v>
      </c>
      <c r="ED256" s="106">
        <v>0</v>
      </c>
      <c r="EE256" s="112">
        <f t="shared" ref="EE256:EP256" si="820">ED256-EE234-EE220</f>
        <v>0</v>
      </c>
      <c r="EF256" s="112">
        <f t="shared" si="820"/>
        <v>0</v>
      </c>
      <c r="EG256" s="112">
        <f t="shared" si="820"/>
        <v>0</v>
      </c>
      <c r="EH256" s="112">
        <f t="shared" si="820"/>
        <v>0</v>
      </c>
      <c r="EI256" s="112">
        <f t="shared" si="820"/>
        <v>0</v>
      </c>
      <c r="EJ256" s="112">
        <f t="shared" si="820"/>
        <v>0</v>
      </c>
      <c r="EK256" s="112">
        <f t="shared" si="820"/>
        <v>0</v>
      </c>
      <c r="EL256" s="112">
        <f t="shared" si="820"/>
        <v>0</v>
      </c>
      <c r="EM256" s="112">
        <f t="shared" si="820"/>
        <v>0</v>
      </c>
      <c r="EN256" s="112">
        <f t="shared" si="820"/>
        <v>0</v>
      </c>
      <c r="EO256" s="112">
        <f t="shared" si="820"/>
        <v>0</v>
      </c>
      <c r="EP256" s="112">
        <f t="shared" si="820"/>
        <v>0</v>
      </c>
      <c r="EQ256" s="5"/>
      <c r="ER256" s="5"/>
      <c r="ES256" s="355">
        <f t="shared" si="632"/>
        <v>251</v>
      </c>
      <c r="ET256"/>
      <c r="EU256"/>
      <c r="EV256"/>
      <c r="EW256"/>
      <c r="EX256"/>
      <c r="EY256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</row>
    <row r="257" spans="1:257" s="4" customFormat="1" ht="12.75" customHeight="1" outlineLevel="1">
      <c r="A257" s="15"/>
      <c r="B257" s="14" t="s">
        <v>101</v>
      </c>
      <c r="C257" s="12"/>
      <c r="D257" s="12"/>
      <c r="E257" s="12">
        <f t="shared" si="809"/>
        <v>14.891999999999999</v>
      </c>
      <c r="F257" s="12">
        <f t="shared" si="810"/>
        <v>12.6</v>
      </c>
      <c r="G257" s="12">
        <f t="shared" si="810"/>
        <v>21.453000000000003</v>
      </c>
      <c r="H257" s="12">
        <f t="shared" si="810"/>
        <v>5.1870000000000003</v>
      </c>
      <c r="I257" s="18">
        <f t="shared" si="810"/>
        <v>11.705</v>
      </c>
      <c r="J257" s="18">
        <f t="shared" si="810"/>
        <v>15.073</v>
      </c>
      <c r="K257" s="18">
        <f t="shared" si="810"/>
        <v>14.081</v>
      </c>
      <c r="L257" s="18">
        <f t="shared" si="810"/>
        <v>24.829000000000001</v>
      </c>
      <c r="M257" s="18">
        <f t="shared" si="810"/>
        <v>31.268999999999998</v>
      </c>
      <c r="N257" s="18">
        <f t="shared" si="810"/>
        <v>16.753</v>
      </c>
      <c r="O257" s="18">
        <f t="shared" si="810"/>
        <v>45.720999999999997</v>
      </c>
      <c r="P257" s="18">
        <f t="shared" si="811"/>
        <v>21.6</v>
      </c>
      <c r="Q257" s="18">
        <f t="shared" si="811"/>
        <v>18.321000000000002</v>
      </c>
      <c r="R257" s="18">
        <f t="shared" si="811"/>
        <v>64.792000000000002</v>
      </c>
      <c r="S257" s="18">
        <f t="shared" si="811"/>
        <v>29.225999999999999</v>
      </c>
      <c r="T257" s="18">
        <f t="shared" si="811"/>
        <v>51.264000000000003</v>
      </c>
      <c r="U257" s="18">
        <f t="shared" si="811"/>
        <v>64.572000000000003</v>
      </c>
      <c r="V257" s="18">
        <f t="shared" si="811"/>
        <v>74.441000000000003</v>
      </c>
      <c r="W257" s="18">
        <f t="shared" si="811"/>
        <v>57.265000000000001</v>
      </c>
      <c r="X257" s="18">
        <f t="shared" si="811"/>
        <v>82.311999999999998</v>
      </c>
      <c r="Y257" s="18">
        <f t="shared" si="811"/>
        <v>79.938000000000002</v>
      </c>
      <c r="Z257" s="18">
        <f t="shared" si="812"/>
        <v>81.277000000000001</v>
      </c>
      <c r="AA257" s="18">
        <f t="shared" si="812"/>
        <v>72.117000000000004</v>
      </c>
      <c r="AB257" s="18">
        <f t="shared" si="812"/>
        <v>78.130999999999986</v>
      </c>
      <c r="AC257" s="18">
        <f t="shared" si="812"/>
        <v>55.122999999999998</v>
      </c>
      <c r="AD257" s="18">
        <f t="shared" si="812"/>
        <v>73.917027494922422</v>
      </c>
      <c r="AE257" s="18">
        <f t="shared" si="812"/>
        <v>83.877651974751885</v>
      </c>
      <c r="AF257" s="18">
        <f t="shared" si="812"/>
        <v>86.218169825415956</v>
      </c>
      <c r="AG257" s="96"/>
      <c r="AH257" s="18"/>
      <c r="AI257" s="18"/>
      <c r="AJ257" s="18"/>
      <c r="AK257" s="57">
        <f>9.109+5.783</f>
        <v>14.891999999999999</v>
      </c>
      <c r="AL257" s="57">
        <f>9.009+11.792</f>
        <v>20.801000000000002</v>
      </c>
      <c r="AM257" s="57">
        <f>8.997+7.88</f>
        <v>16.876999999999999</v>
      </c>
      <c r="AN257" s="57">
        <f>8.997+5.359+0.27</f>
        <v>14.625999999999999</v>
      </c>
      <c r="AO257" s="57">
        <f>8.997+3.603</f>
        <v>12.6</v>
      </c>
      <c r="AP257" s="57">
        <f>8.997+5.581</f>
        <v>14.577999999999999</v>
      </c>
      <c r="AQ257" s="57">
        <f>8.996+4.58</f>
        <v>13.576000000000001</v>
      </c>
      <c r="AR257" s="57">
        <f>8.996+6.278</f>
        <v>15.274000000000001</v>
      </c>
      <c r="AS257" s="57">
        <f>8.989+6.836+5.628</f>
        <v>21.453000000000003</v>
      </c>
      <c r="AT257" s="57">
        <f>8.989+6.35</f>
        <v>15.339</v>
      </c>
      <c r="AU257" s="57">
        <f>3+6.138</f>
        <v>9.1379999999999999</v>
      </c>
      <c r="AV257" s="57">
        <f>1.005+5.094</f>
        <v>6.0990000000000002</v>
      </c>
      <c r="AW257" s="57">
        <f>4.182+1.005</f>
        <v>5.1870000000000003</v>
      </c>
      <c r="AX257" s="57">
        <f>8.781+1.005</f>
        <v>9.7860000000000014</v>
      </c>
      <c r="AY257" s="57">
        <f>1.005+11.509</f>
        <v>12.513999999999999</v>
      </c>
      <c r="AZ257" s="57">
        <f>1.005+9.315</f>
        <v>10.32</v>
      </c>
      <c r="BA257" s="57">
        <f>10.387+1.318</f>
        <v>11.705</v>
      </c>
      <c r="BB257" s="57">
        <f>16.412+1.286</f>
        <v>17.698</v>
      </c>
      <c r="BC257" s="57">
        <f>1.278+14.344</f>
        <v>15.622</v>
      </c>
      <c r="BD257" s="57">
        <f>1.268+15.257</f>
        <v>16.524999999999999</v>
      </c>
      <c r="BE257" s="57">
        <v>15.073</v>
      </c>
      <c r="BF257" s="57">
        <f>0.244+25.924</f>
        <v>26.167999999999999</v>
      </c>
      <c r="BG257" s="57">
        <f>0.24+22.181</f>
        <v>22.420999999999999</v>
      </c>
      <c r="BH257" s="57">
        <f>0.303+22.382</f>
        <v>22.685000000000002</v>
      </c>
      <c r="BI257" s="57">
        <v>14.081</v>
      </c>
      <c r="BJ257" s="57">
        <v>18.983000000000001</v>
      </c>
      <c r="BK257" s="57">
        <v>17.829999999999998</v>
      </c>
      <c r="BL257" s="57">
        <v>18.856999999999999</v>
      </c>
      <c r="BM257" s="57">
        <v>24.829000000000001</v>
      </c>
      <c r="BN257" s="57">
        <v>23.388999999999999</v>
      </c>
      <c r="BO257" s="57">
        <v>23.963999999999999</v>
      </c>
      <c r="BP257" s="57">
        <v>15.236000000000001</v>
      </c>
      <c r="BQ257" s="57">
        <v>31.268999999999998</v>
      </c>
      <c r="BR257" s="57">
        <v>30.553000000000001</v>
      </c>
      <c r="BS257" s="57">
        <v>22.716000000000001</v>
      </c>
      <c r="BT257" s="57">
        <v>19.263000000000002</v>
      </c>
      <c r="BU257" s="107">
        <v>16.753</v>
      </c>
      <c r="BV257" s="57">
        <v>31.131</v>
      </c>
      <c r="BW257" s="57">
        <v>20.597000000000001</v>
      </c>
      <c r="BX257" s="57">
        <v>18.661000000000001</v>
      </c>
      <c r="BY257" s="57">
        <v>45.720999999999997</v>
      </c>
      <c r="BZ257" s="57">
        <v>58.17</v>
      </c>
      <c r="CA257" s="57">
        <f>14.449+44.16</f>
        <v>58.608999999999995</v>
      </c>
      <c r="CB257" s="57">
        <f>14.778+35.08</f>
        <v>49.857999999999997</v>
      </c>
      <c r="CC257" s="57">
        <v>21.6</v>
      </c>
      <c r="CD257" s="57">
        <v>26.402999999999999</v>
      </c>
      <c r="CE257" s="57">
        <v>25.785</v>
      </c>
      <c r="CF257" s="57">
        <v>22.684999999999999</v>
      </c>
      <c r="CG257" s="57">
        <f>17.933+0.388</f>
        <v>18.321000000000002</v>
      </c>
      <c r="CH257" s="57">
        <v>30.405999999999999</v>
      </c>
      <c r="CI257" s="57">
        <f>26.63+81.398</f>
        <v>108.02799999999999</v>
      </c>
      <c r="CJ257" s="57">
        <f>17.196+102.835</f>
        <v>120.03099999999999</v>
      </c>
      <c r="CK257" s="57">
        <f>16.119+48.673</f>
        <v>64.792000000000002</v>
      </c>
      <c r="CL257" s="57">
        <f>30.829+0.333</f>
        <v>31.161999999999999</v>
      </c>
      <c r="CM257" s="57">
        <f>0.344+32.726</f>
        <v>33.07</v>
      </c>
      <c r="CN257" s="57">
        <f>29.453+0.396</f>
        <v>29.849</v>
      </c>
      <c r="CO257" s="57">
        <v>29.225999999999999</v>
      </c>
      <c r="CP257" s="57">
        <v>36.223999999999997</v>
      </c>
      <c r="CQ257" s="57">
        <v>40.963000000000001</v>
      </c>
      <c r="CR257" s="57">
        <v>59.804000000000002</v>
      </c>
      <c r="CS257" s="57">
        <v>51.264000000000003</v>
      </c>
      <c r="CT257" s="57">
        <v>60.151000000000003</v>
      </c>
      <c r="CU257" s="57">
        <v>49.331000000000003</v>
      </c>
      <c r="CV257" s="57">
        <v>64.106999999999999</v>
      </c>
      <c r="CW257" s="106">
        <f>63.549+1.023</f>
        <v>64.572000000000003</v>
      </c>
      <c r="CX257" s="106">
        <v>77.488</v>
      </c>
      <c r="CY257" s="106">
        <f>71.455</f>
        <v>71.454999999999998</v>
      </c>
      <c r="CZ257" s="106">
        <f>66.041+9.507</f>
        <v>75.548000000000002</v>
      </c>
      <c r="DA257" s="106">
        <f>64.171+10.27</f>
        <v>74.441000000000003</v>
      </c>
      <c r="DB257" s="106">
        <f>62.051+8.24</f>
        <v>70.290999999999997</v>
      </c>
      <c r="DC257" s="106">
        <f>61.406+8.275</f>
        <v>69.680999999999997</v>
      </c>
      <c r="DD257" s="106">
        <f>74.253+7.631</f>
        <v>81.884</v>
      </c>
      <c r="DE257" s="106">
        <f>49.736+7.529</f>
        <v>57.265000000000001</v>
      </c>
      <c r="DF257" s="106">
        <f>77.707+7.777</f>
        <v>85.483999999999995</v>
      </c>
      <c r="DG257" s="106">
        <f>72.91+7.562</f>
        <v>80.471999999999994</v>
      </c>
      <c r="DH257" s="106">
        <f>90.681+7.578</f>
        <v>98.259</v>
      </c>
      <c r="DI257" s="106">
        <f>74.693+7.619</f>
        <v>82.311999999999998</v>
      </c>
      <c r="DJ257" s="106">
        <f>48.557+7.788</f>
        <v>56.344999999999999</v>
      </c>
      <c r="DK257" s="106">
        <f>50.45</f>
        <v>50.45</v>
      </c>
      <c r="DL257" s="106">
        <v>68.277000000000001</v>
      </c>
      <c r="DM257" s="106">
        <v>79.938000000000002</v>
      </c>
      <c r="DN257" s="106">
        <v>61.222000000000001</v>
      </c>
      <c r="DO257" s="106">
        <v>59.091000000000001</v>
      </c>
      <c r="DP257" s="106">
        <v>69.323999999999998</v>
      </c>
      <c r="DQ257" s="106">
        <v>81.277000000000001</v>
      </c>
      <c r="DR257" s="106">
        <v>90.117999999999995</v>
      </c>
      <c r="DS257" s="106">
        <v>79.132000000000005</v>
      </c>
      <c r="DT257" s="106">
        <v>95.326999999999998</v>
      </c>
      <c r="DU257" s="106">
        <v>72.117000000000004</v>
      </c>
      <c r="DV257" s="106">
        <v>71.150999999999996</v>
      </c>
      <c r="DW257" s="106">
        <v>56.232999999999997</v>
      </c>
      <c r="DX257" s="106">
        <f>79.021+0.08</f>
        <v>79.100999999999999</v>
      </c>
      <c r="DY257" s="106">
        <f>78.067+0.064</f>
        <v>78.130999999999986</v>
      </c>
      <c r="DZ257" s="106">
        <f>75.926+0.051</f>
        <v>75.977000000000004</v>
      </c>
      <c r="EA257" s="106">
        <f>70.067+0.036</f>
        <v>70.102999999999994</v>
      </c>
      <c r="EB257" s="106">
        <f>58.425+0.007</f>
        <v>58.431999999999995</v>
      </c>
      <c r="EC257" s="106">
        <f>55.12+0.003</f>
        <v>55.122999999999998</v>
      </c>
      <c r="ED257" s="106">
        <f>65.802+0.002</f>
        <v>65.804000000000002</v>
      </c>
      <c r="EE257" s="12">
        <f t="shared" ref="EE257:EP257" si="821">EE15*EE308</f>
        <v>65.306018736778952</v>
      </c>
      <c r="EF257" s="12">
        <f t="shared" si="821"/>
        <v>69.479421157967309</v>
      </c>
      <c r="EG257" s="12">
        <f t="shared" si="821"/>
        <v>73.917027494922422</v>
      </c>
      <c r="EH257" s="12">
        <f t="shared" si="821"/>
        <v>76.995019263191992</v>
      </c>
      <c r="EI257" s="12">
        <f t="shared" si="821"/>
        <v>78.70460055001675</v>
      </c>
      <c r="EJ257" s="12">
        <f t="shared" si="821"/>
        <v>81.364316331094258</v>
      </c>
      <c r="EK257" s="12">
        <f t="shared" si="821"/>
        <v>83.877651974751885</v>
      </c>
      <c r="EL257" s="12">
        <f t="shared" si="821"/>
        <v>87.075211603844977</v>
      </c>
      <c r="EM257" s="12">
        <f t="shared" si="821"/>
        <v>85.940690473743913</v>
      </c>
      <c r="EN257" s="12">
        <f t="shared" si="821"/>
        <v>85.65818360594136</v>
      </c>
      <c r="EO257" s="12">
        <f t="shared" si="821"/>
        <v>86.218169825415956</v>
      </c>
      <c r="EP257" s="12">
        <f t="shared" si="821"/>
        <v>85.932552406649762</v>
      </c>
      <c r="EQ257" s="5"/>
      <c r="ER257" s="5"/>
      <c r="ES257" s="355">
        <f t="shared" si="632"/>
        <v>252</v>
      </c>
      <c r="ET257"/>
      <c r="EU257"/>
      <c r="EV257"/>
      <c r="EW257"/>
      <c r="EX257"/>
      <c r="EY257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</row>
    <row r="258" spans="1:257" s="4" customFormat="1" ht="12.75" customHeight="1" outlineLevel="1">
      <c r="A258" s="15"/>
      <c r="B258" s="308" t="s">
        <v>100</v>
      </c>
      <c r="C258" s="352"/>
      <c r="D258" s="352"/>
      <c r="E258" s="127">
        <f t="shared" ref="E258:AF258" si="822">SUM(E251:E257)</f>
        <v>150.499</v>
      </c>
      <c r="F258" s="127">
        <f t="shared" si="822"/>
        <v>122.93899999999999</v>
      </c>
      <c r="G258" s="127">
        <f t="shared" si="822"/>
        <v>117.35900000000001</v>
      </c>
      <c r="H258" s="127">
        <f t="shared" si="822"/>
        <v>114.36799999999998</v>
      </c>
      <c r="I258" s="127">
        <f t="shared" si="822"/>
        <v>158.00400000000002</v>
      </c>
      <c r="J258" s="127">
        <f t="shared" si="822"/>
        <v>184.345</v>
      </c>
      <c r="K258" s="127">
        <f t="shared" si="822"/>
        <v>160.624</v>
      </c>
      <c r="L258" s="127">
        <f t="shared" si="822"/>
        <v>265.14400000000001</v>
      </c>
      <c r="M258" s="127">
        <f t="shared" si="822"/>
        <v>300.39999999999998</v>
      </c>
      <c r="N258" s="127">
        <f t="shared" si="822"/>
        <v>178.75099999999998</v>
      </c>
      <c r="O258" s="127">
        <f t="shared" si="822"/>
        <v>199.46600000000001</v>
      </c>
      <c r="P258" s="127">
        <f t="shared" si="822"/>
        <v>245.32999999999998</v>
      </c>
      <c r="Q258" s="127">
        <f t="shared" si="822"/>
        <v>499.79700000000003</v>
      </c>
      <c r="R258" s="127">
        <f t="shared" si="822"/>
        <v>428.69100000000003</v>
      </c>
      <c r="S258" s="127">
        <f t="shared" si="822"/>
        <v>498.964</v>
      </c>
      <c r="T258" s="127">
        <f t="shared" si="822"/>
        <v>690.64699999999993</v>
      </c>
      <c r="U258" s="127">
        <f t="shared" si="822"/>
        <v>522.93200000000002</v>
      </c>
      <c r="V258" s="127">
        <f t="shared" si="822"/>
        <v>652.80400000000009</v>
      </c>
      <c r="W258" s="127">
        <f t="shared" si="822"/>
        <v>956.3130000000001</v>
      </c>
      <c r="X258" s="127">
        <f t="shared" si="822"/>
        <v>895.22800000000007</v>
      </c>
      <c r="Y258" s="127">
        <f t="shared" si="822"/>
        <v>1258.211</v>
      </c>
      <c r="Z258" s="127">
        <f t="shared" si="822"/>
        <v>1277.366</v>
      </c>
      <c r="AA258" s="127">
        <f t="shared" si="822"/>
        <v>1439.0070000000001</v>
      </c>
      <c r="AB258" s="127">
        <f t="shared" si="822"/>
        <v>1572.6860000000004</v>
      </c>
      <c r="AC258" s="127">
        <f t="shared" si="822"/>
        <v>1235.2670000000001</v>
      </c>
      <c r="AD258" s="127">
        <f t="shared" si="822"/>
        <v>1032.8009080934883</v>
      </c>
      <c r="AE258" s="127">
        <f t="shared" si="822"/>
        <v>1198.3962310735005</v>
      </c>
      <c r="AF258" s="127">
        <f t="shared" si="822"/>
        <v>1391.4826580700674</v>
      </c>
      <c r="AG258" s="96"/>
      <c r="AH258" s="352"/>
      <c r="AI258" s="352"/>
      <c r="AJ258" s="127"/>
      <c r="AK258" s="127">
        <f t="shared" ref="AK258:BP258" si="823">SUM(AK251:AK257)</f>
        <v>150.499</v>
      </c>
      <c r="AL258" s="127">
        <f t="shared" si="823"/>
        <v>155.036</v>
      </c>
      <c r="AM258" s="127">
        <f t="shared" si="823"/>
        <v>162.41400000000002</v>
      </c>
      <c r="AN258" s="127">
        <f t="shared" si="823"/>
        <v>135.679</v>
      </c>
      <c r="AO258" s="127">
        <f t="shared" si="823"/>
        <v>122.93899999999999</v>
      </c>
      <c r="AP258" s="127">
        <f t="shared" si="823"/>
        <v>111.22499999999999</v>
      </c>
      <c r="AQ258" s="127">
        <f t="shared" si="823"/>
        <v>103.584</v>
      </c>
      <c r="AR258" s="127">
        <f t="shared" si="823"/>
        <v>113.306</v>
      </c>
      <c r="AS258" s="127">
        <f t="shared" si="823"/>
        <v>117.35900000000001</v>
      </c>
      <c r="AT258" s="127">
        <f t="shared" si="823"/>
        <v>112.13200000000001</v>
      </c>
      <c r="AU258" s="127">
        <f t="shared" si="823"/>
        <v>108.746</v>
      </c>
      <c r="AV258" s="127">
        <f t="shared" si="823"/>
        <v>118.765</v>
      </c>
      <c r="AW258" s="127">
        <f t="shared" si="823"/>
        <v>114.36799999999998</v>
      </c>
      <c r="AX258" s="127">
        <f t="shared" si="823"/>
        <v>139.65199999999999</v>
      </c>
      <c r="AY258" s="127">
        <f t="shared" si="823"/>
        <v>136.59300000000002</v>
      </c>
      <c r="AZ258" s="127">
        <f t="shared" si="823"/>
        <v>147.02500000000001</v>
      </c>
      <c r="BA258" s="127">
        <f t="shared" si="823"/>
        <v>158.00400000000002</v>
      </c>
      <c r="BB258" s="127">
        <f t="shared" si="823"/>
        <v>201.54600000000002</v>
      </c>
      <c r="BC258" s="127">
        <f t="shared" si="823"/>
        <v>194.10300000000001</v>
      </c>
      <c r="BD258" s="127">
        <f t="shared" si="823"/>
        <v>191.078</v>
      </c>
      <c r="BE258" s="127">
        <f t="shared" si="823"/>
        <v>184.345</v>
      </c>
      <c r="BF258" s="127">
        <f t="shared" si="823"/>
        <v>197.93300000000002</v>
      </c>
      <c r="BG258" s="127">
        <f t="shared" si="823"/>
        <v>182.05799999999999</v>
      </c>
      <c r="BH258" s="127">
        <f t="shared" si="823"/>
        <v>174.541</v>
      </c>
      <c r="BI258" s="127">
        <f t="shared" si="823"/>
        <v>160.624</v>
      </c>
      <c r="BJ258" s="127">
        <f t="shared" si="823"/>
        <v>178.66699999999997</v>
      </c>
      <c r="BK258" s="127">
        <f t="shared" si="823"/>
        <v>202.32400000000001</v>
      </c>
      <c r="BL258" s="127">
        <f t="shared" si="823"/>
        <v>232.25200000000001</v>
      </c>
      <c r="BM258" s="127">
        <f t="shared" si="823"/>
        <v>265.14400000000001</v>
      </c>
      <c r="BN258" s="127">
        <f t="shared" si="823"/>
        <v>300.43799999999999</v>
      </c>
      <c r="BO258" s="127">
        <f t="shared" si="823"/>
        <v>319.904</v>
      </c>
      <c r="BP258" s="127">
        <f t="shared" si="823"/>
        <v>348.452</v>
      </c>
      <c r="BQ258" s="127">
        <f t="shared" ref="BQ258:CV258" si="824">SUM(BQ251:BQ257)</f>
        <v>300.39999999999998</v>
      </c>
      <c r="BR258" s="127">
        <f t="shared" si="824"/>
        <v>267.60100000000006</v>
      </c>
      <c r="BS258" s="127">
        <f t="shared" si="824"/>
        <v>223.06899999999999</v>
      </c>
      <c r="BT258" s="127">
        <f t="shared" si="824"/>
        <v>216.69399999999999</v>
      </c>
      <c r="BU258" s="353">
        <f t="shared" si="824"/>
        <v>178.75099999999998</v>
      </c>
      <c r="BV258" s="127">
        <f t="shared" si="824"/>
        <v>238.22</v>
      </c>
      <c r="BW258" s="127">
        <f t="shared" si="824"/>
        <v>175.87100000000001</v>
      </c>
      <c r="BX258" s="127">
        <f t="shared" si="824"/>
        <v>174.89200000000002</v>
      </c>
      <c r="BY258" s="127">
        <f t="shared" si="824"/>
        <v>199.46600000000001</v>
      </c>
      <c r="BZ258" s="127">
        <f t="shared" si="824"/>
        <v>205.33499999999998</v>
      </c>
      <c r="CA258" s="127">
        <f t="shared" si="824"/>
        <v>212.86099999999999</v>
      </c>
      <c r="CB258" s="127">
        <f t="shared" si="824"/>
        <v>197.32499999999999</v>
      </c>
      <c r="CC258" s="127">
        <f t="shared" si="824"/>
        <v>245.32999999999998</v>
      </c>
      <c r="CD258" s="127">
        <f t="shared" si="824"/>
        <v>352.23900000000003</v>
      </c>
      <c r="CE258" s="127">
        <f t="shared" si="824"/>
        <v>392.93200000000002</v>
      </c>
      <c r="CF258" s="127">
        <f t="shared" si="824"/>
        <v>435.28299999999996</v>
      </c>
      <c r="CG258" s="127">
        <f t="shared" si="824"/>
        <v>499.79700000000003</v>
      </c>
      <c r="CH258" s="127">
        <f t="shared" si="824"/>
        <v>547.25099999999998</v>
      </c>
      <c r="CI258" s="127">
        <f t="shared" si="824"/>
        <v>528.15700000000004</v>
      </c>
      <c r="CJ258" s="127">
        <f t="shared" si="824"/>
        <v>509.35300000000001</v>
      </c>
      <c r="CK258" s="127">
        <f t="shared" si="824"/>
        <v>428.69100000000003</v>
      </c>
      <c r="CL258" s="127">
        <f t="shared" si="824"/>
        <v>472.32499999999999</v>
      </c>
      <c r="CM258" s="127">
        <f t="shared" si="824"/>
        <v>464.02199999999993</v>
      </c>
      <c r="CN258" s="127">
        <f t="shared" si="824"/>
        <v>463.62700000000001</v>
      </c>
      <c r="CO258" s="127">
        <f t="shared" si="824"/>
        <v>498.964</v>
      </c>
      <c r="CP258" s="127">
        <f t="shared" si="824"/>
        <v>541.28200000000004</v>
      </c>
      <c r="CQ258" s="127">
        <f t="shared" si="824"/>
        <v>543.98500000000001</v>
      </c>
      <c r="CR258" s="127">
        <f t="shared" si="824"/>
        <v>611.399</v>
      </c>
      <c r="CS258" s="127">
        <f t="shared" si="824"/>
        <v>690.64699999999993</v>
      </c>
      <c r="CT258" s="127">
        <f t="shared" si="824"/>
        <v>716.34099999999989</v>
      </c>
      <c r="CU258" s="127">
        <f t="shared" si="824"/>
        <v>704.86799999999994</v>
      </c>
      <c r="CV258" s="127">
        <f t="shared" si="824"/>
        <v>592.07400000000007</v>
      </c>
      <c r="CW258" s="127">
        <f t="shared" ref="CW258:EB258" si="825">SUM(CW251:CW257)</f>
        <v>522.93200000000002</v>
      </c>
      <c r="CX258" s="127">
        <f t="shared" si="825"/>
        <v>580.49599999999998</v>
      </c>
      <c r="CY258" s="127">
        <f t="shared" si="825"/>
        <v>550.37</v>
      </c>
      <c r="CZ258" s="127">
        <f t="shared" si="825"/>
        <v>549.25</v>
      </c>
      <c r="DA258" s="127">
        <f t="shared" si="825"/>
        <v>652.80400000000009</v>
      </c>
      <c r="DB258" s="127">
        <f t="shared" si="825"/>
        <v>710.42399999999998</v>
      </c>
      <c r="DC258" s="127">
        <f t="shared" si="825"/>
        <v>803.58699999999999</v>
      </c>
      <c r="DD258" s="127">
        <f t="shared" si="825"/>
        <v>882.60900000000004</v>
      </c>
      <c r="DE258" s="127">
        <f t="shared" si="825"/>
        <v>956.3130000000001</v>
      </c>
      <c r="DF258" s="127">
        <f t="shared" si="825"/>
        <v>1003.4280000000001</v>
      </c>
      <c r="DG258" s="127">
        <f t="shared" si="825"/>
        <v>999.3599999999999</v>
      </c>
      <c r="DH258" s="127">
        <f t="shared" si="825"/>
        <v>942.577</v>
      </c>
      <c r="DI258" s="127">
        <f t="shared" si="825"/>
        <v>895.22800000000007</v>
      </c>
      <c r="DJ258" s="127">
        <f t="shared" si="825"/>
        <v>979.4319999999999</v>
      </c>
      <c r="DK258" s="127">
        <f t="shared" si="825"/>
        <v>931.976</v>
      </c>
      <c r="DL258" s="127">
        <f t="shared" si="825"/>
        <v>1280.49</v>
      </c>
      <c r="DM258" s="127">
        <f t="shared" si="825"/>
        <v>1258.211</v>
      </c>
      <c r="DN258" s="127">
        <f t="shared" si="825"/>
        <v>1391.2900000000002</v>
      </c>
      <c r="DO258" s="127">
        <f t="shared" si="825"/>
        <v>1388.9839999999999</v>
      </c>
      <c r="DP258" s="127">
        <f t="shared" si="825"/>
        <v>1450.4210000000003</v>
      </c>
      <c r="DQ258" s="127">
        <f t="shared" si="825"/>
        <v>1277.366</v>
      </c>
      <c r="DR258" s="127">
        <f t="shared" si="825"/>
        <v>1209.9919999999997</v>
      </c>
      <c r="DS258" s="127">
        <f t="shared" si="825"/>
        <v>1568.3690000000001</v>
      </c>
      <c r="DT258" s="127">
        <f t="shared" si="825"/>
        <v>1501.691</v>
      </c>
      <c r="DU258" s="127">
        <f t="shared" si="825"/>
        <v>1439.0070000000001</v>
      </c>
      <c r="DV258" s="127">
        <f t="shared" si="825"/>
        <v>1476.6760000000002</v>
      </c>
      <c r="DW258" s="127">
        <f t="shared" si="825"/>
        <v>1460.3769999999997</v>
      </c>
      <c r="DX258" s="127">
        <f t="shared" si="825"/>
        <v>1537.672</v>
      </c>
      <c r="DY258" s="127">
        <f t="shared" si="825"/>
        <v>1572.6860000000004</v>
      </c>
      <c r="DZ258" s="127">
        <f t="shared" si="825"/>
        <v>1445.2830000000001</v>
      </c>
      <c r="EA258" s="127">
        <f t="shared" si="825"/>
        <v>1363.8870000000002</v>
      </c>
      <c r="EB258" s="127">
        <f t="shared" si="825"/>
        <v>1250.3880000000001</v>
      </c>
      <c r="EC258" s="127">
        <f t="shared" ref="EC258:EP258" si="826">SUM(EC251:EC257)</f>
        <v>1235.2670000000001</v>
      </c>
      <c r="ED258" s="127">
        <f t="shared" si="826"/>
        <v>1166.346</v>
      </c>
      <c r="EE258" s="127">
        <f t="shared" si="826"/>
        <v>1097.6584592674467</v>
      </c>
      <c r="EF258" s="127">
        <f t="shared" si="826"/>
        <v>1056.5365250367458</v>
      </c>
      <c r="EG258" s="127">
        <f t="shared" si="826"/>
        <v>1032.8009080934883</v>
      </c>
      <c r="EH258" s="127">
        <f t="shared" si="826"/>
        <v>1063.0067202092857</v>
      </c>
      <c r="EI258" s="127">
        <f t="shared" si="826"/>
        <v>1097.2115250845252</v>
      </c>
      <c r="EJ258" s="127">
        <f t="shared" si="826"/>
        <v>1145.3917990953619</v>
      </c>
      <c r="EK258" s="127">
        <f t="shared" si="826"/>
        <v>1198.3962310735005</v>
      </c>
      <c r="EL258" s="127">
        <f t="shared" si="826"/>
        <v>1264.1781268778113</v>
      </c>
      <c r="EM258" s="127">
        <f t="shared" si="826"/>
        <v>1305.3218268527819</v>
      </c>
      <c r="EN258" s="127">
        <f t="shared" si="826"/>
        <v>1347.0483560924251</v>
      </c>
      <c r="EO258" s="127">
        <f t="shared" si="826"/>
        <v>1391.4826580700674</v>
      </c>
      <c r="EP258" s="127">
        <f t="shared" si="826"/>
        <v>1431.0665710837322</v>
      </c>
      <c r="EQ258" s="5"/>
      <c r="ER258" s="5"/>
      <c r="ES258" s="355">
        <f t="shared" si="632"/>
        <v>253</v>
      </c>
      <c r="ET258"/>
      <c r="EU258"/>
      <c r="EV258"/>
      <c r="EW258"/>
      <c r="EX258"/>
      <c r="EY258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</row>
    <row r="259" spans="1:257" s="4" customFormat="1" ht="12.75" customHeight="1" outlineLevel="1">
      <c r="A259" s="15"/>
      <c r="B259" s="14" t="s">
        <v>99</v>
      </c>
      <c r="C259" s="59"/>
      <c r="D259" s="59"/>
      <c r="E259" s="59">
        <f>AK259</f>
        <v>84.944999999999993</v>
      </c>
      <c r="F259" s="59">
        <f t="shared" ref="F259:O261" si="827">INDEX($AH259:$EQ259,1,MATCH(F$4,$AH$4:$EQ$4,0))</f>
        <v>87.414000000000001</v>
      </c>
      <c r="G259" s="59">
        <f t="shared" si="827"/>
        <v>156.90799999999999</v>
      </c>
      <c r="H259" s="59">
        <f t="shared" si="827"/>
        <v>229.809</v>
      </c>
      <c r="I259" s="62">
        <f t="shared" si="827"/>
        <v>323.51</v>
      </c>
      <c r="J259" s="62">
        <f t="shared" si="827"/>
        <v>200.4</v>
      </c>
      <c r="K259" s="62">
        <f t="shared" si="827"/>
        <v>238.47499999999999</v>
      </c>
      <c r="L259" s="62">
        <f t="shared" si="827"/>
        <v>304.32600000000002</v>
      </c>
      <c r="M259" s="62">
        <f t="shared" si="827"/>
        <v>200.286</v>
      </c>
      <c r="N259" s="62">
        <f t="shared" si="827"/>
        <v>150.17500000000001</v>
      </c>
      <c r="O259" s="62">
        <f t="shared" si="827"/>
        <v>158.77000000000001</v>
      </c>
      <c r="P259" s="62">
        <f t="shared" ref="P259:Y261" si="828">INDEX($AH259:$EQ259,1,MATCH(P$4,$AH$4:$EQ$4,0))</f>
        <v>161.53200000000001</v>
      </c>
      <c r="Q259" s="62">
        <f t="shared" si="828"/>
        <v>178.452</v>
      </c>
      <c r="R259" s="62">
        <f t="shared" si="828"/>
        <v>218.309</v>
      </c>
      <c r="S259" s="62">
        <f t="shared" si="828"/>
        <v>223.36</v>
      </c>
      <c r="T259" s="62">
        <f t="shared" si="828"/>
        <v>199.26599999999999</v>
      </c>
      <c r="U259" s="62">
        <f t="shared" si="828"/>
        <v>356.404</v>
      </c>
      <c r="V259" s="62">
        <f t="shared" si="828"/>
        <v>320.71199999999999</v>
      </c>
      <c r="W259" s="62">
        <f t="shared" si="828"/>
        <v>347.92399999999998</v>
      </c>
      <c r="X259" s="62">
        <f t="shared" si="828"/>
        <v>451.14400000000001</v>
      </c>
      <c r="Y259" s="62">
        <f t="shared" si="828"/>
        <v>316.154</v>
      </c>
      <c r="Z259" s="62">
        <f t="shared" ref="Z259:AF261" si="829">INDEX($AH259:$EQ259,1,MATCH(Z$4,$AH$4:$EQ$4,0))</f>
        <v>236.64400000000001</v>
      </c>
      <c r="AA259" s="62">
        <f t="shared" si="829"/>
        <v>104.354</v>
      </c>
      <c r="AB259" s="62">
        <f t="shared" si="829"/>
        <v>84.954999999999998</v>
      </c>
      <c r="AC259" s="62">
        <f t="shared" si="829"/>
        <v>84.025999999999996</v>
      </c>
      <c r="AD259" s="62">
        <f t="shared" si="829"/>
        <v>83.942999999999998</v>
      </c>
      <c r="AE259" s="62">
        <f t="shared" si="829"/>
        <v>83.942999999999998</v>
      </c>
      <c r="AF259" s="62">
        <f t="shared" si="829"/>
        <v>83.942999999999998</v>
      </c>
      <c r="AG259" s="96"/>
      <c r="AH259" s="62"/>
      <c r="AI259" s="62"/>
      <c r="AJ259" s="62"/>
      <c r="AK259" s="61">
        <v>84.944999999999993</v>
      </c>
      <c r="AL259" s="61">
        <v>85.188000000000002</v>
      </c>
      <c r="AM259" s="61">
        <v>86.763999999999996</v>
      </c>
      <c r="AN259" s="61">
        <v>86.873000000000005</v>
      </c>
      <c r="AO259" s="61">
        <v>87.414000000000001</v>
      </c>
      <c r="AP259" s="61">
        <v>142.19999999999999</v>
      </c>
      <c r="AQ259" s="61">
        <v>150.15899999999999</v>
      </c>
      <c r="AR259" s="61">
        <v>153.553</v>
      </c>
      <c r="AS259" s="61">
        <v>156.90799999999999</v>
      </c>
      <c r="AT259" s="61">
        <v>157.50200000000001</v>
      </c>
      <c r="AU259" s="61">
        <v>169.63900000000001</v>
      </c>
      <c r="AV259" s="61">
        <v>178.52799999999999</v>
      </c>
      <c r="AW259" s="61">
        <v>229.809</v>
      </c>
      <c r="AX259" s="61">
        <v>252.197</v>
      </c>
      <c r="AY259" s="61">
        <v>250.61500000000001</v>
      </c>
      <c r="AZ259" s="61">
        <v>271.24900000000002</v>
      </c>
      <c r="BA259" s="61">
        <v>323.51</v>
      </c>
      <c r="BB259" s="61">
        <v>300.58999999999997</v>
      </c>
      <c r="BC259" s="61">
        <v>304.64400000000001</v>
      </c>
      <c r="BD259" s="61">
        <v>257.52499999999998</v>
      </c>
      <c r="BE259" s="61">
        <v>200.4</v>
      </c>
      <c r="BF259" s="61">
        <v>199.14099999999999</v>
      </c>
      <c r="BG259" s="61">
        <v>217.197</v>
      </c>
      <c r="BH259" s="61">
        <v>237.72800000000001</v>
      </c>
      <c r="BI259" s="61">
        <v>238.47499999999999</v>
      </c>
      <c r="BJ259" s="61">
        <v>255.55799999999999</v>
      </c>
      <c r="BK259" s="61">
        <v>291.61</v>
      </c>
      <c r="BL259" s="61">
        <v>276.67099999999999</v>
      </c>
      <c r="BM259" s="61">
        <v>304.32600000000002</v>
      </c>
      <c r="BN259" s="61">
        <v>296.762</v>
      </c>
      <c r="BO259" s="61">
        <v>251.88300000000001</v>
      </c>
      <c r="BP259" s="61">
        <v>234.708</v>
      </c>
      <c r="BQ259" s="61">
        <v>200.286</v>
      </c>
      <c r="BR259" s="61">
        <v>230.05699999999999</v>
      </c>
      <c r="BS259" s="61">
        <v>231.82300000000001</v>
      </c>
      <c r="BT259" s="61">
        <v>167.35599999999999</v>
      </c>
      <c r="BU259" s="110">
        <v>150.17500000000001</v>
      </c>
      <c r="BV259" s="61">
        <v>156.887</v>
      </c>
      <c r="BW259" s="61">
        <v>150.42500000000001</v>
      </c>
      <c r="BX259" s="61">
        <v>157.76400000000001</v>
      </c>
      <c r="BY259" s="61">
        <v>158.77000000000001</v>
      </c>
      <c r="BZ259" s="61">
        <v>168.15700000000001</v>
      </c>
      <c r="CA259" s="61">
        <v>173.19499999999999</v>
      </c>
      <c r="CB259" s="61">
        <v>172.785</v>
      </c>
      <c r="CC259" s="61">
        <v>161.53200000000001</v>
      </c>
      <c r="CD259" s="61">
        <v>149.667</v>
      </c>
      <c r="CE259" s="61">
        <v>157.07599999999999</v>
      </c>
      <c r="CF259" s="61">
        <v>165.5</v>
      </c>
      <c r="CG259" s="61">
        <v>178.452</v>
      </c>
      <c r="CH259" s="61">
        <v>192.166</v>
      </c>
      <c r="CI259" s="61">
        <v>234.04599999999999</v>
      </c>
      <c r="CJ259" s="61">
        <v>229.59899999999999</v>
      </c>
      <c r="CK259" s="61">
        <v>218.309</v>
      </c>
      <c r="CL259" s="61">
        <v>191.119</v>
      </c>
      <c r="CM259" s="61">
        <v>206.01300000000001</v>
      </c>
      <c r="CN259" s="61">
        <v>206.43700000000001</v>
      </c>
      <c r="CO259" s="61">
        <v>223.36</v>
      </c>
      <c r="CP259" s="61">
        <v>222.971</v>
      </c>
      <c r="CQ259" s="61">
        <v>205.66</v>
      </c>
      <c r="CR259" s="61">
        <v>218.869</v>
      </c>
      <c r="CS259" s="61">
        <v>199.26599999999999</v>
      </c>
      <c r="CT259" s="61">
        <v>173.54900000000001</v>
      </c>
      <c r="CU259" s="61">
        <v>176.15600000000001</v>
      </c>
      <c r="CV259" s="61">
        <v>267.55399999999997</v>
      </c>
      <c r="CW259" s="61">
        <v>356.404</v>
      </c>
      <c r="CX259" s="61">
        <v>366.67200000000003</v>
      </c>
      <c r="CY259" s="61">
        <v>355.654</v>
      </c>
      <c r="CZ259" s="61">
        <v>274.62</v>
      </c>
      <c r="DA259" s="61">
        <v>320.71199999999999</v>
      </c>
      <c r="DB259" s="61">
        <v>397.79300000000001</v>
      </c>
      <c r="DC259" s="61">
        <v>480.93900000000002</v>
      </c>
      <c r="DD259" s="74">
        <v>453.04599999999999</v>
      </c>
      <c r="DE259" s="74">
        <v>347.92399999999998</v>
      </c>
      <c r="DF259" s="74">
        <v>399.995</v>
      </c>
      <c r="DG259" s="74">
        <v>444.36500000000001</v>
      </c>
      <c r="DH259" s="74">
        <v>382.52699999999999</v>
      </c>
      <c r="DI259" s="74">
        <v>451.14400000000001</v>
      </c>
      <c r="DJ259" s="74">
        <v>441.79399999999998</v>
      </c>
      <c r="DK259" s="74">
        <v>501.38299999999998</v>
      </c>
      <c r="DL259" s="74">
        <v>287.63400000000001</v>
      </c>
      <c r="DM259" s="74">
        <v>316.154</v>
      </c>
      <c r="DN259" s="74">
        <v>312.45499999999998</v>
      </c>
      <c r="DO259" s="74">
        <v>284.67</v>
      </c>
      <c r="DP259" s="74">
        <v>279.428</v>
      </c>
      <c r="DQ259" s="74">
        <v>236.64400000000001</v>
      </c>
      <c r="DR259" s="74">
        <v>165.58099999999999</v>
      </c>
      <c r="DS259" s="74">
        <v>164.648</v>
      </c>
      <c r="DT259" s="74">
        <v>159.976</v>
      </c>
      <c r="DU259" s="74">
        <v>104.354</v>
      </c>
      <c r="DV259" s="74">
        <v>85.275999999999996</v>
      </c>
      <c r="DW259" s="74">
        <v>83.363</v>
      </c>
      <c r="DX259" s="74">
        <v>99.897999999999996</v>
      </c>
      <c r="DY259" s="74">
        <v>84.954999999999998</v>
      </c>
      <c r="DZ259" s="74">
        <v>105.17700000000001</v>
      </c>
      <c r="EA259" s="74">
        <v>88.299000000000007</v>
      </c>
      <c r="EB259" s="74">
        <v>76.986000000000004</v>
      </c>
      <c r="EC259" s="74">
        <v>84.025999999999996</v>
      </c>
      <c r="ED259" s="74">
        <v>83.942999999999998</v>
      </c>
      <c r="EE259" s="74">
        <f t="shared" ref="EE259:EP259" si="830">ED259</f>
        <v>83.942999999999998</v>
      </c>
      <c r="EF259" s="74">
        <f t="shared" si="830"/>
        <v>83.942999999999998</v>
      </c>
      <c r="EG259" s="74">
        <f t="shared" si="830"/>
        <v>83.942999999999998</v>
      </c>
      <c r="EH259" s="74">
        <f t="shared" si="830"/>
        <v>83.942999999999998</v>
      </c>
      <c r="EI259" s="74">
        <f t="shared" si="830"/>
        <v>83.942999999999998</v>
      </c>
      <c r="EJ259" s="74">
        <f t="shared" si="830"/>
        <v>83.942999999999998</v>
      </c>
      <c r="EK259" s="74">
        <f t="shared" si="830"/>
        <v>83.942999999999998</v>
      </c>
      <c r="EL259" s="74">
        <f t="shared" si="830"/>
        <v>83.942999999999998</v>
      </c>
      <c r="EM259" s="74">
        <f t="shared" si="830"/>
        <v>83.942999999999998</v>
      </c>
      <c r="EN259" s="74">
        <f t="shared" si="830"/>
        <v>83.942999999999998</v>
      </c>
      <c r="EO259" s="74">
        <f t="shared" si="830"/>
        <v>83.942999999999998</v>
      </c>
      <c r="EP259" s="74">
        <f t="shared" si="830"/>
        <v>83.942999999999998</v>
      </c>
      <c r="EQ259" s="5"/>
      <c r="ER259" s="5"/>
      <c r="ES259" s="355">
        <f t="shared" si="632"/>
        <v>254</v>
      </c>
      <c r="ET259"/>
      <c r="EU259"/>
      <c r="EV259"/>
      <c r="EW259"/>
      <c r="EX259"/>
      <c r="EY259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</row>
    <row r="260" spans="1:257" s="4" customFormat="1" ht="12.75" customHeight="1" outlineLevel="1">
      <c r="A260" s="15"/>
      <c r="B260" s="14" t="s">
        <v>35</v>
      </c>
      <c r="C260" s="59"/>
      <c r="D260" s="59"/>
      <c r="E260" s="59">
        <f>AK260</f>
        <v>358.798</v>
      </c>
      <c r="F260" s="59">
        <f t="shared" si="827"/>
        <v>400.65100000000001</v>
      </c>
      <c r="G260" s="59">
        <f t="shared" si="827"/>
        <v>418.29300000000001</v>
      </c>
      <c r="H260" s="59">
        <f t="shared" si="827"/>
        <v>463.49599999999998</v>
      </c>
      <c r="I260" s="62">
        <f t="shared" si="827"/>
        <v>539.02499999999998</v>
      </c>
      <c r="J260" s="62">
        <f t="shared" si="827"/>
        <v>692.37099999999998</v>
      </c>
      <c r="K260" s="62">
        <f t="shared" si="827"/>
        <v>691.21500000000003</v>
      </c>
      <c r="L260" s="62">
        <f t="shared" si="827"/>
        <v>673.60500000000002</v>
      </c>
      <c r="M260" s="62">
        <f t="shared" si="827"/>
        <v>650.05100000000004</v>
      </c>
      <c r="N260" s="62">
        <f t="shared" si="827"/>
        <v>897.44500000000005</v>
      </c>
      <c r="O260" s="62">
        <f t="shared" si="827"/>
        <v>1058.2049999999999</v>
      </c>
      <c r="P260" s="62">
        <f t="shared" si="828"/>
        <v>998.67399999999998</v>
      </c>
      <c r="Q260" s="62">
        <f t="shared" si="828"/>
        <v>981.96500000000003</v>
      </c>
      <c r="R260" s="62">
        <f t="shared" si="828"/>
        <v>1483.134</v>
      </c>
      <c r="S260" s="62">
        <f t="shared" si="828"/>
        <v>2152.616</v>
      </c>
      <c r="T260" s="62">
        <f t="shared" si="828"/>
        <v>2682.2510000000002</v>
      </c>
      <c r="U260" s="62">
        <f t="shared" si="828"/>
        <v>3265.9070000000002</v>
      </c>
      <c r="V260" s="62">
        <f t="shared" si="828"/>
        <v>3275.02</v>
      </c>
      <c r="W260" s="62">
        <f t="shared" si="828"/>
        <v>3677.07</v>
      </c>
      <c r="X260" s="62">
        <f t="shared" si="828"/>
        <v>4351.5709999999999</v>
      </c>
      <c r="Y260" s="62">
        <f t="shared" si="828"/>
        <v>4676.1030000000001</v>
      </c>
      <c r="Z260" s="62">
        <f t="shared" si="829"/>
        <v>5188.5439999999999</v>
      </c>
      <c r="AA260" s="62">
        <f t="shared" si="829"/>
        <v>5567.2349999999997</v>
      </c>
      <c r="AB260" s="62">
        <f t="shared" si="829"/>
        <v>5144.7330000000002</v>
      </c>
      <c r="AC260" s="62">
        <f t="shared" si="829"/>
        <v>5001.0510000000004</v>
      </c>
      <c r="AD260" s="62">
        <f t="shared" si="829"/>
        <v>4902.0813742149994</v>
      </c>
      <c r="AE260" s="62">
        <f t="shared" si="829"/>
        <v>4665.6131961429564</v>
      </c>
      <c r="AF260" s="62">
        <f t="shared" si="829"/>
        <v>4428.0360693042012</v>
      </c>
      <c r="AG260" s="96"/>
      <c r="AH260" s="62"/>
      <c r="AI260" s="62"/>
      <c r="AJ260" s="62"/>
      <c r="AK260" s="61">
        <v>358.798</v>
      </c>
      <c r="AL260" s="61">
        <v>358.238</v>
      </c>
      <c r="AM260" s="61">
        <v>358.38099999999997</v>
      </c>
      <c r="AN260" s="61">
        <v>381.02699999999999</v>
      </c>
      <c r="AO260" s="61">
        <v>400.65100000000001</v>
      </c>
      <c r="AP260" s="61">
        <v>408.92700000000002</v>
      </c>
      <c r="AQ260" s="61">
        <v>422.76</v>
      </c>
      <c r="AR260" s="61">
        <v>437.59699999999998</v>
      </c>
      <c r="AS260" s="61">
        <v>418.29300000000001</v>
      </c>
      <c r="AT260" s="61">
        <v>448.80099999999999</v>
      </c>
      <c r="AU260" s="61">
        <v>450.34</v>
      </c>
      <c r="AV260" s="61">
        <v>460.87599999999998</v>
      </c>
      <c r="AW260" s="61">
        <v>463.49599999999998</v>
      </c>
      <c r="AX260" s="61">
        <v>480.76600000000002</v>
      </c>
      <c r="AY260" s="61">
        <v>486.61799999999999</v>
      </c>
      <c r="AZ260" s="61">
        <v>504.39499999999998</v>
      </c>
      <c r="BA260" s="61">
        <v>539.02499999999998</v>
      </c>
      <c r="BB260" s="61">
        <v>554.04700000000003</v>
      </c>
      <c r="BC260" s="61">
        <v>583.56100000000004</v>
      </c>
      <c r="BD260" s="61">
        <v>635.47900000000004</v>
      </c>
      <c r="BE260" s="61">
        <v>692.37099999999998</v>
      </c>
      <c r="BF260" s="61">
        <v>709.721</v>
      </c>
      <c r="BG260" s="61">
        <v>703.62</v>
      </c>
      <c r="BH260" s="61">
        <v>693.55600000000004</v>
      </c>
      <c r="BI260" s="61">
        <v>691.21500000000003</v>
      </c>
      <c r="BJ260" s="61">
        <v>684.83199999999999</v>
      </c>
      <c r="BK260" s="61">
        <v>677.24699999999996</v>
      </c>
      <c r="BL260" s="61">
        <v>670.14099999999996</v>
      </c>
      <c r="BM260" s="61">
        <v>673.60500000000002</v>
      </c>
      <c r="BN260" s="61">
        <v>685.48099999999999</v>
      </c>
      <c r="BO260" s="61">
        <v>717.20699999999999</v>
      </c>
      <c r="BP260" s="61">
        <v>761.83799999999997</v>
      </c>
      <c r="BQ260" s="61">
        <v>650.05100000000004</v>
      </c>
      <c r="BR260" s="61">
        <v>860.68399999999997</v>
      </c>
      <c r="BS260" s="61">
        <v>919.30100000000004</v>
      </c>
      <c r="BT260" s="61">
        <v>978.41399999999999</v>
      </c>
      <c r="BU260" s="110">
        <v>897.44500000000005</v>
      </c>
      <c r="BV260" s="61">
        <v>948.13300000000004</v>
      </c>
      <c r="BW260" s="61">
        <v>995.18299999999999</v>
      </c>
      <c r="BX260" s="61">
        <v>1036.337</v>
      </c>
      <c r="BY260" s="61">
        <v>1058.2049999999999</v>
      </c>
      <c r="BZ260" s="61">
        <v>1065.268</v>
      </c>
      <c r="CA260" s="61">
        <v>1063.923</v>
      </c>
      <c r="CB260" s="61">
        <v>1057.597</v>
      </c>
      <c r="CC260" s="61">
        <v>998.67399999999998</v>
      </c>
      <c r="CD260" s="57">
        <v>970.44299999999998</v>
      </c>
      <c r="CE260" s="57">
        <v>959.48699999999997</v>
      </c>
      <c r="CF260" s="57">
        <v>967.15300000000002</v>
      </c>
      <c r="CG260" s="61">
        <v>981.96500000000003</v>
      </c>
      <c r="CH260" s="57">
        <v>1018.971</v>
      </c>
      <c r="CI260" s="57">
        <v>1118.529</v>
      </c>
      <c r="CJ260" s="57">
        <v>1242.769</v>
      </c>
      <c r="CK260" s="61">
        <v>1483.134</v>
      </c>
      <c r="CL260" s="57">
        <v>1603.9780000000001</v>
      </c>
      <c r="CM260" s="57">
        <v>1807.9649999999999</v>
      </c>
      <c r="CN260" s="57">
        <v>2009.182</v>
      </c>
      <c r="CO260" s="61">
        <v>2152.616</v>
      </c>
      <c r="CP260" s="57">
        <v>2283.982</v>
      </c>
      <c r="CQ260" s="57">
        <v>2395.8620000000001</v>
      </c>
      <c r="CR260" s="57">
        <v>2534.931</v>
      </c>
      <c r="CS260" s="61">
        <v>2682.2510000000002</v>
      </c>
      <c r="CT260" s="61">
        <v>2885.4540000000002</v>
      </c>
      <c r="CU260" s="61">
        <v>3086.7139999999999</v>
      </c>
      <c r="CV260" s="61">
        <v>3209.3440000000001</v>
      </c>
      <c r="CW260" s="61">
        <v>3265.9070000000002</v>
      </c>
      <c r="CX260" s="61">
        <v>3273.643</v>
      </c>
      <c r="CY260" s="61">
        <v>3285.1390000000001</v>
      </c>
      <c r="CZ260" s="61">
        <v>3235.8629999999998</v>
      </c>
      <c r="DA260" s="61">
        <v>3275.02</v>
      </c>
      <c r="DB260" s="61">
        <v>3336.6239999999998</v>
      </c>
      <c r="DC260" s="61">
        <v>3420.6350000000002</v>
      </c>
      <c r="DD260" s="74">
        <v>3553.7429999999999</v>
      </c>
      <c r="DE260" s="74">
        <v>3677.07</v>
      </c>
      <c r="DF260" s="74">
        <v>3832.0010000000002</v>
      </c>
      <c r="DG260" s="74">
        <v>3975.239</v>
      </c>
      <c r="DH260" s="74">
        <v>4170.3029999999999</v>
      </c>
      <c r="DI260" s="74">
        <v>4351.5709999999999</v>
      </c>
      <c r="DJ260" s="74">
        <v>4491.0510000000004</v>
      </c>
      <c r="DK260" s="74">
        <v>4560.5619999999999</v>
      </c>
      <c r="DL260" s="74">
        <v>4613.3010000000004</v>
      </c>
      <c r="DM260" s="74">
        <v>4676.1030000000001</v>
      </c>
      <c r="DN260" s="74">
        <v>4693.7700000000004</v>
      </c>
      <c r="DO260" s="74">
        <v>4801.2359999999999</v>
      </c>
      <c r="DP260" s="74">
        <v>4943.66</v>
      </c>
      <c r="DQ260" s="74">
        <v>5188.5439999999999</v>
      </c>
      <c r="DR260" s="74">
        <v>5400.0159999999996</v>
      </c>
      <c r="DS260" s="74">
        <v>5572.8180000000002</v>
      </c>
      <c r="DT260" s="74">
        <v>5630.3109999999997</v>
      </c>
      <c r="DU260" s="74">
        <v>5567.2349999999997</v>
      </c>
      <c r="DV260" s="74">
        <v>5530.817</v>
      </c>
      <c r="DW260" s="74">
        <v>5446.3519999999999</v>
      </c>
      <c r="DX260" s="74">
        <v>5306.4340000000002</v>
      </c>
      <c r="DY260" s="74">
        <v>5144.7330000000002</v>
      </c>
      <c r="DZ260" s="74">
        <v>5102.6790000000001</v>
      </c>
      <c r="EA260" s="74">
        <v>5061.3680000000004</v>
      </c>
      <c r="EB260" s="74">
        <v>5062.9139999999998</v>
      </c>
      <c r="EC260" s="74">
        <v>5001.0510000000004</v>
      </c>
      <c r="ED260" s="74">
        <v>4950.3999999999996</v>
      </c>
      <c r="EE260" s="59">
        <f t="shared" ref="EE260:EP260" si="831">ED260-EE232-EE218-EE235</f>
        <v>4934.2639999999992</v>
      </c>
      <c r="EF260" s="59">
        <f t="shared" si="831"/>
        <v>4918.5717399999994</v>
      </c>
      <c r="EG260" s="59">
        <f t="shared" si="831"/>
        <v>4902.0813742149994</v>
      </c>
      <c r="EH260" s="59">
        <f t="shared" si="831"/>
        <v>4844.8230957369797</v>
      </c>
      <c r="EI260" s="59">
        <f t="shared" si="831"/>
        <v>4787.9568432824099</v>
      </c>
      <c r="EJ260" s="59">
        <f t="shared" si="831"/>
        <v>4726.5000732488616</v>
      </c>
      <c r="EK260" s="59">
        <f t="shared" si="831"/>
        <v>4665.6131961429564</v>
      </c>
      <c r="EL260" s="59">
        <f t="shared" si="831"/>
        <v>4605.3104134548103</v>
      </c>
      <c r="EM260" s="59">
        <f t="shared" si="831"/>
        <v>4545.6050838612573</v>
      </c>
      <c r="EN260" s="59">
        <f t="shared" si="831"/>
        <v>4486.5097338873502</v>
      </c>
      <c r="EO260" s="59">
        <f t="shared" si="831"/>
        <v>4428.0360693042012</v>
      </c>
      <c r="EP260" s="59">
        <f t="shared" si="831"/>
        <v>4370.1949872250752</v>
      </c>
      <c r="EQ260" s="5"/>
      <c r="ER260" s="5"/>
      <c r="ES260" s="355">
        <f t="shared" si="632"/>
        <v>255</v>
      </c>
      <c r="ET260"/>
      <c r="EU260"/>
      <c r="EV260"/>
      <c r="EW260"/>
      <c r="EX260"/>
      <c r="EY260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</row>
    <row r="261" spans="1:257" s="4" customFormat="1" ht="12.75" customHeight="1" outlineLevel="1">
      <c r="A261" s="15"/>
      <c r="B261" s="14" t="s">
        <v>98</v>
      </c>
      <c r="C261" s="12"/>
      <c r="D261" s="12"/>
      <c r="E261" s="12">
        <f>AK261</f>
        <v>16.693000000000001</v>
      </c>
      <c r="F261" s="12">
        <f t="shared" si="827"/>
        <v>13.823</v>
      </c>
      <c r="G261" s="12">
        <f t="shared" si="827"/>
        <v>14.500999999999999</v>
      </c>
      <c r="H261" s="12">
        <f t="shared" si="827"/>
        <v>14.241</v>
      </c>
      <c r="I261" s="18">
        <f t="shared" si="827"/>
        <v>13.055999999999999</v>
      </c>
      <c r="J261" s="18">
        <f t="shared" si="827"/>
        <v>13.314</v>
      </c>
      <c r="K261" s="18">
        <f t="shared" si="827"/>
        <v>19.385000000000002</v>
      </c>
      <c r="L261" s="18">
        <f t="shared" si="827"/>
        <v>16.417000000000002</v>
      </c>
      <c r="M261" s="18">
        <f t="shared" si="827"/>
        <v>149.38400000000001</v>
      </c>
      <c r="N261" s="18">
        <f t="shared" si="827"/>
        <v>0.94199999999999995</v>
      </c>
      <c r="O261" s="18">
        <f t="shared" si="827"/>
        <v>1.329</v>
      </c>
      <c r="P261" s="18">
        <f t="shared" si="828"/>
        <v>1.3080000000000001</v>
      </c>
      <c r="Q261" s="18">
        <f t="shared" si="828"/>
        <v>3.1360000000000001</v>
      </c>
      <c r="R261" s="18">
        <f t="shared" si="828"/>
        <v>4.5780000000000003</v>
      </c>
      <c r="S261" s="18">
        <f t="shared" si="828"/>
        <v>10.429</v>
      </c>
      <c r="T261" s="18">
        <f t="shared" si="828"/>
        <v>15.881</v>
      </c>
      <c r="U261" s="18">
        <f t="shared" si="828"/>
        <v>15.781000000000001</v>
      </c>
      <c r="V261" s="18">
        <f t="shared" si="828"/>
        <v>16.834</v>
      </c>
      <c r="W261" s="62">
        <f t="shared" si="828"/>
        <v>22.584</v>
      </c>
      <c r="X261" s="62">
        <f t="shared" si="828"/>
        <v>23.141999999999999</v>
      </c>
      <c r="Y261" s="62">
        <f t="shared" si="828"/>
        <v>14.359</v>
      </c>
      <c r="Z261" s="62">
        <f t="shared" si="829"/>
        <v>19.306999999999999</v>
      </c>
      <c r="AA261" s="62">
        <f t="shared" si="829"/>
        <v>41.415999999999997</v>
      </c>
      <c r="AB261" s="62">
        <f t="shared" si="829"/>
        <v>29.645</v>
      </c>
      <c r="AC261" s="62">
        <f t="shared" si="829"/>
        <v>119.64400000000001</v>
      </c>
      <c r="AD261" s="62">
        <f t="shared" si="829"/>
        <v>161.40700000000001</v>
      </c>
      <c r="AE261" s="62">
        <f t="shared" si="829"/>
        <v>161.40700000000001</v>
      </c>
      <c r="AF261" s="62">
        <f t="shared" si="829"/>
        <v>161.40700000000001</v>
      </c>
      <c r="AG261" s="96"/>
      <c r="AH261" s="62"/>
      <c r="AI261" s="62"/>
      <c r="AJ261" s="62"/>
      <c r="AK261" s="61">
        <v>16.693000000000001</v>
      </c>
      <c r="AL261" s="61">
        <v>17.527999999999999</v>
      </c>
      <c r="AM261" s="61">
        <v>17.652000000000001</v>
      </c>
      <c r="AN261" s="61">
        <v>17.896999999999998</v>
      </c>
      <c r="AO261" s="61">
        <v>13.823</v>
      </c>
      <c r="AP261" s="61">
        <v>13.932</v>
      </c>
      <c r="AQ261" s="61">
        <v>13.79</v>
      </c>
      <c r="AR261" s="61">
        <v>14.933</v>
      </c>
      <c r="AS261" s="61">
        <v>14.500999999999999</v>
      </c>
      <c r="AT261" s="61">
        <v>14.433</v>
      </c>
      <c r="AU261" s="61">
        <v>14.46</v>
      </c>
      <c r="AV261" s="61">
        <v>14.401999999999999</v>
      </c>
      <c r="AW261" s="61">
        <v>14.241</v>
      </c>
      <c r="AX261" s="61">
        <v>13.026</v>
      </c>
      <c r="AY261" s="61">
        <v>13.186</v>
      </c>
      <c r="AZ261" s="61">
        <v>13.278</v>
      </c>
      <c r="BA261" s="61">
        <v>13.055999999999999</v>
      </c>
      <c r="BB261" s="61">
        <v>13.67</v>
      </c>
      <c r="BC261" s="61">
        <v>13.599</v>
      </c>
      <c r="BD261" s="61">
        <v>13.586</v>
      </c>
      <c r="BE261" s="61">
        <v>13.314</v>
      </c>
      <c r="BF261" s="61">
        <v>13.053000000000001</v>
      </c>
      <c r="BG261" s="61">
        <v>12.84</v>
      </c>
      <c r="BH261" s="61">
        <v>12.569000000000001</v>
      </c>
      <c r="BI261" s="61">
        <v>19.385000000000002</v>
      </c>
      <c r="BJ261" s="61">
        <v>19.050999999999998</v>
      </c>
      <c r="BK261" s="61">
        <v>19.047999999999998</v>
      </c>
      <c r="BL261" s="61">
        <v>17.911000000000001</v>
      </c>
      <c r="BM261" s="61">
        <v>16.417000000000002</v>
      </c>
      <c r="BN261" s="61">
        <v>17.166</v>
      </c>
      <c r="BO261" s="61">
        <v>15.760999999999999</v>
      </c>
      <c r="BP261" s="61">
        <v>14.772</v>
      </c>
      <c r="BQ261" s="61">
        <f>14.127+135.257</f>
        <v>149.38400000000001</v>
      </c>
      <c r="BR261" s="61">
        <v>13.489000000000001</v>
      </c>
      <c r="BS261" s="61">
        <v>15.153</v>
      </c>
      <c r="BT261" s="61">
        <v>12.795999999999999</v>
      </c>
      <c r="BU261" s="110">
        <v>0.94199999999999995</v>
      </c>
      <c r="BV261" s="61">
        <v>4.0609999999999999</v>
      </c>
      <c r="BW261" s="61">
        <v>20.603000000000002</v>
      </c>
      <c r="BX261" s="61">
        <v>31.603000000000002</v>
      </c>
      <c r="BY261" s="61">
        <v>1.329</v>
      </c>
      <c r="BZ261" s="61">
        <v>1.3149999999999999</v>
      </c>
      <c r="CA261" s="61">
        <v>1.0209999999999999</v>
      </c>
      <c r="CB261" s="61">
        <v>21.177</v>
      </c>
      <c r="CC261" s="61">
        <v>1.3080000000000001</v>
      </c>
      <c r="CD261" s="61">
        <v>0.74299999999999999</v>
      </c>
      <c r="CE261" s="61">
        <v>0.66200000000000003</v>
      </c>
      <c r="CF261" s="61">
        <v>2.6520000000000001</v>
      </c>
      <c r="CG261" s="61">
        <v>3.1360000000000001</v>
      </c>
      <c r="CH261" s="61">
        <v>3.387</v>
      </c>
      <c r="CI261" s="61">
        <v>3.2879999999999998</v>
      </c>
      <c r="CJ261" s="61">
        <v>3.173</v>
      </c>
      <c r="CK261" s="61">
        <v>4.5780000000000003</v>
      </c>
      <c r="CL261" s="61">
        <v>4.5839999999999996</v>
      </c>
      <c r="CM261" s="61">
        <v>6.5369999999999999</v>
      </c>
      <c r="CN261" s="61">
        <v>8.0760000000000005</v>
      </c>
      <c r="CO261" s="61">
        <v>10.429</v>
      </c>
      <c r="CP261" s="61">
        <v>10.554</v>
      </c>
      <c r="CQ261" s="61">
        <v>10.611000000000001</v>
      </c>
      <c r="CR261" s="61">
        <v>13.321999999999999</v>
      </c>
      <c r="CS261" s="61">
        <v>15.881</v>
      </c>
      <c r="CT261" s="61">
        <v>12.667</v>
      </c>
      <c r="CU261" s="61">
        <v>12.077999999999999</v>
      </c>
      <c r="CV261" s="61">
        <v>10.882</v>
      </c>
      <c r="CW261" s="61">
        <v>15.781000000000001</v>
      </c>
      <c r="CX261" s="61">
        <v>14.803000000000001</v>
      </c>
      <c r="CY261" s="61">
        <v>14.476000000000001</v>
      </c>
      <c r="CZ261" s="61">
        <v>13.920999999999999</v>
      </c>
      <c r="DA261" s="61">
        <v>16.834</v>
      </c>
      <c r="DB261" s="61">
        <v>20.777999999999999</v>
      </c>
      <c r="DC261" s="61">
        <v>20.550999999999998</v>
      </c>
      <c r="DD261" s="74">
        <v>21.638000000000002</v>
      </c>
      <c r="DE261" s="74">
        <v>22.584</v>
      </c>
      <c r="DF261" s="74">
        <v>22.463000000000001</v>
      </c>
      <c r="DG261" s="74">
        <v>22.108000000000001</v>
      </c>
      <c r="DH261" s="74">
        <v>22.893999999999998</v>
      </c>
      <c r="DI261" s="74">
        <v>23.141999999999999</v>
      </c>
      <c r="DJ261" s="74">
        <v>22.010999999999999</v>
      </c>
      <c r="DK261" s="74">
        <v>18.530999999999999</v>
      </c>
      <c r="DL261" s="74">
        <v>16.186</v>
      </c>
      <c r="DM261" s="74">
        <v>14.359</v>
      </c>
      <c r="DN261" s="74">
        <v>13.071999999999999</v>
      </c>
      <c r="DO261" s="74">
        <v>13.391</v>
      </c>
      <c r="DP261" s="74">
        <v>19.573</v>
      </c>
      <c r="DQ261" s="74">
        <v>19.306999999999999</v>
      </c>
      <c r="DR261" s="74">
        <v>25.93</v>
      </c>
      <c r="DS261" s="74">
        <v>38.314999999999998</v>
      </c>
      <c r="DT261" s="74">
        <v>43.838999999999999</v>
      </c>
      <c r="DU261" s="74">
        <v>41.415999999999997</v>
      </c>
      <c r="DV261" s="74">
        <v>37.505000000000003</v>
      </c>
      <c r="DW261" s="74">
        <v>35.012999999999998</v>
      </c>
      <c r="DX261" s="74">
        <v>32.515000000000001</v>
      </c>
      <c r="DY261" s="74">
        <v>29.645</v>
      </c>
      <c r="DZ261" s="74">
        <v>24.498000000000001</v>
      </c>
      <c r="EA261" s="74">
        <v>24.63</v>
      </c>
      <c r="EB261" s="74">
        <v>123.60299999999999</v>
      </c>
      <c r="EC261" s="74">
        <v>119.64400000000001</v>
      </c>
      <c r="ED261" s="74">
        <f>69.347+78.636+13.424</f>
        <v>161.40700000000001</v>
      </c>
      <c r="EE261" s="74">
        <f t="shared" ref="EE261:EP261" si="832">ED261</f>
        <v>161.40700000000001</v>
      </c>
      <c r="EF261" s="74">
        <f t="shared" si="832"/>
        <v>161.40700000000001</v>
      </c>
      <c r="EG261" s="74">
        <f t="shared" si="832"/>
        <v>161.40700000000001</v>
      </c>
      <c r="EH261" s="74">
        <f t="shared" si="832"/>
        <v>161.40700000000001</v>
      </c>
      <c r="EI261" s="74">
        <f t="shared" si="832"/>
        <v>161.40700000000001</v>
      </c>
      <c r="EJ261" s="74">
        <f t="shared" si="832"/>
        <v>161.40700000000001</v>
      </c>
      <c r="EK261" s="74">
        <f t="shared" si="832"/>
        <v>161.40700000000001</v>
      </c>
      <c r="EL261" s="74">
        <f t="shared" si="832"/>
        <v>161.40700000000001</v>
      </c>
      <c r="EM261" s="74">
        <f t="shared" si="832"/>
        <v>161.40700000000001</v>
      </c>
      <c r="EN261" s="74">
        <f t="shared" si="832"/>
        <v>161.40700000000001</v>
      </c>
      <c r="EO261" s="74">
        <f t="shared" si="832"/>
        <v>161.40700000000001</v>
      </c>
      <c r="EP261" s="74">
        <f t="shared" si="832"/>
        <v>161.40700000000001</v>
      </c>
      <c r="EQ261" s="5"/>
      <c r="ER261" s="5"/>
      <c r="ES261" s="355">
        <f t="shared" si="632"/>
        <v>256</v>
      </c>
      <c r="ET261"/>
      <c r="EU261"/>
      <c r="EV261"/>
      <c r="EW261"/>
      <c r="EX261"/>
      <c r="EY26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</row>
    <row r="262" spans="1:257" s="4" customFormat="1" ht="12.75" customHeight="1" outlineLevel="1">
      <c r="A262" s="15"/>
      <c r="B262" s="308" t="s">
        <v>97</v>
      </c>
      <c r="C262" s="352"/>
      <c r="D262" s="352"/>
      <c r="E262" s="127">
        <f t="shared" ref="E262:AF262" si="833">SUM(E258:E261)</f>
        <v>610.93499999999995</v>
      </c>
      <c r="F262" s="127">
        <f t="shared" si="833"/>
        <v>624.827</v>
      </c>
      <c r="G262" s="127">
        <f t="shared" si="833"/>
        <v>707.06099999999992</v>
      </c>
      <c r="H262" s="127">
        <f t="shared" si="833"/>
        <v>821.91399999999999</v>
      </c>
      <c r="I262" s="127">
        <f t="shared" si="833"/>
        <v>1033.595</v>
      </c>
      <c r="J262" s="127">
        <f t="shared" si="833"/>
        <v>1090.43</v>
      </c>
      <c r="K262" s="127">
        <f t="shared" si="833"/>
        <v>1109.6990000000001</v>
      </c>
      <c r="L262" s="127">
        <f t="shared" si="833"/>
        <v>1259.492</v>
      </c>
      <c r="M262" s="127">
        <f t="shared" si="833"/>
        <v>1300.1210000000001</v>
      </c>
      <c r="N262" s="127">
        <f t="shared" si="833"/>
        <v>1227.3130000000001</v>
      </c>
      <c r="O262" s="127">
        <f t="shared" si="833"/>
        <v>1417.7699999999998</v>
      </c>
      <c r="P262" s="127">
        <f t="shared" si="833"/>
        <v>1406.8440000000001</v>
      </c>
      <c r="Q262" s="127">
        <f t="shared" si="833"/>
        <v>1663.35</v>
      </c>
      <c r="R262" s="127">
        <f t="shared" si="833"/>
        <v>2134.712</v>
      </c>
      <c r="S262" s="127">
        <f t="shared" si="833"/>
        <v>2885.3690000000001</v>
      </c>
      <c r="T262" s="127">
        <f t="shared" si="833"/>
        <v>3588.0450000000001</v>
      </c>
      <c r="U262" s="127">
        <f t="shared" si="833"/>
        <v>4161.0240000000003</v>
      </c>
      <c r="V262" s="127">
        <f t="shared" si="833"/>
        <v>4265.37</v>
      </c>
      <c r="W262" s="127">
        <f t="shared" si="833"/>
        <v>5003.8910000000005</v>
      </c>
      <c r="X262" s="127">
        <f t="shared" si="833"/>
        <v>5721.085</v>
      </c>
      <c r="Y262" s="127">
        <f t="shared" si="833"/>
        <v>6264.8270000000002</v>
      </c>
      <c r="Z262" s="127">
        <f t="shared" si="833"/>
        <v>6721.8609999999999</v>
      </c>
      <c r="AA262" s="127">
        <f t="shared" si="833"/>
        <v>7152.0119999999997</v>
      </c>
      <c r="AB262" s="127">
        <f t="shared" si="833"/>
        <v>6832.0190000000011</v>
      </c>
      <c r="AC262" s="127">
        <f t="shared" si="833"/>
        <v>6439.9880000000012</v>
      </c>
      <c r="AD262" s="127">
        <f t="shared" si="833"/>
        <v>6180.2322823084878</v>
      </c>
      <c r="AE262" s="127">
        <f t="shared" si="833"/>
        <v>6109.3594272164573</v>
      </c>
      <c r="AF262" s="127">
        <f t="shared" si="833"/>
        <v>6064.8687273742689</v>
      </c>
      <c r="AG262" s="96"/>
      <c r="AH262" s="352"/>
      <c r="AI262" s="352"/>
      <c r="AJ262" s="127"/>
      <c r="AK262" s="127">
        <f t="shared" ref="AK262:BP262" si="834">SUM(AK258:AK261)</f>
        <v>610.93499999999995</v>
      </c>
      <c r="AL262" s="127">
        <f t="shared" si="834"/>
        <v>615.99</v>
      </c>
      <c r="AM262" s="127">
        <f t="shared" si="834"/>
        <v>625.21100000000001</v>
      </c>
      <c r="AN262" s="127">
        <f t="shared" si="834"/>
        <v>621.476</v>
      </c>
      <c r="AO262" s="127">
        <f t="shared" si="834"/>
        <v>624.827</v>
      </c>
      <c r="AP262" s="127">
        <f t="shared" si="834"/>
        <v>676.28399999999999</v>
      </c>
      <c r="AQ262" s="127">
        <f t="shared" si="834"/>
        <v>690.29299999999989</v>
      </c>
      <c r="AR262" s="127">
        <f t="shared" si="834"/>
        <v>719.3889999999999</v>
      </c>
      <c r="AS262" s="127">
        <f t="shared" si="834"/>
        <v>707.06099999999992</v>
      </c>
      <c r="AT262" s="127">
        <f t="shared" si="834"/>
        <v>732.86799999999994</v>
      </c>
      <c r="AU262" s="127">
        <f t="shared" si="834"/>
        <v>743.18499999999995</v>
      </c>
      <c r="AV262" s="127">
        <f t="shared" si="834"/>
        <v>772.57100000000003</v>
      </c>
      <c r="AW262" s="127">
        <f t="shared" si="834"/>
        <v>821.91399999999999</v>
      </c>
      <c r="AX262" s="127">
        <f t="shared" si="834"/>
        <v>885.64099999999996</v>
      </c>
      <c r="AY262" s="127">
        <f t="shared" si="834"/>
        <v>887.01200000000006</v>
      </c>
      <c r="AZ262" s="127">
        <f t="shared" si="834"/>
        <v>935.947</v>
      </c>
      <c r="BA262" s="127">
        <f t="shared" si="834"/>
        <v>1033.595</v>
      </c>
      <c r="BB262" s="127">
        <f t="shared" si="834"/>
        <v>1069.8530000000001</v>
      </c>
      <c r="BC262" s="127">
        <f t="shared" si="834"/>
        <v>1095.9069999999999</v>
      </c>
      <c r="BD262" s="127">
        <f t="shared" si="834"/>
        <v>1097.6679999999999</v>
      </c>
      <c r="BE262" s="127">
        <f t="shared" si="834"/>
        <v>1090.43</v>
      </c>
      <c r="BF262" s="127">
        <f t="shared" si="834"/>
        <v>1119.8480000000002</v>
      </c>
      <c r="BG262" s="127">
        <f t="shared" si="834"/>
        <v>1115.7149999999999</v>
      </c>
      <c r="BH262" s="127">
        <f t="shared" si="834"/>
        <v>1118.394</v>
      </c>
      <c r="BI262" s="127">
        <f t="shared" si="834"/>
        <v>1109.6990000000001</v>
      </c>
      <c r="BJ262" s="127">
        <f t="shared" si="834"/>
        <v>1138.1079999999999</v>
      </c>
      <c r="BK262" s="127">
        <f t="shared" si="834"/>
        <v>1190.229</v>
      </c>
      <c r="BL262" s="127">
        <f t="shared" si="834"/>
        <v>1196.9749999999999</v>
      </c>
      <c r="BM262" s="127">
        <f t="shared" si="834"/>
        <v>1259.492</v>
      </c>
      <c r="BN262" s="127">
        <f t="shared" si="834"/>
        <v>1299.847</v>
      </c>
      <c r="BO262" s="127">
        <f t="shared" si="834"/>
        <v>1304.7550000000001</v>
      </c>
      <c r="BP262" s="127">
        <f t="shared" si="834"/>
        <v>1359.77</v>
      </c>
      <c r="BQ262" s="127">
        <f t="shared" ref="BQ262:CV262" si="835">SUM(BQ258:BQ261)</f>
        <v>1300.1210000000001</v>
      </c>
      <c r="BR262" s="127">
        <f t="shared" si="835"/>
        <v>1371.8310000000001</v>
      </c>
      <c r="BS262" s="127">
        <f t="shared" si="835"/>
        <v>1389.346</v>
      </c>
      <c r="BT262" s="127">
        <f t="shared" si="835"/>
        <v>1375.26</v>
      </c>
      <c r="BU262" s="353">
        <f t="shared" si="835"/>
        <v>1227.3130000000001</v>
      </c>
      <c r="BV262" s="127">
        <f t="shared" si="835"/>
        <v>1347.3009999999999</v>
      </c>
      <c r="BW262" s="127">
        <f t="shared" si="835"/>
        <v>1342.0820000000001</v>
      </c>
      <c r="BX262" s="127">
        <f t="shared" si="835"/>
        <v>1400.596</v>
      </c>
      <c r="BY262" s="127">
        <f t="shared" si="835"/>
        <v>1417.7699999999998</v>
      </c>
      <c r="BZ262" s="127">
        <f t="shared" si="835"/>
        <v>1440.075</v>
      </c>
      <c r="CA262" s="127">
        <f t="shared" si="835"/>
        <v>1451</v>
      </c>
      <c r="CB262" s="127">
        <f t="shared" si="835"/>
        <v>1448.8839999999998</v>
      </c>
      <c r="CC262" s="127">
        <f t="shared" si="835"/>
        <v>1406.8440000000001</v>
      </c>
      <c r="CD262" s="127">
        <f t="shared" si="835"/>
        <v>1473.0920000000001</v>
      </c>
      <c r="CE262" s="127">
        <f t="shared" si="835"/>
        <v>1510.1569999999999</v>
      </c>
      <c r="CF262" s="127">
        <f t="shared" si="835"/>
        <v>1570.588</v>
      </c>
      <c r="CG262" s="127">
        <f t="shared" si="835"/>
        <v>1663.35</v>
      </c>
      <c r="CH262" s="127">
        <f t="shared" si="835"/>
        <v>1761.7749999999999</v>
      </c>
      <c r="CI262" s="127">
        <f t="shared" si="835"/>
        <v>1884.02</v>
      </c>
      <c r="CJ262" s="127">
        <f t="shared" si="835"/>
        <v>1984.894</v>
      </c>
      <c r="CK262" s="127">
        <f t="shared" si="835"/>
        <v>2134.712</v>
      </c>
      <c r="CL262" s="127">
        <f t="shared" si="835"/>
        <v>2272.0059999999999</v>
      </c>
      <c r="CM262" s="127">
        <f t="shared" si="835"/>
        <v>2484.5369999999998</v>
      </c>
      <c r="CN262" s="127">
        <f t="shared" si="835"/>
        <v>2687.3220000000001</v>
      </c>
      <c r="CO262" s="127">
        <f t="shared" si="835"/>
        <v>2885.3690000000001</v>
      </c>
      <c r="CP262" s="127">
        <f t="shared" si="835"/>
        <v>3058.7890000000002</v>
      </c>
      <c r="CQ262" s="127">
        <f t="shared" si="835"/>
        <v>3156.1179999999999</v>
      </c>
      <c r="CR262" s="127">
        <f t="shared" si="835"/>
        <v>3378.5210000000002</v>
      </c>
      <c r="CS262" s="127">
        <f t="shared" si="835"/>
        <v>3588.0450000000001</v>
      </c>
      <c r="CT262" s="127">
        <f t="shared" si="835"/>
        <v>3788.011</v>
      </c>
      <c r="CU262" s="127">
        <f t="shared" si="835"/>
        <v>3979.8159999999998</v>
      </c>
      <c r="CV262" s="127">
        <f t="shared" si="835"/>
        <v>4079.8540000000003</v>
      </c>
      <c r="CW262" s="127">
        <f t="shared" ref="CW262:EB262" si="836">SUM(CW258:CW261)</f>
        <v>4161.0240000000003</v>
      </c>
      <c r="CX262" s="127">
        <f t="shared" si="836"/>
        <v>4235.6139999999996</v>
      </c>
      <c r="CY262" s="127">
        <f t="shared" si="836"/>
        <v>4205.6390000000001</v>
      </c>
      <c r="CZ262" s="127">
        <f t="shared" si="836"/>
        <v>4073.6539999999995</v>
      </c>
      <c r="DA262" s="127">
        <f t="shared" si="836"/>
        <v>4265.37</v>
      </c>
      <c r="DB262" s="127">
        <f t="shared" si="836"/>
        <v>4465.6190000000006</v>
      </c>
      <c r="DC262" s="127">
        <f t="shared" si="836"/>
        <v>4725.7120000000004</v>
      </c>
      <c r="DD262" s="127">
        <f t="shared" si="836"/>
        <v>4911.0360000000001</v>
      </c>
      <c r="DE262" s="127">
        <f t="shared" si="836"/>
        <v>5003.8910000000005</v>
      </c>
      <c r="DF262" s="127">
        <f t="shared" si="836"/>
        <v>5257.8870000000006</v>
      </c>
      <c r="DG262" s="127">
        <f t="shared" si="836"/>
        <v>5441.0720000000001</v>
      </c>
      <c r="DH262" s="127">
        <f t="shared" si="836"/>
        <v>5518.3010000000004</v>
      </c>
      <c r="DI262" s="127">
        <f t="shared" si="836"/>
        <v>5721.085</v>
      </c>
      <c r="DJ262" s="127">
        <f t="shared" si="836"/>
        <v>5934.2880000000005</v>
      </c>
      <c r="DK262" s="127">
        <f t="shared" si="836"/>
        <v>6012.4520000000002</v>
      </c>
      <c r="DL262" s="127">
        <f t="shared" si="836"/>
        <v>6197.6109999999999</v>
      </c>
      <c r="DM262" s="127">
        <f t="shared" si="836"/>
        <v>6264.8270000000002</v>
      </c>
      <c r="DN262" s="127">
        <f t="shared" si="836"/>
        <v>6410.5870000000004</v>
      </c>
      <c r="DO262" s="127">
        <f t="shared" si="836"/>
        <v>6488.280999999999</v>
      </c>
      <c r="DP262" s="127">
        <f t="shared" si="836"/>
        <v>6693.0820000000003</v>
      </c>
      <c r="DQ262" s="127">
        <f t="shared" si="836"/>
        <v>6721.8609999999999</v>
      </c>
      <c r="DR262" s="127">
        <f t="shared" si="836"/>
        <v>6801.5189999999993</v>
      </c>
      <c r="DS262" s="127">
        <f t="shared" si="836"/>
        <v>7344.15</v>
      </c>
      <c r="DT262" s="127">
        <f t="shared" si="836"/>
        <v>7335.8169999999991</v>
      </c>
      <c r="DU262" s="127">
        <f t="shared" si="836"/>
        <v>7152.0119999999997</v>
      </c>
      <c r="DV262" s="127">
        <f t="shared" si="836"/>
        <v>7130.2740000000003</v>
      </c>
      <c r="DW262" s="127">
        <f t="shared" si="836"/>
        <v>7025.1049999999996</v>
      </c>
      <c r="DX262" s="127">
        <f t="shared" si="836"/>
        <v>6976.5190000000002</v>
      </c>
      <c r="DY262" s="127">
        <f t="shared" si="836"/>
        <v>6832.0190000000011</v>
      </c>
      <c r="DZ262" s="127">
        <f t="shared" si="836"/>
        <v>6677.6369999999997</v>
      </c>
      <c r="EA262" s="127">
        <f t="shared" si="836"/>
        <v>6538.1840000000002</v>
      </c>
      <c r="EB262" s="127">
        <f t="shared" si="836"/>
        <v>6513.8910000000005</v>
      </c>
      <c r="EC262" s="127">
        <f t="shared" ref="EC262:EP262" si="837">SUM(EC258:EC261)</f>
        <v>6439.9880000000012</v>
      </c>
      <c r="ED262" s="127">
        <f t="shared" si="837"/>
        <v>6362.0959999999995</v>
      </c>
      <c r="EE262" s="127">
        <f t="shared" si="837"/>
        <v>6277.2724592674458</v>
      </c>
      <c r="EF262" s="127">
        <f t="shared" si="837"/>
        <v>6220.4582650367456</v>
      </c>
      <c r="EG262" s="127">
        <f t="shared" si="837"/>
        <v>6180.2322823084878</v>
      </c>
      <c r="EH262" s="127">
        <f t="shared" si="837"/>
        <v>6153.179815946266</v>
      </c>
      <c r="EI262" s="127">
        <f t="shared" si="837"/>
        <v>6130.5183683669356</v>
      </c>
      <c r="EJ262" s="127">
        <f t="shared" si="837"/>
        <v>6117.2418723442233</v>
      </c>
      <c r="EK262" s="127">
        <f t="shared" si="837"/>
        <v>6109.3594272164573</v>
      </c>
      <c r="EL262" s="127">
        <f t="shared" si="837"/>
        <v>6114.838540332622</v>
      </c>
      <c r="EM262" s="127">
        <f t="shared" si="837"/>
        <v>6096.2769107140393</v>
      </c>
      <c r="EN262" s="127">
        <f t="shared" si="837"/>
        <v>6078.9080899797755</v>
      </c>
      <c r="EO262" s="127">
        <f t="shared" si="837"/>
        <v>6064.8687273742689</v>
      </c>
      <c r="EP262" s="127">
        <f t="shared" si="837"/>
        <v>6046.6115583088076</v>
      </c>
      <c r="EQ262" s="5"/>
      <c r="ER262" s="5"/>
      <c r="ES262" s="355">
        <f t="shared" si="632"/>
        <v>257</v>
      </c>
      <c r="ET262"/>
      <c r="EU262"/>
      <c r="EV262"/>
      <c r="EW262"/>
      <c r="EX262"/>
      <c r="EY262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</row>
    <row r="263" spans="1:257" s="4" customFormat="1" ht="12.75" customHeight="1" outlineLevel="1">
      <c r="A263" s="15"/>
      <c r="B263" s="65"/>
      <c r="C263" s="59"/>
      <c r="D263" s="59"/>
      <c r="E263" s="59"/>
      <c r="F263" s="59"/>
      <c r="G263" s="59"/>
      <c r="H263" s="59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96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98"/>
      <c r="BV263" s="62"/>
      <c r="BW263" s="62"/>
      <c r="BX263" s="62"/>
      <c r="BY263" s="62"/>
      <c r="BZ263" s="62"/>
      <c r="CA263" s="62"/>
      <c r="CB263" s="62"/>
      <c r="CC263" s="62"/>
      <c r="CD263" s="62"/>
      <c r="CE263" s="62"/>
      <c r="CF263" s="62"/>
      <c r="CG263" s="62"/>
      <c r="CH263" s="62"/>
      <c r="CI263" s="62"/>
      <c r="CJ263" s="62"/>
      <c r="CK263" s="62"/>
      <c r="CL263" s="62"/>
      <c r="CM263" s="62"/>
      <c r="CN263" s="62"/>
      <c r="CO263" s="62"/>
      <c r="CP263" s="62"/>
      <c r="CQ263" s="62"/>
      <c r="CR263" s="62"/>
      <c r="CS263" s="62"/>
      <c r="CT263" s="62"/>
      <c r="CU263" s="62"/>
      <c r="CV263" s="62"/>
      <c r="CW263" s="62"/>
      <c r="CX263" s="62"/>
      <c r="CY263" s="62"/>
      <c r="CZ263" s="62"/>
      <c r="DA263" s="62"/>
      <c r="DB263" s="62"/>
      <c r="DC263" s="62"/>
      <c r="DD263" s="62"/>
      <c r="DE263" s="62"/>
      <c r="DF263" s="59"/>
      <c r="DG263" s="59"/>
      <c r="DH263" s="59"/>
      <c r="DI263" s="59"/>
      <c r="DJ263" s="59"/>
      <c r="DK263" s="59"/>
      <c r="DL263" s="59"/>
      <c r="DM263" s="59"/>
      <c r="DN263" s="59"/>
      <c r="DO263" s="59"/>
      <c r="DP263" s="59"/>
      <c r="DQ263" s="59"/>
      <c r="DR263" s="113"/>
      <c r="DS263" s="113"/>
      <c r="DT263" s="59"/>
      <c r="DU263" s="59"/>
      <c r="DV263" s="59"/>
      <c r="DW263" s="59"/>
      <c r="DX263" s="59"/>
      <c r="DY263" s="59"/>
      <c r="DZ263" s="113"/>
      <c r="EA263" s="113"/>
      <c r="EB263" s="113"/>
      <c r="EC263" s="113"/>
      <c r="ED263" s="113"/>
      <c r="EE263" s="59"/>
      <c r="EF263" s="59"/>
      <c r="EG263" s="59"/>
      <c r="EH263" s="59"/>
      <c r="EI263" s="59"/>
      <c r="EJ263" s="59"/>
      <c r="EK263" s="59"/>
      <c r="EL263" s="59"/>
      <c r="EM263" s="59"/>
      <c r="EN263" s="59"/>
      <c r="EO263" s="59"/>
      <c r="EP263" s="59"/>
      <c r="EQ263" s="5"/>
      <c r="ER263" s="5"/>
      <c r="ES263" s="355">
        <f t="shared" si="632"/>
        <v>258</v>
      </c>
      <c r="ET263"/>
      <c r="EU263"/>
      <c r="EV263"/>
      <c r="EW263"/>
      <c r="EX263"/>
      <c r="EY263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</row>
    <row r="264" spans="1:257" s="4" customFormat="1" ht="12.75" customHeight="1" outlineLevel="1">
      <c r="A264" s="15"/>
      <c r="B264" s="65" t="s">
        <v>96</v>
      </c>
      <c r="C264" s="59"/>
      <c r="D264" s="59"/>
      <c r="E264" s="59"/>
      <c r="F264" s="59"/>
      <c r="G264" s="59"/>
      <c r="H264" s="59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96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98"/>
      <c r="BV264" s="62"/>
      <c r="BW264" s="62"/>
      <c r="BX264" s="62"/>
      <c r="BY264" s="62"/>
      <c r="BZ264" s="62"/>
      <c r="CA264" s="62"/>
      <c r="CB264" s="62"/>
      <c r="CC264" s="62"/>
      <c r="CD264" s="62"/>
      <c r="CE264" s="62"/>
      <c r="CF264" s="62"/>
      <c r="CG264" s="62"/>
      <c r="CH264" s="62"/>
      <c r="CI264" s="62"/>
      <c r="CJ264" s="62"/>
      <c r="CK264" s="62"/>
      <c r="CL264" s="62"/>
      <c r="CM264" s="62"/>
      <c r="CN264" s="62"/>
      <c r="CO264" s="62"/>
      <c r="CP264" s="62"/>
      <c r="CQ264" s="62"/>
      <c r="CR264" s="62"/>
      <c r="CS264" s="62"/>
      <c r="CT264" s="62"/>
      <c r="CU264" s="62"/>
      <c r="CV264" s="62"/>
      <c r="CW264" s="62"/>
      <c r="CX264" s="62"/>
      <c r="CY264" s="62"/>
      <c r="CZ264" s="62"/>
      <c r="DA264" s="62"/>
      <c r="DB264" s="62"/>
      <c r="DC264" s="62"/>
      <c r="DD264" s="62"/>
      <c r="DE264" s="62"/>
      <c r="DF264" s="59"/>
      <c r="DG264" s="59"/>
      <c r="DH264" s="59"/>
      <c r="DI264" s="59"/>
      <c r="DJ264" s="59"/>
      <c r="DK264" s="59"/>
      <c r="DL264" s="59"/>
      <c r="DM264" s="59"/>
      <c r="DN264" s="59"/>
      <c r="DO264" s="59"/>
      <c r="DP264" s="59"/>
      <c r="DQ264" s="59"/>
      <c r="DR264" s="113"/>
      <c r="DS264" s="113"/>
      <c r="DT264" s="59"/>
      <c r="DU264" s="59"/>
      <c r="DV264" s="59"/>
      <c r="DW264" s="59"/>
      <c r="DX264" s="59"/>
      <c r="DY264" s="59"/>
      <c r="DZ264" s="113"/>
      <c r="EA264" s="113"/>
      <c r="EB264" s="113"/>
      <c r="EC264" s="113"/>
      <c r="ED264" s="113"/>
      <c r="EE264" s="59"/>
      <c r="EF264" s="59"/>
      <c r="EG264" s="59"/>
      <c r="EH264" s="59"/>
      <c r="EI264" s="59"/>
      <c r="EJ264" s="59"/>
      <c r="EK264" s="59"/>
      <c r="EL264" s="59"/>
      <c r="EM264" s="59"/>
      <c r="EN264" s="59"/>
      <c r="EO264" s="59"/>
      <c r="EP264" s="59"/>
      <c r="EQ264" s="5"/>
      <c r="ER264" s="5"/>
      <c r="ES264" s="355">
        <f t="shared" ref="ES264:ES327" si="838">ES263+1</f>
        <v>259</v>
      </c>
      <c r="ET264"/>
      <c r="EU264"/>
      <c r="EV264"/>
      <c r="EW264"/>
      <c r="EX264"/>
      <c r="EY264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</row>
    <row r="265" spans="1:257" s="4" customFormat="1" ht="12.75" customHeight="1" outlineLevel="1">
      <c r="A265" s="15"/>
      <c r="B265" s="14" t="s">
        <v>95</v>
      </c>
      <c r="C265" s="59"/>
      <c r="D265" s="59"/>
      <c r="E265" s="59">
        <f>AK265</f>
        <v>23.835999999999999</v>
      </c>
      <c r="F265" s="59">
        <f t="shared" ref="F265:O268" si="839">INDEX($AH265:$EQ265,1,MATCH(F$4,$AH$4:$EQ$4,0))</f>
        <v>22.645</v>
      </c>
      <c r="G265" s="59">
        <f t="shared" si="839"/>
        <v>25.462</v>
      </c>
      <c r="H265" s="59">
        <f t="shared" si="839"/>
        <v>25.622</v>
      </c>
      <c r="I265" s="62">
        <f t="shared" si="839"/>
        <v>42.642000000000003</v>
      </c>
      <c r="J265" s="62">
        <f t="shared" si="839"/>
        <v>41.850999999999999</v>
      </c>
      <c r="K265" s="62">
        <f t="shared" si="839"/>
        <v>25.704000000000001</v>
      </c>
      <c r="L265" s="62">
        <f t="shared" si="839"/>
        <v>32.279000000000003</v>
      </c>
      <c r="M265" s="62">
        <f t="shared" si="839"/>
        <v>44.814</v>
      </c>
      <c r="N265" s="62">
        <f t="shared" si="839"/>
        <v>41.045000000000002</v>
      </c>
      <c r="O265" s="62">
        <f t="shared" si="839"/>
        <v>29.63</v>
      </c>
      <c r="P265" s="62">
        <f t="shared" ref="P265:Y268" si="840">INDEX($AH265:$EQ265,1,MATCH(P$4,$AH$4:$EQ$4,0))</f>
        <v>28.012</v>
      </c>
      <c r="Q265" s="62">
        <f t="shared" si="840"/>
        <v>44.853999999999999</v>
      </c>
      <c r="R265" s="62">
        <f t="shared" si="840"/>
        <v>138.75</v>
      </c>
      <c r="S265" s="62">
        <f t="shared" si="840"/>
        <v>124.556</v>
      </c>
      <c r="T265" s="62">
        <f t="shared" si="840"/>
        <v>153.851</v>
      </c>
      <c r="U265" s="62">
        <f t="shared" si="840"/>
        <v>70.218000000000004</v>
      </c>
      <c r="V265" s="62">
        <f t="shared" si="840"/>
        <v>80.534000000000006</v>
      </c>
      <c r="W265" s="62">
        <f t="shared" si="840"/>
        <v>103.852</v>
      </c>
      <c r="X265" s="62">
        <f t="shared" si="840"/>
        <v>159.41999999999999</v>
      </c>
      <c r="Y265" s="62">
        <f t="shared" si="840"/>
        <v>144.37899999999999</v>
      </c>
      <c r="Z265" s="62">
        <f t="shared" ref="Z265:AF268" si="841">INDEX($AH265:$EQ265,1,MATCH(Z$4,$AH$4:$EQ$4,0))</f>
        <v>182.03100000000001</v>
      </c>
      <c r="AA265" s="62">
        <f t="shared" si="841"/>
        <v>110.70399999999999</v>
      </c>
      <c r="AB265" s="62">
        <f t="shared" si="841"/>
        <v>95.421999999999997</v>
      </c>
      <c r="AC265" s="62">
        <f t="shared" si="841"/>
        <v>135.62799999999999</v>
      </c>
      <c r="AD265" s="62">
        <f t="shared" si="841"/>
        <v>138.82957189519337</v>
      </c>
      <c r="AE265" s="62">
        <f t="shared" si="841"/>
        <v>151.19033139949246</v>
      </c>
      <c r="AF265" s="62">
        <f t="shared" si="841"/>
        <v>156.69690821866254</v>
      </c>
      <c r="AG265" s="96"/>
      <c r="AH265" s="62"/>
      <c r="AI265" s="62"/>
      <c r="AJ265" s="62"/>
      <c r="AK265" s="61">
        <v>23.835999999999999</v>
      </c>
      <c r="AL265" s="61">
        <v>22.184000000000001</v>
      </c>
      <c r="AM265" s="61">
        <v>25.277999999999999</v>
      </c>
      <c r="AN265" s="61">
        <v>19.184000000000001</v>
      </c>
      <c r="AO265" s="61">
        <v>22.645</v>
      </c>
      <c r="AP265" s="61">
        <v>26.245999999999999</v>
      </c>
      <c r="AQ265" s="61">
        <v>27.798999999999999</v>
      </c>
      <c r="AR265" s="61">
        <v>27.122</v>
      </c>
      <c r="AS265" s="61">
        <v>25.462</v>
      </c>
      <c r="AT265" s="61">
        <v>24.983000000000001</v>
      </c>
      <c r="AU265" s="61">
        <v>25.335999999999999</v>
      </c>
      <c r="AV265" s="61">
        <v>26.718</v>
      </c>
      <c r="AW265" s="61">
        <v>25.622</v>
      </c>
      <c r="AX265" s="61">
        <v>29.544</v>
      </c>
      <c r="AY265" s="61">
        <v>26.716999999999999</v>
      </c>
      <c r="AZ265" s="61">
        <v>28.393000000000001</v>
      </c>
      <c r="BA265" s="61">
        <v>42.642000000000003</v>
      </c>
      <c r="BB265" s="61">
        <v>42.012999999999998</v>
      </c>
      <c r="BC265" s="61">
        <v>40.53</v>
      </c>
      <c r="BD265" s="61">
        <v>41.017000000000003</v>
      </c>
      <c r="BE265" s="61">
        <v>41.850999999999999</v>
      </c>
      <c r="BF265" s="61">
        <v>33.101999999999997</v>
      </c>
      <c r="BG265" s="61">
        <v>26.635000000000002</v>
      </c>
      <c r="BH265" s="61">
        <v>24.504999999999999</v>
      </c>
      <c r="BI265" s="61">
        <v>25.704000000000001</v>
      </c>
      <c r="BJ265" s="61">
        <v>25.777999999999999</v>
      </c>
      <c r="BK265" s="61">
        <v>26.172999999999998</v>
      </c>
      <c r="BL265" s="61">
        <v>27.164999999999999</v>
      </c>
      <c r="BM265" s="61">
        <v>32.279000000000003</v>
      </c>
      <c r="BN265" s="61">
        <v>31.712</v>
      </c>
      <c r="BO265" s="61">
        <v>32.066000000000003</v>
      </c>
      <c r="BP265" s="61">
        <v>47.710999999999999</v>
      </c>
      <c r="BQ265" s="61">
        <v>44.814</v>
      </c>
      <c r="BR265" s="61">
        <v>28.815999999999999</v>
      </c>
      <c r="BS265" s="61">
        <v>29.012</v>
      </c>
      <c r="BT265" s="61">
        <v>29.821999999999999</v>
      </c>
      <c r="BU265" s="110">
        <v>41.045000000000002</v>
      </c>
      <c r="BV265" s="61">
        <v>44.094000000000001</v>
      </c>
      <c r="BW265" s="61">
        <v>40.026000000000003</v>
      </c>
      <c r="BX265" s="61">
        <v>40.06</v>
      </c>
      <c r="BY265" s="61">
        <v>29.63</v>
      </c>
      <c r="BZ265" s="61">
        <v>30.361000000000001</v>
      </c>
      <c r="CA265" s="61">
        <v>22.83</v>
      </c>
      <c r="CB265" s="61">
        <v>24.940999999999999</v>
      </c>
      <c r="CC265" s="61">
        <v>28.012</v>
      </c>
      <c r="CD265" s="61">
        <v>21.689</v>
      </c>
      <c r="CE265" s="61">
        <v>24.5</v>
      </c>
      <c r="CF265" s="61">
        <v>29.248999999999999</v>
      </c>
      <c r="CG265" s="61">
        <v>44.853999999999999</v>
      </c>
      <c r="CH265" s="61">
        <v>45.31</v>
      </c>
      <c r="CI265" s="61">
        <v>65.001999999999995</v>
      </c>
      <c r="CJ265" s="61">
        <v>62.671999999999997</v>
      </c>
      <c r="CK265" s="61">
        <v>138.75</v>
      </c>
      <c r="CL265" s="61">
        <v>116.47199999999999</v>
      </c>
      <c r="CM265" s="61">
        <v>116.61199999999999</v>
      </c>
      <c r="CN265" s="61">
        <v>126.429</v>
      </c>
      <c r="CO265" s="61">
        <v>124.556</v>
      </c>
      <c r="CP265" s="61">
        <v>108.08</v>
      </c>
      <c r="CQ265" s="61">
        <v>110.86499999999999</v>
      </c>
      <c r="CR265" s="61">
        <v>156.559</v>
      </c>
      <c r="CS265" s="61">
        <v>153.851</v>
      </c>
      <c r="CT265" s="61">
        <v>184.87200000000001</v>
      </c>
      <c r="CU265" s="61">
        <v>160.654</v>
      </c>
      <c r="CV265" s="61">
        <v>110.64</v>
      </c>
      <c r="CW265" s="61">
        <v>70.218000000000004</v>
      </c>
      <c r="CX265" s="61">
        <v>58.981000000000002</v>
      </c>
      <c r="CY265" s="61">
        <f>55.994</f>
        <v>55.994</v>
      </c>
      <c r="CZ265" s="61">
        <v>54.137</v>
      </c>
      <c r="DA265" s="61">
        <v>80.534000000000006</v>
      </c>
      <c r="DB265" s="61">
        <v>58.009</v>
      </c>
      <c r="DC265" s="74">
        <v>71.108000000000004</v>
      </c>
      <c r="DD265" s="74">
        <v>74.311999999999998</v>
      </c>
      <c r="DE265" s="74">
        <v>103.852</v>
      </c>
      <c r="DF265" s="74">
        <v>122.232</v>
      </c>
      <c r="DG265" s="74">
        <f>98.007</f>
        <v>98.007000000000005</v>
      </c>
      <c r="DH265" s="74">
        <v>88.855000000000004</v>
      </c>
      <c r="DI265" s="74">
        <v>159.41999999999999</v>
      </c>
      <c r="DJ265" s="74">
        <v>107.553</v>
      </c>
      <c r="DK265" s="74">
        <v>94.653000000000006</v>
      </c>
      <c r="DL265" s="74">
        <v>134.15299999999999</v>
      </c>
      <c r="DM265" s="74">
        <v>144.37899999999999</v>
      </c>
      <c r="DN265" s="74">
        <v>130.49</v>
      </c>
      <c r="DO265" s="74">
        <v>135.30000000000001</v>
      </c>
      <c r="DP265" s="74">
        <v>139.39599999999999</v>
      </c>
      <c r="DQ265" s="74">
        <v>182.03100000000001</v>
      </c>
      <c r="DR265" s="74">
        <v>168.346</v>
      </c>
      <c r="DS265" s="74">
        <v>172.37299999999999</v>
      </c>
      <c r="DT265" s="74">
        <v>128.66999999999999</v>
      </c>
      <c r="DU265" s="74">
        <v>110.70399999999999</v>
      </c>
      <c r="DV265" s="74">
        <f>+(405.48+3.31)*DU265/SUM($DU$265:$DU$268)</f>
        <v>128.84703998542255</v>
      </c>
      <c r="DW265" s="74">
        <v>91.436999999999998</v>
      </c>
      <c r="DX265" s="74">
        <v>92.691999999999993</v>
      </c>
      <c r="DY265" s="74">
        <v>95.421999999999997</v>
      </c>
      <c r="DZ265" s="74">
        <v>111.63800000000001</v>
      </c>
      <c r="EA265" s="74">
        <v>127.116</v>
      </c>
      <c r="EB265" s="74">
        <v>137.20599999999999</v>
      </c>
      <c r="EC265" s="74">
        <v>135.62799999999999</v>
      </c>
      <c r="ED265" s="74">
        <v>126.93600000000001</v>
      </c>
      <c r="EE265" s="59">
        <f t="shared" ref="EE265:EP265" si="842">EE307*(-EE22/EE3)</f>
        <v>130.75956047249369</v>
      </c>
      <c r="EF265" s="59">
        <f t="shared" si="842"/>
        <v>136.09415368670415</v>
      </c>
      <c r="EG265" s="59">
        <f t="shared" si="842"/>
        <v>138.82957189519337</v>
      </c>
      <c r="EH265" s="59">
        <f t="shared" si="842"/>
        <v>141.95489478414001</v>
      </c>
      <c r="EI265" s="59">
        <f t="shared" si="842"/>
        <v>144.97413041696308</v>
      </c>
      <c r="EJ265" s="59">
        <f t="shared" si="842"/>
        <v>148.07955303294423</v>
      </c>
      <c r="EK265" s="59">
        <f t="shared" si="842"/>
        <v>151.19033139949246</v>
      </c>
      <c r="EL265" s="59">
        <f t="shared" si="842"/>
        <v>156.66349554850916</v>
      </c>
      <c r="EM265" s="59">
        <f t="shared" si="842"/>
        <v>156.92441094663766</v>
      </c>
      <c r="EN265" s="59">
        <f t="shared" si="842"/>
        <v>156.9356708007233</v>
      </c>
      <c r="EO265" s="59">
        <f t="shared" si="842"/>
        <v>156.69690821866254</v>
      </c>
      <c r="EP265" s="59">
        <f t="shared" si="842"/>
        <v>156.70815733611019</v>
      </c>
      <c r="EQ265" s="5"/>
      <c r="ER265" s="5"/>
      <c r="ES265" s="355">
        <f t="shared" si="838"/>
        <v>260</v>
      </c>
      <c r="ET265"/>
      <c r="EU265"/>
      <c r="EV265"/>
      <c r="EW265"/>
      <c r="EX265"/>
      <c r="EY265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</row>
    <row r="266" spans="1:257" s="4" customFormat="1" ht="12.75" customHeight="1" outlineLevel="1">
      <c r="A266" s="15"/>
      <c r="B266" s="14" t="s">
        <v>94</v>
      </c>
      <c r="C266" s="59"/>
      <c r="D266" s="59"/>
      <c r="E266" s="59">
        <f>AK266</f>
        <v>16.899000000000001</v>
      </c>
      <c r="F266" s="59">
        <f t="shared" si="839"/>
        <v>24.056000000000001</v>
      </c>
      <c r="G266" s="59">
        <f t="shared" si="839"/>
        <v>20.158999999999999</v>
      </c>
      <c r="H266" s="59">
        <f t="shared" si="839"/>
        <v>31.943000000000001</v>
      </c>
      <c r="I266" s="62">
        <f t="shared" si="839"/>
        <v>47.524999999999999</v>
      </c>
      <c r="J266" s="62">
        <f t="shared" si="839"/>
        <v>38.832999999999998</v>
      </c>
      <c r="K266" s="62">
        <f t="shared" si="839"/>
        <v>41.2</v>
      </c>
      <c r="L266" s="62">
        <f t="shared" si="839"/>
        <v>46.615000000000002</v>
      </c>
      <c r="M266" s="62">
        <f t="shared" si="839"/>
        <v>31.606000000000002</v>
      </c>
      <c r="N266" s="62">
        <f t="shared" si="839"/>
        <v>31.853999999999999</v>
      </c>
      <c r="O266" s="62">
        <f t="shared" si="839"/>
        <v>28.988</v>
      </c>
      <c r="P266" s="62">
        <f t="shared" si="840"/>
        <v>31.890999999999998</v>
      </c>
      <c r="Q266" s="62">
        <f t="shared" si="840"/>
        <v>44.627000000000002</v>
      </c>
      <c r="R266" s="62">
        <f t="shared" si="840"/>
        <v>97.076999999999998</v>
      </c>
      <c r="S266" s="62">
        <f t="shared" si="840"/>
        <v>102.056</v>
      </c>
      <c r="T266" s="62">
        <f t="shared" si="840"/>
        <v>128.37299999999999</v>
      </c>
      <c r="U266" s="62">
        <f t="shared" si="840"/>
        <v>126.688</v>
      </c>
      <c r="V266" s="62">
        <f t="shared" si="840"/>
        <v>144.11199999999999</v>
      </c>
      <c r="W266" s="62">
        <f t="shared" si="840"/>
        <v>192.898</v>
      </c>
      <c r="X266" s="62">
        <f t="shared" si="840"/>
        <v>176.61500000000001</v>
      </c>
      <c r="Y266" s="62">
        <f t="shared" si="840"/>
        <v>189.684</v>
      </c>
      <c r="Z266" s="62">
        <f t="shared" si="841"/>
        <v>282.27800000000002</v>
      </c>
      <c r="AA266" s="62">
        <f t="shared" si="841"/>
        <v>198.053</v>
      </c>
      <c r="AB266" s="62">
        <f t="shared" si="841"/>
        <v>234.63900000000001</v>
      </c>
      <c r="AC266" s="62">
        <f t="shared" si="841"/>
        <v>208.68299999999999</v>
      </c>
      <c r="AD266" s="62">
        <f t="shared" si="841"/>
        <v>256.93255019403983</v>
      </c>
      <c r="AE266" s="62">
        <f t="shared" si="841"/>
        <v>291.55527158666564</v>
      </c>
      <c r="AF266" s="62">
        <f t="shared" si="841"/>
        <v>299.69081545965355</v>
      </c>
      <c r="AG266" s="96"/>
      <c r="AH266" s="62"/>
      <c r="AI266" s="62"/>
      <c r="AJ266" s="62"/>
      <c r="AK266" s="61">
        <v>16.899000000000001</v>
      </c>
      <c r="AL266" s="61">
        <v>20.48</v>
      </c>
      <c r="AM266" s="61">
        <v>20.25</v>
      </c>
      <c r="AN266" s="61">
        <v>21.137</v>
      </c>
      <c r="AO266" s="61">
        <v>24.056000000000001</v>
      </c>
      <c r="AP266" s="61">
        <v>18.928999999999998</v>
      </c>
      <c r="AQ266" s="61">
        <v>17.539000000000001</v>
      </c>
      <c r="AR266" s="61">
        <v>22.556000000000001</v>
      </c>
      <c r="AS266" s="61">
        <v>20.158999999999999</v>
      </c>
      <c r="AT266" s="61">
        <v>24.663</v>
      </c>
      <c r="AU266" s="61">
        <v>32.654000000000003</v>
      </c>
      <c r="AV266" s="61">
        <v>23.745999999999999</v>
      </c>
      <c r="AW266" s="61">
        <v>31.943000000000001</v>
      </c>
      <c r="AX266" s="61">
        <v>39.295999999999999</v>
      </c>
      <c r="AY266" s="61">
        <v>36.86</v>
      </c>
      <c r="AZ266" s="61">
        <v>33.146000000000001</v>
      </c>
      <c r="BA266" s="61">
        <v>47.524999999999999</v>
      </c>
      <c r="BB266" s="61">
        <v>55.033000000000001</v>
      </c>
      <c r="BC266" s="61">
        <v>39.457999999999998</v>
      </c>
      <c r="BD266" s="61">
        <v>46.953000000000003</v>
      </c>
      <c r="BE266" s="61">
        <v>38.832999999999998</v>
      </c>
      <c r="BF266" s="61">
        <v>40.603000000000002</v>
      </c>
      <c r="BG266" s="61">
        <v>38.231999999999999</v>
      </c>
      <c r="BH266" s="61">
        <v>35.057000000000002</v>
      </c>
      <c r="BI266" s="61">
        <v>41.2</v>
      </c>
      <c r="BJ266" s="61">
        <v>43.985999999999997</v>
      </c>
      <c r="BK266" s="61">
        <v>40.058</v>
      </c>
      <c r="BL266" s="61">
        <v>38.555</v>
      </c>
      <c r="BM266" s="61">
        <v>46.615000000000002</v>
      </c>
      <c r="BN266" s="61">
        <v>62.152999999999999</v>
      </c>
      <c r="BO266" s="61">
        <v>49.207999999999998</v>
      </c>
      <c r="BP266" s="61">
        <v>62.904000000000003</v>
      </c>
      <c r="BQ266" s="61">
        <v>31.606000000000002</v>
      </c>
      <c r="BR266" s="61">
        <v>51.021000000000001</v>
      </c>
      <c r="BS266" s="61">
        <v>47.067999999999998</v>
      </c>
      <c r="BT266" s="61">
        <v>54.131</v>
      </c>
      <c r="BU266" s="110">
        <v>31.853999999999999</v>
      </c>
      <c r="BV266" s="61">
        <v>32.332000000000001</v>
      </c>
      <c r="BW266" s="61">
        <v>30.709</v>
      </c>
      <c r="BX266" s="61">
        <v>32.999000000000002</v>
      </c>
      <c r="BY266" s="61">
        <v>28.988</v>
      </c>
      <c r="BZ266" s="61">
        <v>28.11</v>
      </c>
      <c r="CA266" s="61">
        <v>28.202999999999999</v>
      </c>
      <c r="CB266" s="61">
        <v>26.843</v>
      </c>
      <c r="CC266" s="61">
        <v>31.890999999999998</v>
      </c>
      <c r="CD266" s="61">
        <v>36.652999999999999</v>
      </c>
      <c r="CE266" s="61">
        <v>31.221</v>
      </c>
      <c r="CF266" s="61">
        <v>35.956000000000003</v>
      </c>
      <c r="CG266" s="61">
        <v>44.627000000000002</v>
      </c>
      <c r="CH266" s="61">
        <v>70.917000000000002</v>
      </c>
      <c r="CI266" s="61">
        <v>50.610999999999997</v>
      </c>
      <c r="CJ266" s="61">
        <v>71.364000000000004</v>
      </c>
      <c r="CK266" s="61">
        <v>97.076999999999998</v>
      </c>
      <c r="CL266" s="61">
        <v>140.73500000000001</v>
      </c>
      <c r="CM266" s="61">
        <v>106.12</v>
      </c>
      <c r="CN266" s="61">
        <v>102.581</v>
      </c>
      <c r="CO266" s="61">
        <v>102.056</v>
      </c>
      <c r="CP266" s="61">
        <v>123.119</v>
      </c>
      <c r="CQ266" s="61">
        <v>100.131</v>
      </c>
      <c r="CR266" s="61">
        <v>113.29</v>
      </c>
      <c r="CS266" s="61">
        <v>128.37299999999999</v>
      </c>
      <c r="CT266" s="61">
        <v>150.20099999999999</v>
      </c>
      <c r="CU266" s="61">
        <v>137.916</v>
      </c>
      <c r="CV266" s="61">
        <v>118.152</v>
      </c>
      <c r="CW266" s="61">
        <v>126.688</v>
      </c>
      <c r="CX266" s="61">
        <v>156.36600000000001</v>
      </c>
      <c r="CY266" s="61">
        <v>126.93899999999999</v>
      </c>
      <c r="CZ266" s="61">
        <f>149.153+7.688</f>
        <v>156.84099999999998</v>
      </c>
      <c r="DA266" s="61">
        <v>144.11199999999999</v>
      </c>
      <c r="DB266" s="61">
        <v>147.893</v>
      </c>
      <c r="DC266" s="74">
        <v>138.75800000000001</v>
      </c>
      <c r="DD266" s="74">
        <v>182.42699999999999</v>
      </c>
      <c r="DE266" s="74">
        <v>192.898</v>
      </c>
      <c r="DF266" s="74">
        <v>186.446</v>
      </c>
      <c r="DG266" s="74">
        <v>167.51900000000001</v>
      </c>
      <c r="DH266" s="74">
        <v>204.578</v>
      </c>
      <c r="DI266" s="74">
        <v>176.61500000000001</v>
      </c>
      <c r="DJ266" s="74">
        <v>274.47500000000002</v>
      </c>
      <c r="DK266" s="74">
        <v>166.23699999999999</v>
      </c>
      <c r="DL266" s="74">
        <v>254.732</v>
      </c>
      <c r="DM266" s="74">
        <v>189.684</v>
      </c>
      <c r="DN266" s="74">
        <v>229.99799999999999</v>
      </c>
      <c r="DO266" s="74">
        <v>184.84700000000001</v>
      </c>
      <c r="DP266" s="74">
        <v>244.53899999999999</v>
      </c>
      <c r="DQ266" s="74">
        <v>282.27800000000002</v>
      </c>
      <c r="DR266" s="74">
        <v>234.93199999999999</v>
      </c>
      <c r="DS266" s="74">
        <v>176.256</v>
      </c>
      <c r="DT266" s="74">
        <v>175.28200000000001</v>
      </c>
      <c r="DU266" s="74">
        <v>198.053</v>
      </c>
      <c r="DV266" s="74">
        <f>+(405.48+3.31)*DU266/SUM($DU$265:$DU$268)</f>
        <v>230.51147935244344</v>
      </c>
      <c r="DW266" s="74">
        <v>240.66499999999999</v>
      </c>
      <c r="DX266" s="74">
        <v>194.64500000000001</v>
      </c>
      <c r="DY266" s="74">
        <v>234.63900000000001</v>
      </c>
      <c r="DZ266" s="74">
        <v>174.92</v>
      </c>
      <c r="EA266" s="74">
        <v>174.261</v>
      </c>
      <c r="EB266" s="74">
        <v>196.643</v>
      </c>
      <c r="EC266" s="74">
        <v>208.68299999999999</v>
      </c>
      <c r="ED266" s="74">
        <v>228.732</v>
      </c>
      <c r="EE266" s="59">
        <f t="shared" ref="EE266:EP266" si="843">EE15*EE309</f>
        <v>227.00103759195372</v>
      </c>
      <c r="EF266" s="59">
        <f t="shared" si="843"/>
        <v>241.50761291569171</v>
      </c>
      <c r="EG266" s="59">
        <f t="shared" si="843"/>
        <v>256.93255019403983</v>
      </c>
      <c r="EH266" s="59">
        <f t="shared" si="843"/>
        <v>267.6315231005475</v>
      </c>
      <c r="EI266" s="59">
        <f t="shared" si="843"/>
        <v>273.57395740390297</v>
      </c>
      <c r="EJ266" s="59">
        <f t="shared" si="843"/>
        <v>282.81902016661377</v>
      </c>
      <c r="EK266" s="59">
        <f t="shared" si="843"/>
        <v>291.55527158666564</v>
      </c>
      <c r="EL266" s="59">
        <f t="shared" si="843"/>
        <v>302.66985746414611</v>
      </c>
      <c r="EM266" s="59">
        <f t="shared" si="843"/>
        <v>298.72630863534727</v>
      </c>
      <c r="EN266" s="59">
        <f t="shared" si="843"/>
        <v>297.74432637156065</v>
      </c>
      <c r="EO266" s="59">
        <f t="shared" si="843"/>
        <v>299.69081545965355</v>
      </c>
      <c r="EP266" s="59">
        <f t="shared" si="843"/>
        <v>298.69802104853522</v>
      </c>
      <c r="EQ266" s="5"/>
      <c r="ER266" s="5"/>
      <c r="ES266" s="355">
        <f t="shared" si="838"/>
        <v>261</v>
      </c>
      <c r="ET266"/>
      <c r="EU266"/>
      <c r="EV266"/>
      <c r="EW266"/>
      <c r="EX266"/>
      <c r="EY266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</row>
    <row r="267" spans="1:257" s="4" customFormat="1" ht="12.75" customHeight="1" outlineLevel="1">
      <c r="A267" s="15"/>
      <c r="B267" s="14" t="s">
        <v>93</v>
      </c>
      <c r="C267" s="59"/>
      <c r="D267" s="59"/>
      <c r="E267" s="59">
        <f>AK267</f>
        <v>0</v>
      </c>
      <c r="F267" s="59">
        <f t="shared" si="839"/>
        <v>0</v>
      </c>
      <c r="G267" s="59">
        <f t="shared" si="839"/>
        <v>21.7</v>
      </c>
      <c r="H267" s="59">
        <f t="shared" si="839"/>
        <v>5</v>
      </c>
      <c r="I267" s="62">
        <f t="shared" si="839"/>
        <v>5</v>
      </c>
      <c r="J267" s="62">
        <f t="shared" si="839"/>
        <v>44.8</v>
      </c>
      <c r="K267" s="62">
        <f t="shared" si="839"/>
        <v>5</v>
      </c>
      <c r="L267" s="62">
        <f t="shared" si="839"/>
        <v>0</v>
      </c>
      <c r="M267" s="62">
        <f t="shared" si="839"/>
        <v>0</v>
      </c>
      <c r="N267" s="62">
        <f t="shared" si="839"/>
        <v>0</v>
      </c>
      <c r="O267" s="62">
        <f t="shared" si="839"/>
        <v>30</v>
      </c>
      <c r="P267" s="62">
        <f t="shared" si="840"/>
        <v>0</v>
      </c>
      <c r="Q267" s="62">
        <f t="shared" si="840"/>
        <v>0</v>
      </c>
      <c r="R267" s="62">
        <f t="shared" si="840"/>
        <v>3.7210000000000001</v>
      </c>
      <c r="S267" s="62">
        <f t="shared" si="840"/>
        <v>0</v>
      </c>
      <c r="T267" s="62">
        <f t="shared" si="840"/>
        <v>1.7330000000000001</v>
      </c>
      <c r="U267" s="62">
        <f t="shared" si="840"/>
        <v>0</v>
      </c>
      <c r="V267" s="62">
        <f t="shared" si="840"/>
        <v>0</v>
      </c>
      <c r="W267" s="62">
        <f t="shared" si="840"/>
        <v>0</v>
      </c>
      <c r="X267" s="62">
        <f t="shared" si="840"/>
        <v>0</v>
      </c>
      <c r="Y267" s="62">
        <f t="shared" si="840"/>
        <v>0</v>
      </c>
      <c r="Z267" s="62">
        <f t="shared" si="841"/>
        <v>0</v>
      </c>
      <c r="AA267" s="62">
        <f t="shared" si="841"/>
        <v>0</v>
      </c>
      <c r="AB267" s="62">
        <f t="shared" si="841"/>
        <v>0</v>
      </c>
      <c r="AC267" s="62">
        <f t="shared" si="841"/>
        <v>0</v>
      </c>
      <c r="AD267" s="62">
        <f t="shared" si="841"/>
        <v>0</v>
      </c>
      <c r="AE267" s="62">
        <f t="shared" si="841"/>
        <v>0</v>
      </c>
      <c r="AF267" s="62">
        <f t="shared" si="841"/>
        <v>0</v>
      </c>
      <c r="AG267" s="96"/>
      <c r="AH267" s="62"/>
      <c r="AI267" s="62"/>
      <c r="AJ267" s="62"/>
      <c r="AK267" s="57">
        <v>0</v>
      </c>
      <c r="AL267" s="57">
        <v>0</v>
      </c>
      <c r="AM267" s="57">
        <v>0</v>
      </c>
      <c r="AN267" s="57">
        <v>0</v>
      </c>
      <c r="AO267" s="57">
        <v>0</v>
      </c>
      <c r="AP267" s="57">
        <v>0</v>
      </c>
      <c r="AQ267" s="61">
        <v>0</v>
      </c>
      <c r="AR267" s="61">
        <v>20.2</v>
      </c>
      <c r="AS267" s="61">
        <v>21.7</v>
      </c>
      <c r="AT267" s="61">
        <v>23.7</v>
      </c>
      <c r="AU267" s="61">
        <v>2</v>
      </c>
      <c r="AV267" s="61">
        <v>6</v>
      </c>
      <c r="AW267" s="61">
        <v>5</v>
      </c>
      <c r="AX267" s="61">
        <v>15</v>
      </c>
      <c r="AY267" s="61">
        <v>3</v>
      </c>
      <c r="AZ267" s="61">
        <v>4</v>
      </c>
      <c r="BA267" s="61">
        <v>5</v>
      </c>
      <c r="BB267" s="61">
        <v>15</v>
      </c>
      <c r="BC267" s="61">
        <v>28</v>
      </c>
      <c r="BD267" s="61">
        <v>29</v>
      </c>
      <c r="BE267" s="61">
        <v>44.8</v>
      </c>
      <c r="BF267" s="61">
        <v>73.5</v>
      </c>
      <c r="BG267" s="61">
        <v>59.5</v>
      </c>
      <c r="BH267" s="61">
        <v>36</v>
      </c>
      <c r="BI267" s="61">
        <v>5</v>
      </c>
      <c r="BJ267" s="61">
        <v>0</v>
      </c>
      <c r="BK267" s="61">
        <v>0</v>
      </c>
      <c r="BL267" s="61">
        <v>0</v>
      </c>
      <c r="BM267" s="61">
        <v>0</v>
      </c>
      <c r="BN267" s="61">
        <v>0</v>
      </c>
      <c r="BO267" s="61">
        <v>0</v>
      </c>
      <c r="BP267" s="61">
        <v>0</v>
      </c>
      <c r="BQ267" s="61">
        <v>0</v>
      </c>
      <c r="BR267" s="61">
        <v>0</v>
      </c>
      <c r="BS267" s="61">
        <v>0</v>
      </c>
      <c r="BT267" s="61">
        <v>0</v>
      </c>
      <c r="BU267" s="61">
        <v>0</v>
      </c>
      <c r="BV267" s="61">
        <v>0</v>
      </c>
      <c r="BW267" s="61">
        <v>0</v>
      </c>
      <c r="BX267" s="61">
        <v>10</v>
      </c>
      <c r="BY267" s="61">
        <v>30</v>
      </c>
      <c r="BZ267" s="61">
        <v>30</v>
      </c>
      <c r="CA267" s="61">
        <v>25</v>
      </c>
      <c r="CB267" s="61">
        <v>3</v>
      </c>
      <c r="CC267" s="61">
        <v>0</v>
      </c>
      <c r="CD267" s="61">
        <v>0</v>
      </c>
      <c r="CE267" s="61">
        <v>0</v>
      </c>
      <c r="CF267" s="61">
        <v>0.379</v>
      </c>
      <c r="CG267" s="61">
        <v>0</v>
      </c>
      <c r="CH267" s="61">
        <v>0</v>
      </c>
      <c r="CI267" s="61">
        <v>0</v>
      </c>
      <c r="CJ267" s="61">
        <v>2.3260000000000001</v>
      </c>
      <c r="CK267" s="61">
        <v>3.7210000000000001</v>
      </c>
      <c r="CL267" s="61">
        <v>13.721</v>
      </c>
      <c r="CM267" s="61">
        <v>0</v>
      </c>
      <c r="CN267" s="61">
        <v>0</v>
      </c>
      <c r="CO267" s="61">
        <v>0</v>
      </c>
      <c r="CP267" s="61">
        <v>0</v>
      </c>
      <c r="CQ267" s="61">
        <v>0</v>
      </c>
      <c r="CR267" s="61">
        <v>2.2589999999999999</v>
      </c>
      <c r="CS267" s="61">
        <v>1.7330000000000001</v>
      </c>
      <c r="CT267" s="61">
        <v>0</v>
      </c>
      <c r="CU267" s="61">
        <v>0</v>
      </c>
      <c r="CV267" s="61">
        <f t="shared" ref="CV267:DB267" si="844">CU267</f>
        <v>0</v>
      </c>
      <c r="CW267" s="61">
        <f t="shared" si="844"/>
        <v>0</v>
      </c>
      <c r="CX267" s="61">
        <f t="shared" si="844"/>
        <v>0</v>
      </c>
      <c r="CY267" s="61">
        <f t="shared" si="844"/>
        <v>0</v>
      </c>
      <c r="CZ267" s="61">
        <f t="shared" si="844"/>
        <v>0</v>
      </c>
      <c r="DA267" s="61">
        <f t="shared" si="844"/>
        <v>0</v>
      </c>
      <c r="DB267" s="61">
        <f t="shared" si="844"/>
        <v>0</v>
      </c>
      <c r="DC267" s="74">
        <v>0</v>
      </c>
      <c r="DD267" s="74">
        <v>0</v>
      </c>
      <c r="DE267" s="74">
        <v>0</v>
      </c>
      <c r="DF267" s="74">
        <f>DE267</f>
        <v>0</v>
      </c>
      <c r="DG267" s="74">
        <f>DF267</f>
        <v>0</v>
      </c>
      <c r="DH267" s="74">
        <f>DG267</f>
        <v>0</v>
      </c>
      <c r="DI267" s="74">
        <v>0</v>
      </c>
      <c r="DJ267" s="74">
        <v>0</v>
      </c>
      <c r="DK267" s="74">
        <v>0</v>
      </c>
      <c r="DL267" s="74">
        <v>0</v>
      </c>
      <c r="DM267" s="74">
        <v>0</v>
      </c>
      <c r="DN267" s="74">
        <v>0</v>
      </c>
      <c r="DO267" s="74">
        <v>0</v>
      </c>
      <c r="DP267" s="74">
        <v>0</v>
      </c>
      <c r="DQ267" s="74">
        <v>0</v>
      </c>
      <c r="DR267" s="74">
        <f>(444.28+3.176)*(DQ267/$DQ$269)</f>
        <v>0</v>
      </c>
      <c r="DS267" s="74">
        <f>DR267</f>
        <v>0</v>
      </c>
      <c r="DT267" s="74">
        <v>0</v>
      </c>
      <c r="DU267" s="74">
        <f>+(347.851+3.377)*DT267/SUM($DT$265:$DT$268)</f>
        <v>0</v>
      </c>
      <c r="DV267" s="74">
        <f>+(405.48+3.31)*DU267/SUM($DU$265:$DU$268)</f>
        <v>0</v>
      </c>
      <c r="DW267" s="74">
        <f>371.246*DV267/SUM($DV$265:$DV$268)</f>
        <v>0</v>
      </c>
      <c r="DX267" s="74">
        <f>371.246*DW267/SUM($DV$265:$DV$268)</f>
        <v>0</v>
      </c>
      <c r="DY267" s="74">
        <f>+(330.061+0.059)*DX267/SUM($DX$265:$DX$268)</f>
        <v>0</v>
      </c>
      <c r="DZ267" s="74">
        <f>+(286.558+0.07)*DY267/SUM($DY$265:$DY$268)</f>
        <v>0</v>
      </c>
      <c r="EA267" s="74">
        <f>+(301.377+0.04)*DZ267/SUM(DZ$265:DZ$268)</f>
        <v>0</v>
      </c>
      <c r="EB267" s="74">
        <f t="shared" ref="EB267" si="845">+(333.849+0.08)*EA267/SUM(EA$265:EA$268)</f>
        <v>0</v>
      </c>
      <c r="EC267" s="74">
        <f t="shared" ref="EC267" si="846">(344.311+0.074)*EB267/SUM($EB$265:$EB$268)</f>
        <v>0</v>
      </c>
      <c r="ED267" s="74">
        <f t="shared" ref="ED267:EP267" si="847">EC267</f>
        <v>0</v>
      </c>
      <c r="EE267" s="112">
        <f t="shared" si="847"/>
        <v>0</v>
      </c>
      <c r="EF267" s="112">
        <f t="shared" si="847"/>
        <v>0</v>
      </c>
      <c r="EG267" s="112">
        <f t="shared" si="847"/>
        <v>0</v>
      </c>
      <c r="EH267" s="112">
        <f t="shared" si="847"/>
        <v>0</v>
      </c>
      <c r="EI267" s="112">
        <f t="shared" si="847"/>
        <v>0</v>
      </c>
      <c r="EJ267" s="112">
        <f t="shared" si="847"/>
        <v>0</v>
      </c>
      <c r="EK267" s="112">
        <f t="shared" si="847"/>
        <v>0</v>
      </c>
      <c r="EL267" s="112">
        <f t="shared" si="847"/>
        <v>0</v>
      </c>
      <c r="EM267" s="112">
        <f t="shared" si="847"/>
        <v>0</v>
      </c>
      <c r="EN267" s="112">
        <f t="shared" si="847"/>
        <v>0</v>
      </c>
      <c r="EO267" s="112">
        <f t="shared" si="847"/>
        <v>0</v>
      </c>
      <c r="EP267" s="112">
        <f t="shared" si="847"/>
        <v>0</v>
      </c>
      <c r="EQ267" s="5"/>
      <c r="ER267" s="5"/>
      <c r="ES267" s="355">
        <f t="shared" si="838"/>
        <v>262</v>
      </c>
      <c r="ET267"/>
      <c r="EU267"/>
      <c r="EV267"/>
      <c r="EW267"/>
      <c r="EX267"/>
      <c r="EY267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</row>
    <row r="268" spans="1:257" s="4" customFormat="1" ht="12.75" customHeight="1" outlineLevel="1">
      <c r="A268" s="15"/>
      <c r="B268" s="14" t="s">
        <v>92</v>
      </c>
      <c r="C268" s="12"/>
      <c r="D268" s="12"/>
      <c r="E268" s="12">
        <f>AK268</f>
        <v>5.6790000000000003</v>
      </c>
      <c r="F268" s="12">
        <f t="shared" si="839"/>
        <v>0</v>
      </c>
      <c r="G268" s="12">
        <f t="shared" si="839"/>
        <v>0</v>
      </c>
      <c r="H268" s="12">
        <f t="shared" si="839"/>
        <v>0</v>
      </c>
      <c r="I268" s="18">
        <f t="shared" si="839"/>
        <v>0</v>
      </c>
      <c r="J268" s="18">
        <f t="shared" si="839"/>
        <v>0</v>
      </c>
      <c r="K268" s="18">
        <f t="shared" si="839"/>
        <v>0</v>
      </c>
      <c r="L268" s="18">
        <f t="shared" si="839"/>
        <v>0</v>
      </c>
      <c r="M268" s="18">
        <f t="shared" si="839"/>
        <v>0</v>
      </c>
      <c r="N268" s="18">
        <f t="shared" si="839"/>
        <v>0</v>
      </c>
      <c r="O268" s="18">
        <f t="shared" si="839"/>
        <v>0</v>
      </c>
      <c r="P268" s="18">
        <f t="shared" si="840"/>
        <v>0</v>
      </c>
      <c r="Q268" s="18">
        <f t="shared" si="840"/>
        <v>0</v>
      </c>
      <c r="R268" s="18">
        <f t="shared" si="840"/>
        <v>25</v>
      </c>
      <c r="S268" s="18">
        <f t="shared" si="840"/>
        <v>0</v>
      </c>
      <c r="T268" s="18">
        <f t="shared" si="840"/>
        <v>25</v>
      </c>
      <c r="U268" s="18">
        <f t="shared" si="840"/>
        <v>105</v>
      </c>
      <c r="V268" s="18">
        <f t="shared" si="840"/>
        <v>7.992</v>
      </c>
      <c r="W268" s="18">
        <f t="shared" si="840"/>
        <v>119.979</v>
      </c>
      <c r="X268" s="18">
        <f t="shared" si="840"/>
        <v>45.128999999999998</v>
      </c>
      <c r="Y268" s="18">
        <f t="shared" si="840"/>
        <v>118.21</v>
      </c>
      <c r="Z268" s="18">
        <f t="shared" si="841"/>
        <v>43.216999999999999</v>
      </c>
      <c r="AA268" s="18">
        <f t="shared" si="841"/>
        <v>42.471000000000004</v>
      </c>
      <c r="AB268" s="18">
        <f t="shared" si="841"/>
        <v>3.9490000000000003</v>
      </c>
      <c r="AC268" s="18">
        <f t="shared" si="841"/>
        <v>7.3999999999999996E-2</v>
      </c>
      <c r="AD268" s="18">
        <f t="shared" si="841"/>
        <v>9.4E-2</v>
      </c>
      <c r="AE268" s="18">
        <f t="shared" si="841"/>
        <v>9.4E-2</v>
      </c>
      <c r="AF268" s="18">
        <f t="shared" si="841"/>
        <v>9.4E-2</v>
      </c>
      <c r="AG268" s="96"/>
      <c r="AH268" s="18"/>
      <c r="AI268" s="18"/>
      <c r="AJ268" s="18"/>
      <c r="AK268" s="57">
        <v>5.6790000000000003</v>
      </c>
      <c r="AL268" s="57">
        <v>1.714</v>
      </c>
      <c r="AM268" s="57">
        <v>1.2190000000000001</v>
      </c>
      <c r="AN268" s="57">
        <v>1.492</v>
      </c>
      <c r="AO268" s="57">
        <v>0</v>
      </c>
      <c r="AP268" s="57">
        <v>0</v>
      </c>
      <c r="AQ268" s="57">
        <v>0</v>
      </c>
      <c r="AR268" s="57">
        <v>0</v>
      </c>
      <c r="AS268" s="57"/>
      <c r="AT268" s="57">
        <v>0</v>
      </c>
      <c r="AU268" s="57">
        <v>0</v>
      </c>
      <c r="AV268" s="57">
        <f>10.454</f>
        <v>10.454000000000001</v>
      </c>
      <c r="AW268" s="57">
        <v>0</v>
      </c>
      <c r="AX268" s="57">
        <v>0</v>
      </c>
      <c r="AY268" s="57">
        <v>0</v>
      </c>
      <c r="AZ268" s="57">
        <v>0</v>
      </c>
      <c r="BA268" s="57">
        <v>0</v>
      </c>
      <c r="BB268" s="57">
        <v>0</v>
      </c>
      <c r="BC268" s="57">
        <v>0</v>
      </c>
      <c r="BD268" s="57">
        <v>0</v>
      </c>
      <c r="BE268" s="57">
        <v>0</v>
      </c>
      <c r="BF268" s="57">
        <v>0</v>
      </c>
      <c r="BG268" s="57">
        <v>0</v>
      </c>
      <c r="BH268" s="57">
        <v>0</v>
      </c>
      <c r="BI268" s="57">
        <v>0</v>
      </c>
      <c r="BJ268" s="57">
        <v>0</v>
      </c>
      <c r="BK268" s="57">
        <v>0</v>
      </c>
      <c r="BL268" s="57">
        <v>0</v>
      </c>
      <c r="BM268" s="57">
        <v>0</v>
      </c>
      <c r="BN268" s="57">
        <v>0</v>
      </c>
      <c r="BO268" s="57">
        <v>0</v>
      </c>
      <c r="BP268" s="57">
        <v>0</v>
      </c>
      <c r="BQ268" s="57">
        <v>0</v>
      </c>
      <c r="BR268" s="57">
        <v>0</v>
      </c>
      <c r="BS268" s="57">
        <v>0</v>
      </c>
      <c r="BT268" s="57">
        <v>0</v>
      </c>
      <c r="BU268" s="57">
        <v>0</v>
      </c>
      <c r="BV268" s="57">
        <v>0</v>
      </c>
      <c r="BW268" s="57">
        <v>0</v>
      </c>
      <c r="BX268" s="57">
        <v>0</v>
      </c>
      <c r="BY268" s="57">
        <v>0</v>
      </c>
      <c r="BZ268" s="57">
        <v>0</v>
      </c>
      <c r="CA268" s="57">
        <v>0</v>
      </c>
      <c r="CB268" s="57">
        <v>0</v>
      </c>
      <c r="CC268" s="57">
        <v>0</v>
      </c>
      <c r="CD268" s="57">
        <v>0</v>
      </c>
      <c r="CE268" s="57">
        <v>0</v>
      </c>
      <c r="CF268" s="57">
        <v>0</v>
      </c>
      <c r="CG268" s="57">
        <v>0</v>
      </c>
      <c r="CH268" s="57">
        <v>0</v>
      </c>
      <c r="CI268" s="57">
        <v>0</v>
      </c>
      <c r="CJ268" s="57">
        <v>0</v>
      </c>
      <c r="CK268" s="57">
        <v>25</v>
      </c>
      <c r="CL268" s="57">
        <v>25</v>
      </c>
      <c r="CM268" s="57">
        <v>25</v>
      </c>
      <c r="CN268" s="57">
        <v>25</v>
      </c>
      <c r="CO268" s="57">
        <v>0</v>
      </c>
      <c r="CP268" s="57">
        <v>0</v>
      </c>
      <c r="CQ268" s="57">
        <v>0</v>
      </c>
      <c r="CR268" s="57">
        <v>0</v>
      </c>
      <c r="CS268" s="57">
        <v>25</v>
      </c>
      <c r="CT268" s="57">
        <v>25</v>
      </c>
      <c r="CU268" s="57">
        <f>105+25</f>
        <v>130</v>
      </c>
      <c r="CV268" s="57">
        <f>105+25</f>
        <v>130</v>
      </c>
      <c r="CW268" s="57">
        <v>105</v>
      </c>
      <c r="CX268" s="57">
        <v>105</v>
      </c>
      <c r="CY268" s="57">
        <v>0</v>
      </c>
      <c r="CZ268" s="57">
        <v>0</v>
      </c>
      <c r="DA268" s="57">
        <v>7.992</v>
      </c>
      <c r="DB268" s="57">
        <v>5.9180000000000001</v>
      </c>
      <c r="DC268" s="57">
        <v>5.8819999999999997</v>
      </c>
      <c r="DD268" s="57">
        <v>5.17</v>
      </c>
      <c r="DE268" s="106">
        <f>115+4.979</f>
        <v>119.979</v>
      </c>
      <c r="DF268" s="106">
        <f>115+5.171</f>
        <v>120.17100000000001</v>
      </c>
      <c r="DG268" s="106">
        <f>115+5.198</f>
        <v>120.19800000000001</v>
      </c>
      <c r="DH268" s="106">
        <f>115+5.156</f>
        <v>120.15600000000001</v>
      </c>
      <c r="DI268" s="106">
        <f>40+5.129</f>
        <v>45.128999999999998</v>
      </c>
      <c r="DJ268" s="106">
        <f>40+5.205</f>
        <v>45.204999999999998</v>
      </c>
      <c r="DK268" s="106">
        <f>40+3.647</f>
        <v>43.646999999999998</v>
      </c>
      <c r="DL268" s="106">
        <f>40+3.969</f>
        <v>43.969000000000001</v>
      </c>
      <c r="DM268" s="106">
        <f>115+3.21</f>
        <v>118.21</v>
      </c>
      <c r="DN268" s="106">
        <f>115+3.249</f>
        <v>118.249</v>
      </c>
      <c r="DO268" s="106">
        <f>115+3.341</f>
        <v>118.34099999999999</v>
      </c>
      <c r="DP268" s="106">
        <f>115+3.176</f>
        <v>118.176</v>
      </c>
      <c r="DQ268" s="106">
        <f>40+3.217</f>
        <v>43.216999999999999</v>
      </c>
      <c r="DR268" s="106">
        <f>1.002+40+3.176</f>
        <v>44.178000000000004</v>
      </c>
      <c r="DS268" s="106">
        <f>39.207+3.309</f>
        <v>42.515999999999998</v>
      </c>
      <c r="DT268" s="106">
        <f>39.157+3.394</f>
        <v>42.550999999999995</v>
      </c>
      <c r="DU268" s="106">
        <f>39.094+3.377</f>
        <v>42.471000000000004</v>
      </c>
      <c r="DV268" s="106">
        <f>+(405.48+3.31)*DU268/SUM($DU$265:$DU$268)</f>
        <v>49.431480662134007</v>
      </c>
      <c r="DW268" s="106">
        <f>39.144+0.082</f>
        <v>39.225999999999999</v>
      </c>
      <c r="DX268" s="106">
        <f>39.234+0.038</f>
        <v>39.271999999999998</v>
      </c>
      <c r="DY268" s="106">
        <f>3.89+0.059</f>
        <v>3.9490000000000003</v>
      </c>
      <c r="DZ268" s="106">
        <v>7.0000000000000007E-2</v>
      </c>
      <c r="EA268" s="106">
        <v>0.04</v>
      </c>
      <c r="EB268" s="106">
        <v>0.08</v>
      </c>
      <c r="EC268" s="106">
        <v>7.3999999999999996E-2</v>
      </c>
      <c r="ED268" s="106">
        <v>9.4E-2</v>
      </c>
      <c r="EE268" s="106">
        <f t="shared" ref="EE268:EP268" si="848">ED268</f>
        <v>9.4E-2</v>
      </c>
      <c r="EF268" s="106">
        <f t="shared" si="848"/>
        <v>9.4E-2</v>
      </c>
      <c r="EG268" s="106">
        <f t="shared" si="848"/>
        <v>9.4E-2</v>
      </c>
      <c r="EH268" s="106">
        <f t="shared" si="848"/>
        <v>9.4E-2</v>
      </c>
      <c r="EI268" s="106">
        <f t="shared" si="848"/>
        <v>9.4E-2</v>
      </c>
      <c r="EJ268" s="106">
        <f t="shared" si="848"/>
        <v>9.4E-2</v>
      </c>
      <c r="EK268" s="106">
        <f t="shared" si="848"/>
        <v>9.4E-2</v>
      </c>
      <c r="EL268" s="106">
        <f t="shared" si="848"/>
        <v>9.4E-2</v>
      </c>
      <c r="EM268" s="106">
        <f t="shared" si="848"/>
        <v>9.4E-2</v>
      </c>
      <c r="EN268" s="106">
        <f t="shared" si="848"/>
        <v>9.4E-2</v>
      </c>
      <c r="EO268" s="106">
        <f t="shared" si="848"/>
        <v>9.4E-2</v>
      </c>
      <c r="EP268" s="106">
        <f t="shared" si="848"/>
        <v>9.4E-2</v>
      </c>
      <c r="EQ268" s="5"/>
      <c r="ER268" s="5"/>
      <c r="ES268" s="355">
        <f t="shared" si="838"/>
        <v>263</v>
      </c>
      <c r="ET268"/>
      <c r="EU268"/>
      <c r="EV268"/>
      <c r="EW268"/>
      <c r="EX268"/>
      <c r="EY268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</row>
    <row r="269" spans="1:257" s="4" customFormat="1" ht="12.75" customHeight="1" outlineLevel="1">
      <c r="A269" s="15"/>
      <c r="B269" s="308" t="s">
        <v>91</v>
      </c>
      <c r="C269" s="352"/>
      <c r="D269" s="352"/>
      <c r="E269" s="127">
        <f t="shared" ref="E269:AF269" si="849">SUM(E265:E268)</f>
        <v>46.414000000000001</v>
      </c>
      <c r="F269" s="127">
        <f t="shared" si="849"/>
        <v>46.701000000000001</v>
      </c>
      <c r="G269" s="127">
        <f t="shared" si="849"/>
        <v>67.320999999999998</v>
      </c>
      <c r="H269" s="127">
        <f t="shared" si="849"/>
        <v>62.564999999999998</v>
      </c>
      <c r="I269" s="127">
        <f t="shared" si="849"/>
        <v>95.167000000000002</v>
      </c>
      <c r="J269" s="127">
        <f t="shared" si="849"/>
        <v>125.48399999999999</v>
      </c>
      <c r="K269" s="127">
        <f t="shared" si="849"/>
        <v>71.903999999999996</v>
      </c>
      <c r="L269" s="127">
        <f t="shared" si="849"/>
        <v>78.894000000000005</v>
      </c>
      <c r="M269" s="127">
        <f t="shared" si="849"/>
        <v>76.42</v>
      </c>
      <c r="N269" s="127">
        <f t="shared" si="849"/>
        <v>72.899000000000001</v>
      </c>
      <c r="O269" s="127">
        <f t="shared" si="849"/>
        <v>88.617999999999995</v>
      </c>
      <c r="P269" s="127">
        <f t="shared" si="849"/>
        <v>59.902999999999999</v>
      </c>
      <c r="Q269" s="127">
        <f t="shared" si="849"/>
        <v>89.480999999999995</v>
      </c>
      <c r="R269" s="127">
        <f t="shared" si="849"/>
        <v>264.548</v>
      </c>
      <c r="S269" s="127">
        <f t="shared" si="849"/>
        <v>226.61199999999999</v>
      </c>
      <c r="T269" s="127">
        <f t="shared" si="849"/>
        <v>308.95699999999999</v>
      </c>
      <c r="U269" s="127">
        <f t="shared" si="849"/>
        <v>301.90600000000001</v>
      </c>
      <c r="V269" s="127">
        <f t="shared" si="849"/>
        <v>232.63800000000001</v>
      </c>
      <c r="W269" s="127">
        <f t="shared" si="849"/>
        <v>416.72899999999998</v>
      </c>
      <c r="X269" s="127">
        <f t="shared" si="849"/>
        <v>381.16399999999999</v>
      </c>
      <c r="Y269" s="127">
        <f t="shared" si="849"/>
        <v>452.27299999999997</v>
      </c>
      <c r="Z269" s="127">
        <f t="shared" si="849"/>
        <v>507.52600000000001</v>
      </c>
      <c r="AA269" s="127">
        <f t="shared" si="849"/>
        <v>351.22800000000001</v>
      </c>
      <c r="AB269" s="127">
        <f t="shared" si="849"/>
        <v>334.01000000000005</v>
      </c>
      <c r="AC269" s="127">
        <f t="shared" si="849"/>
        <v>344.38499999999999</v>
      </c>
      <c r="AD269" s="127">
        <f t="shared" si="849"/>
        <v>395.85612208923322</v>
      </c>
      <c r="AE269" s="127">
        <f t="shared" si="849"/>
        <v>442.83960298615813</v>
      </c>
      <c r="AF269" s="127">
        <f t="shared" si="849"/>
        <v>456.48172367831609</v>
      </c>
      <c r="AG269" s="96"/>
      <c r="AH269" s="352"/>
      <c r="AI269" s="352"/>
      <c r="AJ269" s="127"/>
      <c r="AK269" s="127">
        <f t="shared" ref="AK269:BP269" si="850">SUM(AK265:AK268)</f>
        <v>46.414000000000001</v>
      </c>
      <c r="AL269" s="127">
        <f t="shared" si="850"/>
        <v>44.378</v>
      </c>
      <c r="AM269" s="127">
        <f t="shared" si="850"/>
        <v>46.747</v>
      </c>
      <c r="AN269" s="127">
        <f t="shared" si="850"/>
        <v>41.812999999999995</v>
      </c>
      <c r="AO269" s="127">
        <f t="shared" si="850"/>
        <v>46.701000000000001</v>
      </c>
      <c r="AP269" s="127">
        <f t="shared" si="850"/>
        <v>45.174999999999997</v>
      </c>
      <c r="AQ269" s="127">
        <f t="shared" si="850"/>
        <v>45.338000000000001</v>
      </c>
      <c r="AR269" s="127">
        <f t="shared" si="850"/>
        <v>69.878</v>
      </c>
      <c r="AS269" s="127">
        <f t="shared" si="850"/>
        <v>67.320999999999998</v>
      </c>
      <c r="AT269" s="127">
        <f t="shared" si="850"/>
        <v>73.346000000000004</v>
      </c>
      <c r="AU269" s="127">
        <f t="shared" si="850"/>
        <v>59.99</v>
      </c>
      <c r="AV269" s="127">
        <f t="shared" si="850"/>
        <v>66.918000000000006</v>
      </c>
      <c r="AW269" s="127">
        <f t="shared" si="850"/>
        <v>62.564999999999998</v>
      </c>
      <c r="AX269" s="127">
        <f t="shared" si="850"/>
        <v>83.84</v>
      </c>
      <c r="AY269" s="127">
        <f t="shared" si="850"/>
        <v>66.576999999999998</v>
      </c>
      <c r="AZ269" s="127">
        <f t="shared" si="850"/>
        <v>65.539000000000001</v>
      </c>
      <c r="BA269" s="127">
        <f t="shared" si="850"/>
        <v>95.167000000000002</v>
      </c>
      <c r="BB269" s="127">
        <f t="shared" si="850"/>
        <v>112.04599999999999</v>
      </c>
      <c r="BC269" s="127">
        <f t="shared" si="850"/>
        <v>107.988</v>
      </c>
      <c r="BD269" s="127">
        <f t="shared" si="850"/>
        <v>116.97</v>
      </c>
      <c r="BE269" s="127">
        <f t="shared" si="850"/>
        <v>125.48399999999999</v>
      </c>
      <c r="BF269" s="127">
        <f t="shared" si="850"/>
        <v>147.20499999999998</v>
      </c>
      <c r="BG269" s="127">
        <f t="shared" si="850"/>
        <v>124.367</v>
      </c>
      <c r="BH269" s="127">
        <f t="shared" si="850"/>
        <v>95.561999999999998</v>
      </c>
      <c r="BI269" s="127">
        <f t="shared" si="850"/>
        <v>71.903999999999996</v>
      </c>
      <c r="BJ269" s="127">
        <f t="shared" si="850"/>
        <v>69.763999999999996</v>
      </c>
      <c r="BK269" s="127">
        <f t="shared" si="850"/>
        <v>66.230999999999995</v>
      </c>
      <c r="BL269" s="127">
        <f t="shared" si="850"/>
        <v>65.72</v>
      </c>
      <c r="BM269" s="127">
        <f t="shared" si="850"/>
        <v>78.894000000000005</v>
      </c>
      <c r="BN269" s="127">
        <f t="shared" si="850"/>
        <v>93.864999999999995</v>
      </c>
      <c r="BO269" s="127">
        <f t="shared" si="850"/>
        <v>81.274000000000001</v>
      </c>
      <c r="BP269" s="127">
        <f t="shared" si="850"/>
        <v>110.61500000000001</v>
      </c>
      <c r="BQ269" s="127">
        <f t="shared" ref="BQ269:CV269" si="851">SUM(BQ265:BQ268)</f>
        <v>76.42</v>
      </c>
      <c r="BR269" s="127">
        <f t="shared" si="851"/>
        <v>79.837000000000003</v>
      </c>
      <c r="BS269" s="127">
        <f t="shared" si="851"/>
        <v>76.08</v>
      </c>
      <c r="BT269" s="127">
        <f t="shared" si="851"/>
        <v>83.953000000000003</v>
      </c>
      <c r="BU269" s="353">
        <f t="shared" si="851"/>
        <v>72.899000000000001</v>
      </c>
      <c r="BV269" s="127">
        <f t="shared" si="851"/>
        <v>76.426000000000002</v>
      </c>
      <c r="BW269" s="127">
        <f t="shared" si="851"/>
        <v>70.734999999999999</v>
      </c>
      <c r="BX269" s="127">
        <f t="shared" si="851"/>
        <v>83.058999999999997</v>
      </c>
      <c r="BY269" s="127">
        <f t="shared" si="851"/>
        <v>88.617999999999995</v>
      </c>
      <c r="BZ269" s="127">
        <f t="shared" si="851"/>
        <v>88.471000000000004</v>
      </c>
      <c r="CA269" s="127">
        <f t="shared" si="851"/>
        <v>76.033000000000001</v>
      </c>
      <c r="CB269" s="127">
        <f t="shared" si="851"/>
        <v>54.783999999999999</v>
      </c>
      <c r="CC269" s="127">
        <f t="shared" si="851"/>
        <v>59.902999999999999</v>
      </c>
      <c r="CD269" s="127">
        <f t="shared" si="851"/>
        <v>58.341999999999999</v>
      </c>
      <c r="CE269" s="127">
        <f t="shared" si="851"/>
        <v>55.721000000000004</v>
      </c>
      <c r="CF269" s="127">
        <f t="shared" si="851"/>
        <v>65.584000000000003</v>
      </c>
      <c r="CG269" s="127">
        <f t="shared" si="851"/>
        <v>89.480999999999995</v>
      </c>
      <c r="CH269" s="127">
        <f t="shared" si="851"/>
        <v>116.227</v>
      </c>
      <c r="CI269" s="127">
        <f t="shared" si="851"/>
        <v>115.613</v>
      </c>
      <c r="CJ269" s="127">
        <f t="shared" si="851"/>
        <v>136.36199999999999</v>
      </c>
      <c r="CK269" s="127">
        <f t="shared" si="851"/>
        <v>264.548</v>
      </c>
      <c r="CL269" s="127">
        <f t="shared" si="851"/>
        <v>295.928</v>
      </c>
      <c r="CM269" s="127">
        <f t="shared" si="851"/>
        <v>247.732</v>
      </c>
      <c r="CN269" s="127">
        <f t="shared" si="851"/>
        <v>254.01</v>
      </c>
      <c r="CO269" s="127">
        <f t="shared" si="851"/>
        <v>226.61199999999999</v>
      </c>
      <c r="CP269" s="127">
        <f t="shared" si="851"/>
        <v>231.19900000000001</v>
      </c>
      <c r="CQ269" s="127">
        <f t="shared" si="851"/>
        <v>210.99599999999998</v>
      </c>
      <c r="CR269" s="127">
        <f t="shared" si="851"/>
        <v>272.108</v>
      </c>
      <c r="CS269" s="127">
        <f t="shared" si="851"/>
        <v>308.95699999999999</v>
      </c>
      <c r="CT269" s="127">
        <f t="shared" si="851"/>
        <v>360.07299999999998</v>
      </c>
      <c r="CU269" s="127">
        <f t="shared" si="851"/>
        <v>428.57</v>
      </c>
      <c r="CV269" s="127">
        <f t="shared" si="851"/>
        <v>358.79200000000003</v>
      </c>
      <c r="CW269" s="127">
        <f t="shared" ref="CW269:EB269" si="852">SUM(CW265:CW268)</f>
        <v>301.90600000000001</v>
      </c>
      <c r="CX269" s="127">
        <f t="shared" si="852"/>
        <v>320.34699999999998</v>
      </c>
      <c r="CY269" s="127">
        <f t="shared" si="852"/>
        <v>182.93299999999999</v>
      </c>
      <c r="CZ269" s="127">
        <f t="shared" si="852"/>
        <v>210.97799999999998</v>
      </c>
      <c r="DA269" s="127">
        <f t="shared" si="852"/>
        <v>232.63800000000001</v>
      </c>
      <c r="DB269" s="127">
        <f t="shared" si="852"/>
        <v>211.82</v>
      </c>
      <c r="DC269" s="127">
        <f t="shared" si="852"/>
        <v>215.74800000000002</v>
      </c>
      <c r="DD269" s="127">
        <f t="shared" si="852"/>
        <v>261.90899999999999</v>
      </c>
      <c r="DE269" s="127">
        <f t="shared" si="852"/>
        <v>416.72899999999998</v>
      </c>
      <c r="DF269" s="127">
        <f t="shared" si="852"/>
        <v>428.84899999999999</v>
      </c>
      <c r="DG269" s="127">
        <f t="shared" si="852"/>
        <v>385.72400000000005</v>
      </c>
      <c r="DH269" s="127">
        <f t="shared" si="852"/>
        <v>413.589</v>
      </c>
      <c r="DI269" s="127">
        <f t="shared" si="852"/>
        <v>381.16399999999999</v>
      </c>
      <c r="DJ269" s="127">
        <f t="shared" si="852"/>
        <v>427.233</v>
      </c>
      <c r="DK269" s="127">
        <f t="shared" si="852"/>
        <v>304.53699999999998</v>
      </c>
      <c r="DL269" s="127">
        <f t="shared" si="852"/>
        <v>432.85399999999998</v>
      </c>
      <c r="DM269" s="127">
        <f t="shared" si="852"/>
        <v>452.27299999999997</v>
      </c>
      <c r="DN269" s="127">
        <f t="shared" si="852"/>
        <v>478.73699999999997</v>
      </c>
      <c r="DO269" s="127">
        <f t="shared" si="852"/>
        <v>438.48800000000006</v>
      </c>
      <c r="DP269" s="127">
        <f t="shared" si="852"/>
        <v>502.11099999999993</v>
      </c>
      <c r="DQ269" s="127">
        <f t="shared" si="852"/>
        <v>507.52600000000001</v>
      </c>
      <c r="DR269" s="127">
        <f t="shared" si="852"/>
        <v>447.45600000000002</v>
      </c>
      <c r="DS269" s="127">
        <f t="shared" si="852"/>
        <v>391.14500000000004</v>
      </c>
      <c r="DT269" s="127">
        <f t="shared" si="852"/>
        <v>346.50299999999999</v>
      </c>
      <c r="DU269" s="127">
        <f t="shared" si="852"/>
        <v>351.22800000000001</v>
      </c>
      <c r="DV269" s="127">
        <f t="shared" si="852"/>
        <v>408.79</v>
      </c>
      <c r="DW269" s="127">
        <f t="shared" si="852"/>
        <v>371.32799999999997</v>
      </c>
      <c r="DX269" s="127">
        <f t="shared" si="852"/>
        <v>326.60899999999998</v>
      </c>
      <c r="DY269" s="127">
        <f t="shared" si="852"/>
        <v>334.01000000000005</v>
      </c>
      <c r="DZ269" s="127">
        <f t="shared" si="852"/>
        <v>286.62799999999999</v>
      </c>
      <c r="EA269" s="127">
        <f t="shared" si="852"/>
        <v>301.41700000000003</v>
      </c>
      <c r="EB269" s="127">
        <f t="shared" si="852"/>
        <v>333.92899999999997</v>
      </c>
      <c r="EC269" s="127">
        <f t="shared" ref="EC269:EP269" si="853">SUM(EC265:EC268)</f>
        <v>344.38499999999999</v>
      </c>
      <c r="ED269" s="127">
        <f t="shared" si="853"/>
        <v>355.762</v>
      </c>
      <c r="EE269" s="127">
        <f t="shared" si="853"/>
        <v>357.85459806444743</v>
      </c>
      <c r="EF269" s="127">
        <f t="shared" si="853"/>
        <v>377.69576660239585</v>
      </c>
      <c r="EG269" s="127">
        <f t="shared" si="853"/>
        <v>395.85612208923322</v>
      </c>
      <c r="EH269" s="127">
        <f t="shared" si="853"/>
        <v>409.68041788468753</v>
      </c>
      <c r="EI269" s="127">
        <f t="shared" si="853"/>
        <v>418.64208782086604</v>
      </c>
      <c r="EJ269" s="127">
        <f t="shared" si="853"/>
        <v>430.99257319955797</v>
      </c>
      <c r="EK269" s="127">
        <f t="shared" si="853"/>
        <v>442.83960298615813</v>
      </c>
      <c r="EL269" s="127">
        <f t="shared" si="853"/>
        <v>459.42735301265526</v>
      </c>
      <c r="EM269" s="127">
        <f t="shared" si="853"/>
        <v>455.74471958198495</v>
      </c>
      <c r="EN269" s="127">
        <f t="shared" si="853"/>
        <v>454.77399717228394</v>
      </c>
      <c r="EO269" s="127">
        <f t="shared" si="853"/>
        <v>456.48172367831609</v>
      </c>
      <c r="EP269" s="127">
        <f t="shared" si="853"/>
        <v>455.50017838464538</v>
      </c>
      <c r="EQ269" s="5"/>
      <c r="ER269" s="5"/>
      <c r="ES269" s="355">
        <f t="shared" si="838"/>
        <v>264</v>
      </c>
      <c r="ET269"/>
      <c r="EU269"/>
      <c r="EV269"/>
      <c r="EW269"/>
      <c r="EX269"/>
      <c r="EY269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</row>
    <row r="270" spans="1:257" s="4" customFormat="1" ht="12.75" customHeight="1" outlineLevel="1">
      <c r="A270" s="15"/>
      <c r="B270" s="14" t="s">
        <v>90</v>
      </c>
      <c r="C270" s="59"/>
      <c r="D270" s="59"/>
      <c r="E270" s="59">
        <f t="shared" ref="E270:E277" si="854">AK270</f>
        <v>3.6</v>
      </c>
      <c r="F270" s="59">
        <f t="shared" ref="F270:O278" si="855">INDEX($AH270:$EQ270,1,MATCH(F$4,$AH$4:$EQ$4,0))</f>
        <v>0</v>
      </c>
      <c r="G270" s="59">
        <f t="shared" si="855"/>
        <v>0</v>
      </c>
      <c r="H270" s="59">
        <f t="shared" si="855"/>
        <v>0</v>
      </c>
      <c r="I270" s="62">
        <f t="shared" si="855"/>
        <v>0</v>
      </c>
      <c r="J270" s="62">
        <f t="shared" si="855"/>
        <v>50</v>
      </c>
      <c r="K270" s="62">
        <f t="shared" si="855"/>
        <v>50</v>
      </c>
      <c r="L270" s="62">
        <f t="shared" si="855"/>
        <v>50</v>
      </c>
      <c r="M270" s="62">
        <f t="shared" si="855"/>
        <v>50</v>
      </c>
      <c r="N270" s="62">
        <f t="shared" si="855"/>
        <v>100</v>
      </c>
      <c r="O270" s="62">
        <f t="shared" si="855"/>
        <v>200</v>
      </c>
      <c r="P270" s="62">
        <f t="shared" ref="P270:Y278" si="856">INDEX($AH270:$EQ270,1,MATCH(P$4,$AH$4:$EQ$4,0))</f>
        <v>200</v>
      </c>
      <c r="Q270" s="62">
        <f t="shared" si="856"/>
        <v>200</v>
      </c>
      <c r="R270" s="62">
        <f t="shared" si="856"/>
        <v>175</v>
      </c>
      <c r="S270" s="62">
        <f t="shared" si="856"/>
        <v>445</v>
      </c>
      <c r="T270" s="62">
        <f t="shared" si="856"/>
        <v>475</v>
      </c>
      <c r="U270" s="62">
        <f t="shared" si="856"/>
        <v>420</v>
      </c>
      <c r="V270" s="62">
        <f t="shared" si="856"/>
        <v>360</v>
      </c>
      <c r="W270" s="62">
        <f t="shared" si="856"/>
        <v>235</v>
      </c>
      <c r="X270" s="62">
        <f t="shared" si="856"/>
        <v>195</v>
      </c>
      <c r="Y270" s="62">
        <f t="shared" si="856"/>
        <v>80</v>
      </c>
      <c r="Z270" s="62">
        <f t="shared" ref="Z270:AF278" si="857">INDEX($AH270:$EQ270,1,MATCH(Z$4,$AH$4:$EQ$4,0))</f>
        <v>40</v>
      </c>
      <c r="AA270" s="62">
        <f t="shared" si="857"/>
        <v>492.44299999999998</v>
      </c>
      <c r="AB270" s="62">
        <f t="shared" si="857"/>
        <v>491.84699999999998</v>
      </c>
      <c r="AC270" s="62">
        <f t="shared" si="857"/>
        <v>492.90199999999999</v>
      </c>
      <c r="AD270" s="62">
        <f t="shared" si="857"/>
        <v>493.16800000000001</v>
      </c>
      <c r="AE270" s="62">
        <f t="shared" si="857"/>
        <v>493.16800000000001</v>
      </c>
      <c r="AF270" s="62">
        <f t="shared" si="857"/>
        <v>493.16800000000001</v>
      </c>
      <c r="AG270" s="96"/>
      <c r="AH270" s="62"/>
      <c r="AI270" s="62"/>
      <c r="AJ270" s="62"/>
      <c r="AK270" s="62">
        <v>3.6</v>
      </c>
      <c r="AL270" s="62">
        <v>6</v>
      </c>
      <c r="AM270" s="62">
        <v>6</v>
      </c>
      <c r="AN270" s="62">
        <v>5.2</v>
      </c>
      <c r="AO270" s="62"/>
      <c r="AP270" s="62">
        <v>0</v>
      </c>
      <c r="AQ270" s="62">
        <v>0</v>
      </c>
      <c r="AR270" s="62">
        <v>0</v>
      </c>
      <c r="AS270" s="62"/>
      <c r="AT270" s="61">
        <v>0</v>
      </c>
      <c r="AU270" s="61">
        <v>0</v>
      </c>
      <c r="AV270" s="61">
        <v>0</v>
      </c>
      <c r="AW270" s="61">
        <v>0</v>
      </c>
      <c r="AX270" s="61">
        <v>0</v>
      </c>
      <c r="AY270" s="61">
        <v>0</v>
      </c>
      <c r="AZ270" s="61">
        <v>0</v>
      </c>
      <c r="BA270" s="61">
        <v>0</v>
      </c>
      <c r="BB270" s="61">
        <v>0</v>
      </c>
      <c r="BC270" s="61">
        <v>0</v>
      </c>
      <c r="BD270" s="61">
        <v>0</v>
      </c>
      <c r="BE270" s="61">
        <v>50</v>
      </c>
      <c r="BF270" s="61">
        <v>50</v>
      </c>
      <c r="BG270" s="61">
        <v>50</v>
      </c>
      <c r="BH270" s="61">
        <v>50</v>
      </c>
      <c r="BI270" s="61">
        <v>50</v>
      </c>
      <c r="BJ270" s="111">
        <v>50</v>
      </c>
      <c r="BK270" s="61">
        <v>50</v>
      </c>
      <c r="BL270" s="61">
        <v>50</v>
      </c>
      <c r="BM270" s="61">
        <v>50</v>
      </c>
      <c r="BN270" s="61">
        <v>50</v>
      </c>
      <c r="BO270" s="61">
        <v>50</v>
      </c>
      <c r="BP270" s="61">
        <v>50</v>
      </c>
      <c r="BQ270" s="61">
        <v>50</v>
      </c>
      <c r="BR270" s="61">
        <v>50</v>
      </c>
      <c r="BS270" s="61">
        <v>50</v>
      </c>
      <c r="BT270" s="61">
        <v>50</v>
      </c>
      <c r="BU270" s="110">
        <v>100</v>
      </c>
      <c r="BV270" s="61">
        <v>200</v>
      </c>
      <c r="BW270" s="61">
        <v>200</v>
      </c>
      <c r="BX270" s="61">
        <v>200</v>
      </c>
      <c r="BY270" s="61">
        <v>200</v>
      </c>
      <c r="BZ270" s="61">
        <v>200</v>
      </c>
      <c r="CA270" s="61">
        <v>200</v>
      </c>
      <c r="CB270" s="61">
        <v>200</v>
      </c>
      <c r="CC270" s="61">
        <v>200</v>
      </c>
      <c r="CD270" s="61">
        <v>200</v>
      </c>
      <c r="CE270" s="61">
        <v>200</v>
      </c>
      <c r="CF270" s="61">
        <v>200</v>
      </c>
      <c r="CG270" s="61">
        <v>200</v>
      </c>
      <c r="CH270" s="61">
        <v>200</v>
      </c>
      <c r="CI270" s="61">
        <v>200</v>
      </c>
      <c r="CJ270" s="61">
        <v>200</v>
      </c>
      <c r="CK270" s="61">
        <v>175</v>
      </c>
      <c r="CL270" s="61">
        <v>205</v>
      </c>
      <c r="CM270" s="61">
        <v>330</v>
      </c>
      <c r="CN270" s="61">
        <v>380</v>
      </c>
      <c r="CO270" s="61">
        <v>445</v>
      </c>
      <c r="CP270" s="61">
        <v>485</v>
      </c>
      <c r="CQ270" s="61">
        <v>480</v>
      </c>
      <c r="CR270" s="61">
        <v>455</v>
      </c>
      <c r="CS270" s="61">
        <v>475</v>
      </c>
      <c r="CT270" s="61">
        <v>490</v>
      </c>
      <c r="CU270" s="61">
        <v>430</v>
      </c>
      <c r="CV270" s="61">
        <v>430</v>
      </c>
      <c r="CW270" s="61">
        <v>420</v>
      </c>
      <c r="CX270" s="61">
        <v>380</v>
      </c>
      <c r="CY270" s="61">
        <v>440</v>
      </c>
      <c r="CZ270" s="61">
        <v>390</v>
      </c>
      <c r="DA270" s="61">
        <v>360</v>
      </c>
      <c r="DB270" s="61">
        <v>350</v>
      </c>
      <c r="DC270" s="61">
        <v>350</v>
      </c>
      <c r="DD270" s="61">
        <v>350</v>
      </c>
      <c r="DE270" s="61">
        <v>235</v>
      </c>
      <c r="DF270" s="61">
        <v>235</v>
      </c>
      <c r="DG270" s="61">
        <v>235</v>
      </c>
      <c r="DH270" s="61">
        <v>235</v>
      </c>
      <c r="DI270" s="61">
        <v>195</v>
      </c>
      <c r="DJ270" s="61">
        <v>195</v>
      </c>
      <c r="DK270" s="61">
        <v>195</v>
      </c>
      <c r="DL270" s="61">
        <v>195</v>
      </c>
      <c r="DM270" s="61">
        <v>80</v>
      </c>
      <c r="DN270" s="61">
        <v>80</v>
      </c>
      <c r="DO270" s="61">
        <v>80</v>
      </c>
      <c r="DP270" s="61">
        <v>80</v>
      </c>
      <c r="DQ270" s="61">
        <v>40</v>
      </c>
      <c r="DR270" s="61">
        <v>40</v>
      </c>
      <c r="DS270" s="61">
        <v>532.90800000000002</v>
      </c>
      <c r="DT270" s="61">
        <v>532.38800000000003</v>
      </c>
      <c r="DU270" s="61">
        <v>492.44299999999998</v>
      </c>
      <c r="DV270" s="61">
        <v>492.66800000000001</v>
      </c>
      <c r="DW270" s="61">
        <v>492.91899999999998</v>
      </c>
      <c r="DX270" s="61">
        <v>493.15</v>
      </c>
      <c r="DY270" s="61">
        <v>491.84699999999998</v>
      </c>
      <c r="DZ270" s="61">
        <v>492.11</v>
      </c>
      <c r="EA270" s="61">
        <v>492.37299999999999</v>
      </c>
      <c r="EB270" s="61">
        <v>492.637</v>
      </c>
      <c r="EC270" s="61">
        <v>492.90199999999999</v>
      </c>
      <c r="ED270" s="61">
        <v>493.16800000000001</v>
      </c>
      <c r="EE270" s="74">
        <f t="shared" ref="EE270:EP270" si="858">ED270+EE242</f>
        <v>493.16800000000001</v>
      </c>
      <c r="EF270" s="74">
        <f t="shared" si="858"/>
        <v>493.16800000000001</v>
      </c>
      <c r="EG270" s="74">
        <f t="shared" si="858"/>
        <v>493.16800000000001</v>
      </c>
      <c r="EH270" s="74">
        <f t="shared" si="858"/>
        <v>493.16800000000001</v>
      </c>
      <c r="EI270" s="74">
        <f t="shared" si="858"/>
        <v>493.16800000000001</v>
      </c>
      <c r="EJ270" s="74">
        <f t="shared" si="858"/>
        <v>493.16800000000001</v>
      </c>
      <c r="EK270" s="74">
        <f t="shared" si="858"/>
        <v>493.16800000000001</v>
      </c>
      <c r="EL270" s="74">
        <f t="shared" si="858"/>
        <v>493.16800000000001</v>
      </c>
      <c r="EM270" s="74">
        <f t="shared" si="858"/>
        <v>493.16800000000001</v>
      </c>
      <c r="EN270" s="74">
        <f t="shared" si="858"/>
        <v>493.16800000000001</v>
      </c>
      <c r="EO270" s="74">
        <f t="shared" si="858"/>
        <v>493.16800000000001</v>
      </c>
      <c r="EP270" s="74">
        <f t="shared" si="858"/>
        <v>493.16800000000001</v>
      </c>
      <c r="EQ270" s="5"/>
      <c r="ER270" s="5"/>
      <c r="ES270" s="355">
        <f t="shared" si="838"/>
        <v>265</v>
      </c>
      <c r="ET270"/>
      <c r="EU270"/>
      <c r="EV270"/>
      <c r="EW270"/>
      <c r="EX270"/>
      <c r="EY270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</row>
    <row r="271" spans="1:257" s="4" customFormat="1" ht="12.75" customHeight="1" outlineLevel="1">
      <c r="A271" s="15"/>
      <c r="B271" s="14" t="s">
        <v>89</v>
      </c>
      <c r="C271" s="59"/>
      <c r="D271" s="59"/>
      <c r="E271" s="59">
        <f t="shared" si="854"/>
        <v>44.722999999999999</v>
      </c>
      <c r="F271" s="59">
        <f t="shared" si="855"/>
        <v>44.462000000000003</v>
      </c>
      <c r="G271" s="59">
        <f t="shared" si="855"/>
        <v>66.061999999999998</v>
      </c>
      <c r="H271" s="59">
        <f t="shared" si="855"/>
        <v>98.334999999999994</v>
      </c>
      <c r="I271" s="62">
        <f t="shared" si="855"/>
        <v>141.33099999999999</v>
      </c>
      <c r="J271" s="62">
        <f t="shared" si="855"/>
        <v>103.46899999999999</v>
      </c>
      <c r="K271" s="62">
        <f t="shared" si="855"/>
        <v>116.58799999999999</v>
      </c>
      <c r="L271" s="62">
        <f t="shared" si="855"/>
        <v>156.65</v>
      </c>
      <c r="M271" s="62">
        <f t="shared" si="855"/>
        <v>126.33799999999999</v>
      </c>
      <c r="N271" s="62">
        <f t="shared" si="855"/>
        <v>131.40100000000001</v>
      </c>
      <c r="O271" s="62">
        <f t="shared" si="855"/>
        <v>183.672</v>
      </c>
      <c r="P271" s="62">
        <f t="shared" si="856"/>
        <v>194.57300000000001</v>
      </c>
      <c r="Q271" s="62">
        <f t="shared" si="856"/>
        <v>246.97499999999999</v>
      </c>
      <c r="R271" s="62">
        <f t="shared" si="856"/>
        <v>269.91899999999998</v>
      </c>
      <c r="S271" s="62">
        <f t="shared" si="856"/>
        <v>363.53399999999999</v>
      </c>
      <c r="T271" s="62">
        <f t="shared" si="856"/>
        <v>479.96300000000002</v>
      </c>
      <c r="U271" s="62">
        <f t="shared" si="856"/>
        <v>681.54200000000003</v>
      </c>
      <c r="V271" s="62">
        <f t="shared" si="856"/>
        <v>771.38300000000004</v>
      </c>
      <c r="W271" s="62">
        <f t="shared" si="856"/>
        <v>975.28</v>
      </c>
      <c r="X271" s="62">
        <f t="shared" si="856"/>
        <v>1209.04</v>
      </c>
      <c r="Y271" s="62">
        <f t="shared" si="856"/>
        <v>1222.981</v>
      </c>
      <c r="Z271" s="62">
        <f t="shared" si="857"/>
        <v>1215.259</v>
      </c>
      <c r="AA271" s="62">
        <f t="shared" si="857"/>
        <v>1303.2630537885507</v>
      </c>
      <c r="AB271" s="62">
        <f t="shared" si="857"/>
        <v>1342.4559999999999</v>
      </c>
      <c r="AC271" s="62">
        <f t="shared" si="857"/>
        <v>1332.6890000000001</v>
      </c>
      <c r="AD271" s="62">
        <f t="shared" si="857"/>
        <v>785.62231163854597</v>
      </c>
      <c r="AE271" s="62">
        <f t="shared" si="857"/>
        <v>747.7252098762026</v>
      </c>
      <c r="AF271" s="62">
        <f t="shared" si="857"/>
        <v>709.65038464762392</v>
      </c>
      <c r="AG271" s="96"/>
      <c r="AH271" s="62"/>
      <c r="AI271" s="62"/>
      <c r="AJ271" s="62"/>
      <c r="AK271" s="62">
        <v>44.722999999999999</v>
      </c>
      <c r="AL271" s="62">
        <v>40.902999999999999</v>
      </c>
      <c r="AM271" s="62">
        <v>44.563000000000002</v>
      </c>
      <c r="AN271" s="62">
        <v>44.037999999999997</v>
      </c>
      <c r="AO271" s="62">
        <v>44.462000000000003</v>
      </c>
      <c r="AP271" s="62">
        <v>63.671999999999997</v>
      </c>
      <c r="AQ271" s="62">
        <v>67.893000000000001</v>
      </c>
      <c r="AR271" s="62">
        <v>67.781999999999996</v>
      </c>
      <c r="AS271" s="62">
        <v>66.061999999999998</v>
      </c>
      <c r="AT271" s="61">
        <v>69.597999999999999</v>
      </c>
      <c r="AU271" s="61">
        <v>74.870999999999995</v>
      </c>
      <c r="AV271" s="61">
        <v>80.668999999999997</v>
      </c>
      <c r="AW271" s="61">
        <v>98.334999999999994</v>
      </c>
      <c r="AX271" s="61">
        <v>106.679</v>
      </c>
      <c r="AY271" s="61">
        <v>106.32</v>
      </c>
      <c r="AZ271" s="61">
        <v>119.786</v>
      </c>
      <c r="BA271" s="61">
        <v>141.33099999999999</v>
      </c>
      <c r="BB271" s="61">
        <v>138.636</v>
      </c>
      <c r="BC271" s="61">
        <v>141.458</v>
      </c>
      <c r="BD271" s="61">
        <v>126.455</v>
      </c>
      <c r="BE271" s="61">
        <v>103.46899999999999</v>
      </c>
      <c r="BF271" s="61">
        <v>103.218</v>
      </c>
      <c r="BG271" s="61">
        <v>108.175</v>
      </c>
      <c r="BH271" s="61">
        <v>118.51300000000001</v>
      </c>
      <c r="BI271" s="61">
        <v>116.58799999999999</v>
      </c>
      <c r="BJ271" s="61">
        <v>125.27200000000001</v>
      </c>
      <c r="BK271" s="61">
        <v>144.321</v>
      </c>
      <c r="BL271" s="61">
        <v>143.03100000000001</v>
      </c>
      <c r="BM271" s="61">
        <v>156.65</v>
      </c>
      <c r="BN271" s="61">
        <v>157.035</v>
      </c>
      <c r="BO271" s="61">
        <v>146.18100000000001</v>
      </c>
      <c r="BP271" s="61">
        <v>134.869</v>
      </c>
      <c r="BQ271" s="61">
        <v>126.33799999999999</v>
      </c>
      <c r="BR271" s="61">
        <v>162.33699999999999</v>
      </c>
      <c r="BS271" s="61">
        <v>170.68299999999999</v>
      </c>
      <c r="BT271" s="61">
        <v>155.05600000000001</v>
      </c>
      <c r="BU271" s="110">
        <v>131.40100000000001</v>
      </c>
      <c r="BV271" s="61">
        <v>143.613</v>
      </c>
      <c r="BW271" s="61">
        <v>148.99700000000001</v>
      </c>
      <c r="BX271" s="61">
        <v>173.91399999999999</v>
      </c>
      <c r="BY271" s="61">
        <v>183.672</v>
      </c>
      <c r="BZ271" s="61">
        <v>195.45099999999999</v>
      </c>
      <c r="CA271" s="61">
        <v>206.43100000000001</v>
      </c>
      <c r="CB271" s="61">
        <v>218.76499999999999</v>
      </c>
      <c r="CC271" s="61">
        <v>194.57300000000001</v>
      </c>
      <c r="CD271" s="61">
        <v>212.94499999999999</v>
      </c>
      <c r="CE271" s="61">
        <v>221.148</v>
      </c>
      <c r="CF271" s="61">
        <v>233.31899999999999</v>
      </c>
      <c r="CG271" s="61">
        <v>246.97499999999999</v>
      </c>
      <c r="CH271" s="61">
        <v>253.38800000000001</v>
      </c>
      <c r="CI271" s="61">
        <v>273.72000000000003</v>
      </c>
      <c r="CJ271" s="61">
        <v>279.03500000000003</v>
      </c>
      <c r="CK271" s="61">
        <v>269.91899999999998</v>
      </c>
      <c r="CL271" s="61">
        <v>271.45299999999997</v>
      </c>
      <c r="CM271" s="61">
        <v>294.755</v>
      </c>
      <c r="CN271" s="61">
        <v>322.48099999999999</v>
      </c>
      <c r="CO271" s="61">
        <v>363.53399999999999</v>
      </c>
      <c r="CP271" s="61">
        <v>385.67500000000001</v>
      </c>
      <c r="CQ271" s="61">
        <v>404.53399999999999</v>
      </c>
      <c r="CR271" s="61">
        <v>435.91199999999998</v>
      </c>
      <c r="CS271" s="61">
        <v>479.96300000000002</v>
      </c>
      <c r="CT271" s="61">
        <v>492.88499999999999</v>
      </c>
      <c r="CU271" s="61">
        <v>580.79</v>
      </c>
      <c r="CV271" s="61">
        <v>647.97500000000002</v>
      </c>
      <c r="CW271" s="61">
        <v>681.54200000000003</v>
      </c>
      <c r="CX271" s="61">
        <v>701.25699999999995</v>
      </c>
      <c r="CY271" s="61">
        <f>710.671</f>
        <v>710.67100000000005</v>
      </c>
      <c r="CZ271" s="61">
        <v>692.10299999999995</v>
      </c>
      <c r="DA271" s="61">
        <v>771.38300000000004</v>
      </c>
      <c r="DB271" s="61">
        <v>838.47</v>
      </c>
      <c r="DC271" s="61">
        <v>928.30700000000002</v>
      </c>
      <c r="DD271" s="74">
        <v>984.76700000000005</v>
      </c>
      <c r="DE271" s="74">
        <v>975.28</v>
      </c>
      <c r="DF271" s="74">
        <v>1048.1300000000001</v>
      </c>
      <c r="DG271" s="74">
        <f>1113.285</f>
        <v>1113.2850000000001</v>
      </c>
      <c r="DH271" s="74">
        <v>1133.306</v>
      </c>
      <c r="DI271" s="74">
        <v>1209.04</v>
      </c>
      <c r="DJ271" s="74">
        <v>1226.2159999999999</v>
      </c>
      <c r="DK271" s="74">
        <v>1252.297</v>
      </c>
      <c r="DL271" s="74">
        <v>1193.634</v>
      </c>
      <c r="DM271" s="74">
        <v>1222.981</v>
      </c>
      <c r="DN271" s="74">
        <v>1222.653</v>
      </c>
      <c r="DO271" s="74">
        <v>1220.624</v>
      </c>
      <c r="DP271" s="74">
        <v>1288.098</v>
      </c>
      <c r="DQ271" s="74">
        <v>1215.259</v>
      </c>
      <c r="DR271" s="74">
        <v>1317.2639999999999</v>
      </c>
      <c r="DS271" s="74">
        <v>1320.364</v>
      </c>
      <c r="DT271" s="74">
        <v>1325.92</v>
      </c>
      <c r="DU271" s="74">
        <f>+(1406.169+4.72)*DT271/(SUM($DT$271:$DT$272))</f>
        <v>1303.2630537885507</v>
      </c>
      <c r="DV271" s="74">
        <v>1295.6010000000001</v>
      </c>
      <c r="DW271" s="74">
        <v>1278.664</v>
      </c>
      <c r="DX271" s="74">
        <v>1358.0930000000001</v>
      </c>
      <c r="DY271" s="74">
        <v>1342.4559999999999</v>
      </c>
      <c r="DZ271" s="74">
        <v>1332.269</v>
      </c>
      <c r="EA271" s="74">
        <v>1308.7940000000001</v>
      </c>
      <c r="EB271" s="74">
        <v>1325.25</v>
      </c>
      <c r="EC271" s="74">
        <v>1332.6890000000001</v>
      </c>
      <c r="ED271" s="74">
        <v>830.49400000000003</v>
      </c>
      <c r="EE271" s="109">
        <f t="shared" ref="EE271:EP271" si="859">EE311*EE260</f>
        <v>815.45131608597285</v>
      </c>
      <c r="EF271" s="109">
        <f t="shared" si="859"/>
        <v>800.5615366295815</v>
      </c>
      <c r="EG271" s="109">
        <f t="shared" si="859"/>
        <v>785.62231163854597</v>
      </c>
      <c r="EH271" s="109">
        <f t="shared" si="859"/>
        <v>776.44592763664855</v>
      </c>
      <c r="EI271" s="109">
        <f t="shared" si="859"/>
        <v>767.33237090489513</v>
      </c>
      <c r="EJ271" s="109">
        <f t="shared" si="859"/>
        <v>757.48312401283874</v>
      </c>
      <c r="EK271" s="109">
        <f t="shared" si="859"/>
        <v>747.7252098762026</v>
      </c>
      <c r="EL271" s="109">
        <f t="shared" si="859"/>
        <v>738.06090446852568</v>
      </c>
      <c r="EM271" s="109">
        <f t="shared" si="859"/>
        <v>728.49234869155441</v>
      </c>
      <c r="EN271" s="109">
        <f t="shared" si="859"/>
        <v>719.02155008388661</v>
      </c>
      <c r="EO271" s="109">
        <f t="shared" si="859"/>
        <v>709.65038464762392</v>
      </c>
      <c r="EP271" s="109">
        <f t="shared" si="859"/>
        <v>700.3805987869282</v>
      </c>
      <c r="EQ271" s="5"/>
      <c r="ER271" s="5"/>
      <c r="ES271" s="355">
        <f t="shared" si="838"/>
        <v>266</v>
      </c>
      <c r="ET271"/>
      <c r="EU271"/>
      <c r="EV271"/>
      <c r="EW271"/>
      <c r="EX271"/>
      <c r="EY27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</row>
    <row r="272" spans="1:257" s="4" customFormat="1" ht="12.75" customHeight="1" outlineLevel="1">
      <c r="A272" s="15"/>
      <c r="B272" s="14" t="s">
        <v>88</v>
      </c>
      <c r="C272" s="59"/>
      <c r="D272" s="59"/>
      <c r="E272" s="59">
        <f t="shared" si="854"/>
        <v>7.2709999999999999</v>
      </c>
      <c r="F272" s="59">
        <f t="shared" si="855"/>
        <v>9.33</v>
      </c>
      <c r="G272" s="59">
        <f t="shared" si="855"/>
        <v>11.243</v>
      </c>
      <c r="H272" s="59">
        <f t="shared" si="855"/>
        <v>15.044</v>
      </c>
      <c r="I272" s="62">
        <f t="shared" si="855"/>
        <v>16.516999999999999</v>
      </c>
      <c r="J272" s="62">
        <f t="shared" si="855"/>
        <v>18.329000000000001</v>
      </c>
      <c r="K272" s="62">
        <f t="shared" si="855"/>
        <v>23.097999999999999</v>
      </c>
      <c r="L272" s="62">
        <f t="shared" si="855"/>
        <v>18.245000000000001</v>
      </c>
      <c r="M272" s="62">
        <f t="shared" si="855"/>
        <v>20.885999999999999</v>
      </c>
      <c r="N272" s="62">
        <f t="shared" si="855"/>
        <v>27.843</v>
      </c>
      <c r="O272" s="62">
        <f t="shared" si="855"/>
        <v>28.228999999999999</v>
      </c>
      <c r="P272" s="62">
        <f t="shared" si="856"/>
        <v>38.258000000000003</v>
      </c>
      <c r="Q272" s="62">
        <f t="shared" si="856"/>
        <v>47.655999999999999</v>
      </c>
      <c r="R272" s="62">
        <f t="shared" si="856"/>
        <v>43.353000000000002</v>
      </c>
      <c r="S272" s="62">
        <f t="shared" si="856"/>
        <v>34.707000000000001</v>
      </c>
      <c r="T272" s="62">
        <f t="shared" si="856"/>
        <v>58.651000000000003</v>
      </c>
      <c r="U272" s="62">
        <f t="shared" si="856"/>
        <v>74.566999999999993</v>
      </c>
      <c r="V272" s="62">
        <f t="shared" si="856"/>
        <v>93.883999999999702</v>
      </c>
      <c r="W272" s="62">
        <f t="shared" si="856"/>
        <v>106.83499999999999</v>
      </c>
      <c r="X272" s="62">
        <f t="shared" si="856"/>
        <v>100.883</v>
      </c>
      <c r="Y272" s="62">
        <f t="shared" si="856"/>
        <v>65.846000000000004</v>
      </c>
      <c r="Z272" s="62">
        <f t="shared" si="857"/>
        <v>68.099000000000004</v>
      </c>
      <c r="AA272" s="62">
        <f t="shared" si="857"/>
        <v>107.62594621144936</v>
      </c>
      <c r="AB272" s="62">
        <f t="shared" si="857"/>
        <v>102.78100000000001</v>
      </c>
      <c r="AC272" s="62">
        <f t="shared" si="857"/>
        <v>105.42100000000001</v>
      </c>
      <c r="AD272" s="62">
        <f t="shared" si="857"/>
        <v>92.322000000000003</v>
      </c>
      <c r="AE272" s="62">
        <f t="shared" si="857"/>
        <v>92.322000000000003</v>
      </c>
      <c r="AF272" s="62">
        <f t="shared" si="857"/>
        <v>92.322000000000003</v>
      </c>
      <c r="AG272" s="96"/>
      <c r="AH272" s="18"/>
      <c r="AI272" s="18"/>
      <c r="AJ272" s="18"/>
      <c r="AK272" s="18">
        <v>7.2709999999999999</v>
      </c>
      <c r="AL272" s="18">
        <v>7.0490000000000004</v>
      </c>
      <c r="AM272" s="18">
        <v>6.5880000000000001</v>
      </c>
      <c r="AN272" s="18">
        <v>6.194</v>
      </c>
      <c r="AO272" s="18">
        <v>9.33</v>
      </c>
      <c r="AP272" s="18">
        <v>10.445</v>
      </c>
      <c r="AQ272" s="18">
        <v>11.773</v>
      </c>
      <c r="AR272" s="18">
        <v>12.794</v>
      </c>
      <c r="AS272" s="18">
        <v>11.243</v>
      </c>
      <c r="AT272" s="57">
        <v>13.738</v>
      </c>
      <c r="AU272" s="57">
        <v>15.081</v>
      </c>
      <c r="AV272" s="57">
        <v>15.566000000000001</v>
      </c>
      <c r="AW272" s="57">
        <v>15.044</v>
      </c>
      <c r="AX272" s="57">
        <v>17.881</v>
      </c>
      <c r="AY272" s="57">
        <v>18.654</v>
      </c>
      <c r="AZ272" s="57">
        <v>19.242999999999999</v>
      </c>
      <c r="BA272" s="57">
        <v>16.516999999999999</v>
      </c>
      <c r="BB272" s="57">
        <v>17.933</v>
      </c>
      <c r="BC272" s="57">
        <v>27.934999999999999</v>
      </c>
      <c r="BD272" s="57">
        <v>25.843</v>
      </c>
      <c r="BE272" s="57">
        <v>18.329000000000001</v>
      </c>
      <c r="BF272" s="57">
        <v>17.79</v>
      </c>
      <c r="BG272" s="57">
        <v>16.29</v>
      </c>
      <c r="BH272" s="57">
        <v>16.225999999999999</v>
      </c>
      <c r="BI272" s="57">
        <v>23.097999999999999</v>
      </c>
      <c r="BJ272" s="57">
        <v>23.448</v>
      </c>
      <c r="BK272" s="57">
        <v>21.95</v>
      </c>
      <c r="BL272" s="57">
        <v>23.023</v>
      </c>
      <c r="BM272" s="57">
        <v>18.245000000000001</v>
      </c>
      <c r="BN272" s="57">
        <v>18.395</v>
      </c>
      <c r="BO272" s="57">
        <v>19.033000000000001</v>
      </c>
      <c r="BP272" s="57">
        <v>19.670000000000002</v>
      </c>
      <c r="BQ272" s="57">
        <v>20.885999999999999</v>
      </c>
      <c r="BR272" s="108">
        <v>23.646000000000001</v>
      </c>
      <c r="BS272" s="57">
        <v>24.548999999999999</v>
      </c>
      <c r="BT272" s="57">
        <v>24.783999999999999</v>
      </c>
      <c r="BU272" s="107">
        <v>27.843</v>
      </c>
      <c r="BV272" s="57">
        <v>29.167999999999999</v>
      </c>
      <c r="BW272" s="57">
        <v>29.161000000000001</v>
      </c>
      <c r="BX272" s="57">
        <v>31.855</v>
      </c>
      <c r="BY272" s="57">
        <v>28.228999999999999</v>
      </c>
      <c r="BZ272" s="57">
        <v>30.106000000000002</v>
      </c>
      <c r="CA272" s="57">
        <v>31.544</v>
      </c>
      <c r="CB272" s="57">
        <v>38.625999999999998</v>
      </c>
      <c r="CC272" s="57">
        <v>38.258000000000003</v>
      </c>
      <c r="CD272" s="57">
        <v>41.636000000000003</v>
      </c>
      <c r="CE272" s="57">
        <v>43.588000000000001</v>
      </c>
      <c r="CF272" s="57">
        <v>45.405000000000001</v>
      </c>
      <c r="CG272" s="57">
        <v>47.655999999999999</v>
      </c>
      <c r="CH272" s="57">
        <v>49.688000000000002</v>
      </c>
      <c r="CI272" s="57">
        <v>51.024999999999999</v>
      </c>
      <c r="CJ272" s="57">
        <v>47.920999999999999</v>
      </c>
      <c r="CK272" s="57">
        <v>43.353000000000002</v>
      </c>
      <c r="CL272" s="57">
        <v>41.307000000000002</v>
      </c>
      <c r="CM272" s="57">
        <v>42.918999999999997</v>
      </c>
      <c r="CN272" s="57">
        <v>46.308</v>
      </c>
      <c r="CO272" s="57">
        <v>34.707000000000001</v>
      </c>
      <c r="CP272" s="57">
        <v>42.896000000000001</v>
      </c>
      <c r="CQ272" s="57">
        <v>46.508000000000003</v>
      </c>
      <c r="CR272" s="57">
        <v>49.329000000000001</v>
      </c>
      <c r="CS272" s="57">
        <v>58.651000000000003</v>
      </c>
      <c r="CT272" s="57">
        <v>58.607999999999997</v>
      </c>
      <c r="CU272" s="57">
        <v>54.399000000000001</v>
      </c>
      <c r="CV272" s="57">
        <v>49.145000000000003</v>
      </c>
      <c r="CW272" s="57">
        <v>74.566999999999993</v>
      </c>
      <c r="CX272" s="57">
        <v>78.028000000000006</v>
      </c>
      <c r="CY272" s="57">
        <v>77.239999999999995</v>
      </c>
      <c r="CZ272" s="57">
        <f>73.227+1.819</f>
        <v>75.046000000000006</v>
      </c>
      <c r="DA272" s="57">
        <f>91.606+2.275+0.00299999999970169</f>
        <v>93.883999999999702</v>
      </c>
      <c r="DB272" s="57">
        <f>99.665+2.322</f>
        <v>101.98700000000001</v>
      </c>
      <c r="DC272" s="57">
        <f>102.27+2.393</f>
        <v>104.663</v>
      </c>
      <c r="DD272" s="106">
        <f>91.661+2.461</f>
        <v>94.122</v>
      </c>
      <c r="DE272" s="106">
        <f>104.285+2.55</f>
        <v>106.83499999999999</v>
      </c>
      <c r="DF272" s="106">
        <f>97.494+2.606</f>
        <v>100.1</v>
      </c>
      <c r="DG272" s="106">
        <f>102.603+2.364</f>
        <v>104.967</v>
      </c>
      <c r="DH272" s="106">
        <f>99.394+2.422</f>
        <v>101.816</v>
      </c>
      <c r="DI272" s="106">
        <f>98.393+2.49</f>
        <v>100.883</v>
      </c>
      <c r="DJ272" s="106">
        <f>92.861+2.583</f>
        <v>95.444000000000003</v>
      </c>
      <c r="DK272" s="106">
        <f>85.56+0.426</f>
        <v>85.986000000000004</v>
      </c>
      <c r="DL272" s="74">
        <f>80.608+0.491</f>
        <v>81.099000000000004</v>
      </c>
      <c r="DM272" s="74">
        <f>65.351+0.495</f>
        <v>65.846000000000004</v>
      </c>
      <c r="DN272" s="74">
        <f>60.078+0.507</f>
        <v>60.585000000000001</v>
      </c>
      <c r="DO272" s="74">
        <f>57.458+3.638</f>
        <v>61.095999999999997</v>
      </c>
      <c r="DP272" s="74">
        <v>3.786</v>
      </c>
      <c r="DQ272" s="74">
        <f>64.11+3.989</f>
        <v>68.099000000000004</v>
      </c>
      <c r="DR272" s="74">
        <f>71.356+4.221</f>
        <v>75.576999999999998</v>
      </c>
      <c r="DS272" s="74">
        <f>93.18+4.177</f>
        <v>97.356999999999999</v>
      </c>
      <c r="DT272" s="74">
        <f>105.069+4.428</f>
        <v>109.497</v>
      </c>
      <c r="DU272" s="74">
        <f>+(1406.169+4.72)*DT272/(SUM($DT$271:$DT$272))</f>
        <v>107.62594621144936</v>
      </c>
      <c r="DV272" s="74">
        <f>97.783+5.139</f>
        <v>102.922</v>
      </c>
      <c r="DW272" s="74">
        <f>95.984+4.11</f>
        <v>100.09399999999999</v>
      </c>
      <c r="DX272" s="74">
        <f>93.221+3.984</f>
        <v>97.204999999999998</v>
      </c>
      <c r="DY272" s="74">
        <v>102.78100000000001</v>
      </c>
      <c r="DZ272" s="74">
        <f>86.359+4.356</f>
        <v>90.714999999999989</v>
      </c>
      <c r="EA272" s="74">
        <f>83.552+4.654</f>
        <v>88.206000000000003</v>
      </c>
      <c r="EB272" s="74">
        <f>108.946+3.225</f>
        <v>112.17099999999999</v>
      </c>
      <c r="EC272" s="74">
        <f>101.409+4.012</f>
        <v>105.42100000000001</v>
      </c>
      <c r="ED272" s="74">
        <f>87.852+4.47</f>
        <v>92.322000000000003</v>
      </c>
      <c r="EE272" s="106">
        <f t="shared" ref="EE272:EP272" si="860">ED272</f>
        <v>92.322000000000003</v>
      </c>
      <c r="EF272" s="106">
        <f t="shared" si="860"/>
        <v>92.322000000000003</v>
      </c>
      <c r="EG272" s="106">
        <f t="shared" si="860"/>
        <v>92.322000000000003</v>
      </c>
      <c r="EH272" s="106">
        <f t="shared" si="860"/>
        <v>92.322000000000003</v>
      </c>
      <c r="EI272" s="106">
        <f t="shared" si="860"/>
        <v>92.322000000000003</v>
      </c>
      <c r="EJ272" s="106">
        <f t="shared" si="860"/>
        <v>92.322000000000003</v>
      </c>
      <c r="EK272" s="106">
        <f t="shared" si="860"/>
        <v>92.322000000000003</v>
      </c>
      <c r="EL272" s="106">
        <f t="shared" si="860"/>
        <v>92.322000000000003</v>
      </c>
      <c r="EM272" s="106">
        <f t="shared" si="860"/>
        <v>92.322000000000003</v>
      </c>
      <c r="EN272" s="106">
        <f t="shared" si="860"/>
        <v>92.322000000000003</v>
      </c>
      <c r="EO272" s="106">
        <f t="shared" si="860"/>
        <v>92.322000000000003</v>
      </c>
      <c r="EP272" s="106">
        <f t="shared" si="860"/>
        <v>92.322000000000003</v>
      </c>
      <c r="EQ272" s="5"/>
      <c r="ER272" s="5"/>
      <c r="ES272" s="355">
        <f t="shared" si="838"/>
        <v>267</v>
      </c>
      <c r="ET272"/>
      <c r="EU272"/>
      <c r="EV272"/>
      <c r="EW272"/>
      <c r="EX272"/>
      <c r="EY272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</row>
    <row r="273" spans="1:257" s="4" customFormat="1" ht="12.75" hidden="1" customHeight="1" outlineLevel="2">
      <c r="A273" s="15"/>
      <c r="B273" s="104" t="s">
        <v>87</v>
      </c>
      <c r="C273" s="101"/>
      <c r="D273" s="101"/>
      <c r="E273" s="101">
        <f t="shared" si="854"/>
        <v>2.677</v>
      </c>
      <c r="F273" s="101">
        <f t="shared" si="855"/>
        <v>2.677</v>
      </c>
      <c r="G273" s="101">
        <f t="shared" si="855"/>
        <v>2.677</v>
      </c>
      <c r="H273" s="101">
        <f t="shared" si="855"/>
        <v>5.3529999999999998</v>
      </c>
      <c r="I273" s="102">
        <f t="shared" si="855"/>
        <v>5.3529999999999998</v>
      </c>
      <c r="J273" s="102">
        <f t="shared" si="855"/>
        <v>5.3529999999999998</v>
      </c>
      <c r="K273" s="102">
        <f t="shared" si="855"/>
        <v>5.3529999999999998</v>
      </c>
      <c r="L273" s="102">
        <f t="shared" si="855"/>
        <v>5.3529999999999998</v>
      </c>
      <c r="M273" s="102">
        <f t="shared" si="855"/>
        <v>5.3529999999999998</v>
      </c>
      <c r="N273" s="102">
        <f t="shared" si="855"/>
        <v>5.3529999999999998</v>
      </c>
      <c r="O273" s="102">
        <f t="shared" si="855"/>
        <v>5.3529999999999998</v>
      </c>
      <c r="P273" s="102">
        <f t="shared" si="856"/>
        <v>5.3529999999999998</v>
      </c>
      <c r="Q273" s="102">
        <f t="shared" si="856"/>
        <v>10.706</v>
      </c>
      <c r="R273" s="102">
        <f t="shared" si="856"/>
        <v>10.706</v>
      </c>
      <c r="S273" s="102">
        <f t="shared" si="856"/>
        <v>10.706</v>
      </c>
      <c r="T273" s="102">
        <f t="shared" si="856"/>
        <v>10.706</v>
      </c>
      <c r="U273" s="102">
        <f t="shared" si="856"/>
        <v>10.706</v>
      </c>
      <c r="V273" s="102">
        <f t="shared" si="856"/>
        <v>10.706</v>
      </c>
      <c r="W273" s="102">
        <f t="shared" si="856"/>
        <v>10.724</v>
      </c>
      <c r="X273" s="102">
        <f t="shared" si="856"/>
        <v>10.76</v>
      </c>
      <c r="Y273" s="102">
        <f t="shared" si="856"/>
        <v>10.874000000000001</v>
      </c>
      <c r="Z273" s="102">
        <f t="shared" si="857"/>
        <v>11.051</v>
      </c>
      <c r="AA273" s="102">
        <f t="shared" si="857"/>
        <v>11.099</v>
      </c>
      <c r="AB273" s="102">
        <f t="shared" si="857"/>
        <v>11.14</v>
      </c>
      <c r="AC273" s="102">
        <f t="shared" si="857"/>
        <v>11.196</v>
      </c>
      <c r="AD273" s="102">
        <f t="shared" si="857"/>
        <v>11.201000000000001</v>
      </c>
      <c r="AE273" s="102">
        <f t="shared" si="857"/>
        <v>11.201000000000001</v>
      </c>
      <c r="AF273" s="102">
        <f t="shared" si="857"/>
        <v>11.201000000000001</v>
      </c>
      <c r="AG273" s="96"/>
      <c r="AH273" s="102"/>
      <c r="AI273" s="102"/>
      <c r="AJ273" s="102"/>
      <c r="AK273" s="102">
        <v>2.677</v>
      </c>
      <c r="AL273" s="102">
        <v>2.677</v>
      </c>
      <c r="AM273" s="102">
        <v>2.677</v>
      </c>
      <c r="AN273" s="102">
        <v>2.677</v>
      </c>
      <c r="AO273" s="102">
        <v>2.677</v>
      </c>
      <c r="AP273" s="102">
        <v>2.677</v>
      </c>
      <c r="AQ273" s="102">
        <v>2.677</v>
      </c>
      <c r="AR273" s="102">
        <v>2.677</v>
      </c>
      <c r="AS273" s="102">
        <v>2.677</v>
      </c>
      <c r="AT273" s="102">
        <v>2.677</v>
      </c>
      <c r="AU273" s="102">
        <v>2.677</v>
      </c>
      <c r="AV273" s="102">
        <v>2.677</v>
      </c>
      <c r="AW273" s="102">
        <v>5.3529999999999998</v>
      </c>
      <c r="AX273" s="102">
        <v>2.677</v>
      </c>
      <c r="AY273" s="102">
        <v>2.677</v>
      </c>
      <c r="AZ273" s="102">
        <v>2.677</v>
      </c>
      <c r="BA273" s="102">
        <v>5.3529999999999998</v>
      </c>
      <c r="BB273" s="102">
        <v>5.3529999999999998</v>
      </c>
      <c r="BC273" s="102">
        <v>5.3529999999999998</v>
      </c>
      <c r="BD273" s="102">
        <v>5.3529999999999998</v>
      </c>
      <c r="BE273" s="102">
        <v>5.3529999999999998</v>
      </c>
      <c r="BF273" s="102">
        <v>5.3529999999999998</v>
      </c>
      <c r="BG273" s="102">
        <v>5.3529999999999998</v>
      </c>
      <c r="BH273" s="102">
        <v>5.3529999999999998</v>
      </c>
      <c r="BI273" s="102">
        <v>5.3529999999999998</v>
      </c>
      <c r="BJ273" s="102">
        <v>5.3529999999999998</v>
      </c>
      <c r="BK273" s="102">
        <v>5.3529999999999998</v>
      </c>
      <c r="BL273" s="102">
        <v>5.3529999999999998</v>
      </c>
      <c r="BM273" s="102">
        <v>5.3529999999999998</v>
      </c>
      <c r="BN273" s="102">
        <v>5.3529999999999998</v>
      </c>
      <c r="BO273" s="102">
        <v>5.3529999999999998</v>
      </c>
      <c r="BP273" s="102">
        <v>5.3529999999999998</v>
      </c>
      <c r="BQ273" s="102">
        <v>5.3529999999999998</v>
      </c>
      <c r="BR273" s="102">
        <v>5.3529999999999998</v>
      </c>
      <c r="BS273" s="102">
        <v>5.3529999999999998</v>
      </c>
      <c r="BT273" s="102">
        <v>5.3529999999999998</v>
      </c>
      <c r="BU273" s="103">
        <v>5.3529999999999998</v>
      </c>
      <c r="BV273" s="102">
        <v>5.3529999999999998</v>
      </c>
      <c r="BW273" s="102">
        <v>5.3529999999999998</v>
      </c>
      <c r="BX273" s="102">
        <v>5.3529999999999998</v>
      </c>
      <c r="BY273" s="102">
        <v>5.3529999999999998</v>
      </c>
      <c r="BZ273" s="102">
        <v>5.3529999999999998</v>
      </c>
      <c r="CA273" s="102">
        <v>5.3529999999999998</v>
      </c>
      <c r="CB273" s="102">
        <v>5.3529999999999998</v>
      </c>
      <c r="CC273" s="102">
        <v>5.3529999999999998</v>
      </c>
      <c r="CD273" s="102">
        <v>5.3529999999999998</v>
      </c>
      <c r="CE273" s="102">
        <v>5.3529999999999998</v>
      </c>
      <c r="CF273" s="102">
        <v>5.3529999999999998</v>
      </c>
      <c r="CG273" s="102">
        <v>10.706</v>
      </c>
      <c r="CH273" s="102">
        <v>5.3529999999999998</v>
      </c>
      <c r="CI273" s="102">
        <v>5.3529999999999998</v>
      </c>
      <c r="CJ273" s="102">
        <v>10.706</v>
      </c>
      <c r="CK273" s="102">
        <v>10.706</v>
      </c>
      <c r="CL273" s="102">
        <v>10.706</v>
      </c>
      <c r="CM273" s="102">
        <v>10.706</v>
      </c>
      <c r="CN273" s="102">
        <v>10.706</v>
      </c>
      <c r="CO273" s="102">
        <v>10.706</v>
      </c>
      <c r="CP273" s="102">
        <v>10.706</v>
      </c>
      <c r="CQ273" s="102">
        <v>10.706</v>
      </c>
      <c r="CR273" s="102">
        <v>10.706</v>
      </c>
      <c r="CS273" s="102">
        <v>10.706</v>
      </c>
      <c r="CT273" s="102">
        <v>10.706</v>
      </c>
      <c r="CU273" s="102">
        <v>10.706</v>
      </c>
      <c r="CV273" s="102">
        <v>10.706</v>
      </c>
      <c r="CW273" s="102">
        <v>10.706</v>
      </c>
      <c r="CX273" s="102">
        <v>10.706</v>
      </c>
      <c r="CY273" s="102">
        <v>10.706</v>
      </c>
      <c r="CZ273" s="102">
        <v>10.706</v>
      </c>
      <c r="DA273" s="102">
        <v>10.706</v>
      </c>
      <c r="DB273" s="102">
        <v>10.706</v>
      </c>
      <c r="DC273" s="102">
        <v>10.706</v>
      </c>
      <c r="DD273" s="101">
        <v>10.714</v>
      </c>
      <c r="DE273" s="101">
        <v>10.724</v>
      </c>
      <c r="DF273" s="101">
        <v>10.749000000000001</v>
      </c>
      <c r="DG273" s="101">
        <v>10.756</v>
      </c>
      <c r="DH273" s="101">
        <v>10.759</v>
      </c>
      <c r="DI273" s="101">
        <v>10.76</v>
      </c>
      <c r="DJ273" s="101">
        <v>10.826000000000001</v>
      </c>
      <c r="DK273" s="101">
        <v>10.843</v>
      </c>
      <c r="DL273" s="101">
        <v>10.848000000000001</v>
      </c>
      <c r="DM273" s="101">
        <v>10.874000000000001</v>
      </c>
      <c r="DN273" s="101">
        <v>10.962</v>
      </c>
      <c r="DO273" s="101">
        <v>11.032</v>
      </c>
      <c r="DP273" s="101">
        <v>11.048</v>
      </c>
      <c r="DQ273" s="101">
        <v>11.051</v>
      </c>
      <c r="DR273" s="101">
        <v>11.083</v>
      </c>
      <c r="DS273" s="101">
        <v>11.085000000000001</v>
      </c>
      <c r="DT273" s="101">
        <v>11.086</v>
      </c>
      <c r="DU273" s="101">
        <v>11.099</v>
      </c>
      <c r="DV273" s="101">
        <v>11.13</v>
      </c>
      <c r="DW273" s="101">
        <v>11.135999999999999</v>
      </c>
      <c r="DX273" s="101">
        <v>11.138</v>
      </c>
      <c r="DY273" s="101">
        <v>11.14</v>
      </c>
      <c r="DZ273" s="101">
        <v>11.188000000000001</v>
      </c>
      <c r="EA273" s="101">
        <v>11.188000000000001</v>
      </c>
      <c r="EB273" s="101">
        <v>11.19</v>
      </c>
      <c r="EC273" s="101">
        <v>11.196</v>
      </c>
      <c r="ED273" s="101">
        <v>11.201000000000001</v>
      </c>
      <c r="EE273" s="101">
        <f t="shared" ref="EE273:EP273" si="861">ED273</f>
        <v>11.201000000000001</v>
      </c>
      <c r="EF273" s="101">
        <f t="shared" si="861"/>
        <v>11.201000000000001</v>
      </c>
      <c r="EG273" s="101">
        <f t="shared" si="861"/>
        <v>11.201000000000001</v>
      </c>
      <c r="EH273" s="101">
        <f t="shared" si="861"/>
        <v>11.201000000000001</v>
      </c>
      <c r="EI273" s="101">
        <f t="shared" si="861"/>
        <v>11.201000000000001</v>
      </c>
      <c r="EJ273" s="101">
        <f t="shared" si="861"/>
        <v>11.201000000000001</v>
      </c>
      <c r="EK273" s="101">
        <f t="shared" si="861"/>
        <v>11.201000000000001</v>
      </c>
      <c r="EL273" s="101">
        <f t="shared" si="861"/>
        <v>11.201000000000001</v>
      </c>
      <c r="EM273" s="101">
        <f t="shared" si="861"/>
        <v>11.201000000000001</v>
      </c>
      <c r="EN273" s="101">
        <f t="shared" si="861"/>
        <v>11.201000000000001</v>
      </c>
      <c r="EO273" s="101">
        <f t="shared" si="861"/>
        <v>11.201000000000001</v>
      </c>
      <c r="EP273" s="101">
        <f t="shared" si="861"/>
        <v>11.201000000000001</v>
      </c>
      <c r="EQ273" s="100"/>
      <c r="ER273" s="100"/>
      <c r="ES273" s="355">
        <f t="shared" si="838"/>
        <v>268</v>
      </c>
      <c r="ET273"/>
      <c r="EU273"/>
      <c r="EV273"/>
      <c r="EW273"/>
      <c r="EX273"/>
      <c r="EY273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</row>
    <row r="274" spans="1:257" s="4" customFormat="1" ht="12.75" hidden="1" customHeight="1" outlineLevel="2">
      <c r="A274" s="15"/>
      <c r="B274" s="104" t="s">
        <v>86</v>
      </c>
      <c r="C274" s="101"/>
      <c r="D274" s="101"/>
      <c r="E274" s="101">
        <f t="shared" si="854"/>
        <v>47.411999999999999</v>
      </c>
      <c r="F274" s="101">
        <f t="shared" si="855"/>
        <v>48.195999999999998</v>
      </c>
      <c r="G274" s="101">
        <f t="shared" si="855"/>
        <v>48.436</v>
      </c>
      <c r="H274" s="101">
        <f t="shared" si="855"/>
        <v>47.734000000000002</v>
      </c>
      <c r="I274" s="102">
        <f t="shared" si="855"/>
        <v>51.316000000000003</v>
      </c>
      <c r="J274" s="102">
        <f t="shared" si="855"/>
        <v>59.003999999999998</v>
      </c>
      <c r="K274" s="102">
        <f t="shared" si="855"/>
        <v>61.411000000000001</v>
      </c>
      <c r="L274" s="102">
        <f t="shared" si="855"/>
        <v>66.09</v>
      </c>
      <c r="M274" s="102">
        <f t="shared" si="855"/>
        <v>80.323999999999998</v>
      </c>
      <c r="N274" s="102">
        <f t="shared" si="855"/>
        <v>82.489000000000004</v>
      </c>
      <c r="O274" s="102">
        <f t="shared" si="855"/>
        <v>83.302000000000007</v>
      </c>
      <c r="P274" s="102">
        <f t="shared" si="856"/>
        <v>85.465999999999994</v>
      </c>
      <c r="Q274" s="102">
        <f t="shared" si="856"/>
        <v>106.944</v>
      </c>
      <c r="R274" s="102">
        <f t="shared" si="856"/>
        <v>135.5</v>
      </c>
      <c r="S274" s="102">
        <f t="shared" si="856"/>
        <v>143.14599999999999</v>
      </c>
      <c r="T274" s="102">
        <f t="shared" si="856"/>
        <v>169.49700000000001</v>
      </c>
      <c r="U274" s="102">
        <f t="shared" si="856"/>
        <v>176.03899999999999</v>
      </c>
      <c r="V274" s="102">
        <f t="shared" si="856"/>
        <v>191.9</v>
      </c>
      <c r="W274" s="102">
        <f t="shared" si="856"/>
        <v>210.90899999999999</v>
      </c>
      <c r="X274" s="102">
        <f t="shared" si="856"/>
        <v>236.24</v>
      </c>
      <c r="Y274" s="102">
        <f t="shared" si="856"/>
        <v>288.75799999999998</v>
      </c>
      <c r="Z274" s="102">
        <f t="shared" si="857"/>
        <v>383.97199999999998</v>
      </c>
      <c r="AA274" s="102">
        <f t="shared" si="857"/>
        <v>420.14100000000002</v>
      </c>
      <c r="AB274" s="102">
        <f t="shared" si="857"/>
        <v>448.452</v>
      </c>
      <c r="AC274" s="102">
        <f t="shared" si="857"/>
        <v>487.24799999999999</v>
      </c>
      <c r="AD274" s="102">
        <f t="shared" si="857"/>
        <v>501.60306188699997</v>
      </c>
      <c r="AE274" s="102">
        <f t="shared" si="857"/>
        <v>531.54754727862041</v>
      </c>
      <c r="AF274" s="102">
        <f t="shared" si="857"/>
        <v>562.70789885452689</v>
      </c>
      <c r="AG274" s="96"/>
      <c r="AH274" s="102"/>
      <c r="AI274" s="102"/>
      <c r="AJ274" s="102"/>
      <c r="AK274" s="102">
        <v>47.411999999999999</v>
      </c>
      <c r="AL274" s="102">
        <v>47.893000000000001</v>
      </c>
      <c r="AM274" s="102">
        <v>47.893000000000001</v>
      </c>
      <c r="AN274" s="102">
        <v>48.326999999999998</v>
      </c>
      <c r="AO274" s="102">
        <v>48.195999999999998</v>
      </c>
      <c r="AP274" s="102">
        <v>48.276000000000003</v>
      </c>
      <c r="AQ274" s="102">
        <v>48.003</v>
      </c>
      <c r="AR274" s="102">
        <v>48.414999999999999</v>
      </c>
      <c r="AS274" s="102">
        <v>48.436</v>
      </c>
      <c r="AT274" s="102">
        <v>48.436</v>
      </c>
      <c r="AU274" s="102">
        <v>49.031999999999996</v>
      </c>
      <c r="AV274" s="102">
        <v>49.207999999999998</v>
      </c>
      <c r="AW274" s="102">
        <v>47.734000000000002</v>
      </c>
      <c r="AX274" s="102">
        <v>50.954999999999998</v>
      </c>
      <c r="AY274" s="102">
        <v>51.219000000000001</v>
      </c>
      <c r="AZ274" s="102">
        <v>51.93</v>
      </c>
      <c r="BA274" s="102">
        <v>51.316000000000003</v>
      </c>
      <c r="BB274" s="102">
        <v>57.654000000000003</v>
      </c>
      <c r="BC274" s="102">
        <v>57.771000000000001</v>
      </c>
      <c r="BD274" s="102">
        <v>57.883000000000003</v>
      </c>
      <c r="BE274" s="102">
        <v>59.003999999999998</v>
      </c>
      <c r="BF274" s="102">
        <v>59.25</v>
      </c>
      <c r="BG274" s="102">
        <v>59.323</v>
      </c>
      <c r="BH274" s="102">
        <v>59.652999999999999</v>
      </c>
      <c r="BI274" s="102">
        <v>61.411000000000001</v>
      </c>
      <c r="BJ274" s="102">
        <v>61.723999999999997</v>
      </c>
      <c r="BK274" s="102">
        <v>62.206000000000003</v>
      </c>
      <c r="BL274" s="102">
        <v>63.151000000000003</v>
      </c>
      <c r="BM274" s="102">
        <v>66.09</v>
      </c>
      <c r="BN274" s="102">
        <v>67.19</v>
      </c>
      <c r="BO274" s="102">
        <v>80.009</v>
      </c>
      <c r="BP274" s="102">
        <v>80.224999999999994</v>
      </c>
      <c r="BQ274" s="102">
        <v>80.323999999999998</v>
      </c>
      <c r="BR274" s="105">
        <v>80.201999999999998</v>
      </c>
      <c r="BS274" s="102">
        <v>80.703999999999994</v>
      </c>
      <c r="BT274" s="102">
        <v>81.881</v>
      </c>
      <c r="BU274" s="103">
        <v>82.489000000000004</v>
      </c>
      <c r="BV274" s="102">
        <v>82.412999999999997</v>
      </c>
      <c r="BW274" s="102">
        <v>82.45</v>
      </c>
      <c r="BX274" s="102">
        <v>82.924999999999997</v>
      </c>
      <c r="BY274" s="102">
        <v>83.302000000000007</v>
      </c>
      <c r="BZ274" s="102">
        <v>83.608999999999995</v>
      </c>
      <c r="CA274" s="102">
        <v>85.037999999999997</v>
      </c>
      <c r="CB274" s="102">
        <v>85.338999999999999</v>
      </c>
      <c r="CC274" s="102">
        <v>85.465999999999994</v>
      </c>
      <c r="CD274" s="102">
        <v>92.24</v>
      </c>
      <c r="CE274" s="102">
        <v>97.016000000000005</v>
      </c>
      <c r="CF274" s="102">
        <v>100.033</v>
      </c>
      <c r="CG274" s="102">
        <v>106.944</v>
      </c>
      <c r="CH274" s="102">
        <v>118.202</v>
      </c>
      <c r="CI274" s="102">
        <v>130.876</v>
      </c>
      <c r="CJ274" s="102">
        <v>133.88800000000001</v>
      </c>
      <c r="CK274" s="102">
        <v>135.5</v>
      </c>
      <c r="CL274" s="102">
        <v>137.22499999999999</v>
      </c>
      <c r="CM274" s="102">
        <v>138.934</v>
      </c>
      <c r="CN274" s="102">
        <v>141.279</v>
      </c>
      <c r="CO274" s="102">
        <v>143.14599999999999</v>
      </c>
      <c r="CP274" s="102">
        <v>146.81899999999999</v>
      </c>
      <c r="CQ274" s="102">
        <v>152.04</v>
      </c>
      <c r="CR274" s="102">
        <v>167.45599999999999</v>
      </c>
      <c r="CS274" s="102">
        <v>169.49700000000001</v>
      </c>
      <c r="CT274" s="102">
        <v>170.197</v>
      </c>
      <c r="CU274" s="102">
        <v>172.21299999999999</v>
      </c>
      <c r="CV274" s="102">
        <v>174.00800000000001</v>
      </c>
      <c r="CW274" s="102">
        <v>176.03899999999999</v>
      </c>
      <c r="CX274" s="102">
        <v>182.12100000000001</v>
      </c>
      <c r="CY274" s="102">
        <v>185.34899999999999</v>
      </c>
      <c r="CZ274" s="102">
        <v>188.786</v>
      </c>
      <c r="DA274" s="102">
        <v>191.9</v>
      </c>
      <c r="DB274" s="102">
        <v>193.34100000000001</v>
      </c>
      <c r="DC274" s="102">
        <v>200.095</v>
      </c>
      <c r="DD274" s="101">
        <v>205.00899999999999</v>
      </c>
      <c r="DE274" s="101">
        <v>210.90899999999999</v>
      </c>
      <c r="DF274" s="101">
        <v>218.72399999999999</v>
      </c>
      <c r="DG274" s="101">
        <v>225.917</v>
      </c>
      <c r="DH274" s="101">
        <v>231.04400000000001</v>
      </c>
      <c r="DI274" s="101">
        <v>236.24</v>
      </c>
      <c r="DJ274" s="101">
        <v>254.68899999999999</v>
      </c>
      <c r="DK274" s="101">
        <v>265.94299999999998</v>
      </c>
      <c r="DL274" s="101">
        <v>273.28699999999998</v>
      </c>
      <c r="DM274" s="101">
        <v>288.75799999999998</v>
      </c>
      <c r="DN274" s="101">
        <v>322.88900000000001</v>
      </c>
      <c r="DO274" s="101">
        <v>359.995</v>
      </c>
      <c r="DP274" s="101">
        <v>376.46499999999997</v>
      </c>
      <c r="DQ274" s="101">
        <v>383.97199999999998</v>
      </c>
      <c r="DR274" s="101">
        <v>395.32499999999999</v>
      </c>
      <c r="DS274" s="101">
        <v>402.44200000000001</v>
      </c>
      <c r="DT274" s="101">
        <v>409.15899999999999</v>
      </c>
      <c r="DU274" s="101">
        <v>420.14100000000002</v>
      </c>
      <c r="DV274" s="101">
        <v>427.59</v>
      </c>
      <c r="DW274" s="101">
        <v>436.11700000000002</v>
      </c>
      <c r="DX274" s="101">
        <v>442.88299999999998</v>
      </c>
      <c r="DY274" s="101">
        <v>448.452</v>
      </c>
      <c r="DZ274" s="101">
        <v>463.85899999999998</v>
      </c>
      <c r="EA274" s="101">
        <v>470.91800000000001</v>
      </c>
      <c r="EB274" s="101">
        <v>478.23099999999999</v>
      </c>
      <c r="EC274" s="101">
        <v>487.24799999999999</v>
      </c>
      <c r="ED274" s="101">
        <v>479.91399999999999</v>
      </c>
      <c r="EE274" s="101">
        <f t="shared" ref="EE274:EP274" si="862">ED274+EE219+EE239+EE240</f>
        <v>487.07186999999999</v>
      </c>
      <c r="EF274" s="101">
        <f t="shared" si="862"/>
        <v>494.30131869999997</v>
      </c>
      <c r="EG274" s="101">
        <f t="shared" si="862"/>
        <v>501.60306188699997</v>
      </c>
      <c r="EH274" s="101">
        <f t="shared" si="862"/>
        <v>508.97782250586999</v>
      </c>
      <c r="EI274" s="101">
        <f t="shared" si="862"/>
        <v>516.42633073092873</v>
      </c>
      <c r="EJ274" s="101">
        <f t="shared" si="862"/>
        <v>523.94932403823805</v>
      </c>
      <c r="EK274" s="101">
        <f t="shared" si="862"/>
        <v>531.54754727862041</v>
      </c>
      <c r="EL274" s="101">
        <f t="shared" si="862"/>
        <v>539.2217527514066</v>
      </c>
      <c r="EM274" s="101">
        <f t="shared" si="862"/>
        <v>546.97270027892068</v>
      </c>
      <c r="EN274" s="101">
        <f t="shared" si="862"/>
        <v>554.80115728170983</v>
      </c>
      <c r="EO274" s="101">
        <f t="shared" si="862"/>
        <v>562.70789885452689</v>
      </c>
      <c r="EP274" s="101">
        <f t="shared" si="862"/>
        <v>570.69370784307216</v>
      </c>
      <c r="EQ274" s="100"/>
      <c r="ER274" s="100"/>
      <c r="ES274" s="355">
        <f t="shared" si="838"/>
        <v>269</v>
      </c>
      <c r="ET274"/>
      <c r="EU274"/>
      <c r="EV274"/>
      <c r="EW274"/>
      <c r="EX274"/>
      <c r="EY274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</row>
    <row r="275" spans="1:257" s="4" customFormat="1" ht="12.75" hidden="1" customHeight="1" outlineLevel="2">
      <c r="A275" s="15"/>
      <c r="B275" s="104" t="s">
        <v>85</v>
      </c>
      <c r="C275" s="101"/>
      <c r="D275" s="101"/>
      <c r="E275" s="101">
        <f t="shared" si="854"/>
        <v>482.40499999999997</v>
      </c>
      <c r="F275" s="101">
        <f t="shared" si="855"/>
        <v>496.28</v>
      </c>
      <c r="G275" s="101">
        <f t="shared" si="855"/>
        <v>495.69200000000001</v>
      </c>
      <c r="H275" s="101">
        <f t="shared" si="855"/>
        <v>557.54300000000001</v>
      </c>
      <c r="I275" s="102">
        <f t="shared" si="855"/>
        <v>629.56200000000001</v>
      </c>
      <c r="J275" s="102">
        <f t="shared" si="855"/>
        <v>716.875</v>
      </c>
      <c r="K275" s="102">
        <f t="shared" si="855"/>
        <v>745.95600000000002</v>
      </c>
      <c r="L275" s="102">
        <f t="shared" si="855"/>
        <v>813.88499999999999</v>
      </c>
      <c r="M275" s="102">
        <f t="shared" si="855"/>
        <v>943.10500000000002</v>
      </c>
      <c r="N275" s="102">
        <f t="shared" si="855"/>
        <v>838.92899999999997</v>
      </c>
      <c r="O275" s="102">
        <f t="shared" si="855"/>
        <v>840.77599999999995</v>
      </c>
      <c r="P275" s="102">
        <f t="shared" si="856"/>
        <v>828.76300000000003</v>
      </c>
      <c r="Q275" s="102">
        <f t="shared" si="856"/>
        <v>939.38</v>
      </c>
      <c r="R275" s="102">
        <f t="shared" si="856"/>
        <v>1215.127</v>
      </c>
      <c r="S275" s="102">
        <f t="shared" si="856"/>
        <v>1645.7660000000001</v>
      </c>
      <c r="T275" s="102">
        <f t="shared" si="856"/>
        <v>2082.518</v>
      </c>
      <c r="U275" s="102">
        <f t="shared" si="856"/>
        <v>2414.942</v>
      </c>
      <c r="V275" s="102">
        <f t="shared" si="856"/>
        <v>2547.9169999999999</v>
      </c>
      <c r="W275" s="102">
        <f t="shared" si="856"/>
        <v>2954.21</v>
      </c>
      <c r="X275" s="102">
        <f t="shared" si="856"/>
        <v>3505.2950000000001</v>
      </c>
      <c r="Y275" s="102">
        <f t="shared" si="856"/>
        <v>4102.6629999999996</v>
      </c>
      <c r="Z275" s="102">
        <f t="shared" si="857"/>
        <v>4525.7969999999996</v>
      </c>
      <c r="AA275" s="102">
        <f t="shared" si="857"/>
        <v>4649.9520000000002</v>
      </c>
      <c r="AB275" s="102">
        <f t="shared" si="857"/>
        <v>4289.8069999999998</v>
      </c>
      <c r="AC275" s="102">
        <f t="shared" si="857"/>
        <v>3855.6860000000001</v>
      </c>
      <c r="AD275" s="102">
        <f t="shared" si="857"/>
        <v>4079.5507866937096</v>
      </c>
      <c r="AE275" s="102">
        <f t="shared" si="857"/>
        <v>3969.6470670754775</v>
      </c>
      <c r="AF275" s="102">
        <f t="shared" si="857"/>
        <v>3918.4287201938037</v>
      </c>
      <c r="AG275" s="96"/>
      <c r="AH275" s="102"/>
      <c r="AI275" s="102"/>
      <c r="AJ275" s="102"/>
      <c r="AK275" s="102">
        <v>482.40499999999997</v>
      </c>
      <c r="AL275" s="102">
        <v>490.32400000000001</v>
      </c>
      <c r="AM275" s="102">
        <v>493.97699999999998</v>
      </c>
      <c r="AN275" s="102">
        <v>496.13099999999997</v>
      </c>
      <c r="AO275" s="102">
        <v>496.28</v>
      </c>
      <c r="AP275" s="102">
        <v>498.06299999999999</v>
      </c>
      <c r="AQ275" s="102">
        <v>501.50700000000001</v>
      </c>
      <c r="AR275" s="102">
        <v>503.42</v>
      </c>
      <c r="AS275" s="102">
        <v>495.69200000000001</v>
      </c>
      <c r="AT275" s="102">
        <v>504.11500000000001</v>
      </c>
      <c r="AU275" s="102">
        <v>512.745</v>
      </c>
      <c r="AV275" s="102">
        <v>523.18600000000004</v>
      </c>
      <c r="AW275" s="102">
        <v>557.54300000000001</v>
      </c>
      <c r="AX275" s="102">
        <v>574.79300000000001</v>
      </c>
      <c r="AY275" s="102">
        <v>594.33799999999997</v>
      </c>
      <c r="AZ275" s="102">
        <v>614.779</v>
      </c>
      <c r="BA275" s="102">
        <v>629.56200000000001</v>
      </c>
      <c r="BB275" s="102">
        <v>655.24400000000003</v>
      </c>
      <c r="BC275" s="102">
        <v>671.10199999999998</v>
      </c>
      <c r="BD275" s="102">
        <v>701.48299999999995</v>
      </c>
      <c r="BE275" s="102">
        <v>716.875</v>
      </c>
      <c r="BF275" s="102">
        <v>726.26700000000005</v>
      </c>
      <c r="BG275" s="102">
        <v>730.2</v>
      </c>
      <c r="BH275" s="102">
        <v>738.96900000000005</v>
      </c>
      <c r="BI275" s="102">
        <v>745.95600000000002</v>
      </c>
      <c r="BJ275" s="102">
        <v>762.95899999999995</v>
      </c>
      <c r="BK275" s="102">
        <v>778.77300000000002</v>
      </c>
      <c r="BL275" s="102">
        <v>793.60500000000002</v>
      </c>
      <c r="BM275" s="102">
        <v>813.88499999999999</v>
      </c>
      <c r="BN275" s="102">
        <v>843.98099999999999</v>
      </c>
      <c r="BO275" s="102">
        <v>881.91499999999996</v>
      </c>
      <c r="BP275" s="102">
        <v>918.55899999999997</v>
      </c>
      <c r="BQ275" s="102">
        <v>943.10500000000002</v>
      </c>
      <c r="BR275" s="102">
        <v>954.96199999999999</v>
      </c>
      <c r="BS275" s="102">
        <v>962.09199999999998</v>
      </c>
      <c r="BT275" s="102">
        <v>986.55899999999997</v>
      </c>
      <c r="BU275" s="103">
        <v>838.92899999999997</v>
      </c>
      <c r="BV275" s="102">
        <v>835.53399999999999</v>
      </c>
      <c r="BW275" s="102">
        <v>834.10599999999999</v>
      </c>
      <c r="BX275" s="102">
        <v>838.26</v>
      </c>
      <c r="BY275" s="102">
        <v>840.77599999999995</v>
      </c>
      <c r="BZ275" s="102">
        <v>842.39</v>
      </c>
      <c r="CA275" s="102">
        <v>844.40300000000002</v>
      </c>
      <c r="CB275" s="102">
        <v>844.71699999999998</v>
      </c>
      <c r="CC275" s="102">
        <v>828.76300000000003</v>
      </c>
      <c r="CD275" s="102">
        <v>863.88699999999994</v>
      </c>
      <c r="CE275" s="102">
        <v>881.98400000000004</v>
      </c>
      <c r="CF275" s="102">
        <v>907.56299999999999</v>
      </c>
      <c r="CG275" s="102">
        <v>939.38</v>
      </c>
      <c r="CH275" s="102">
        <v>985.88099999999997</v>
      </c>
      <c r="CI275" s="102">
        <v>1046.1030000000001</v>
      </c>
      <c r="CJ275" s="102">
        <v>1121.3330000000001</v>
      </c>
      <c r="CK275" s="102">
        <v>1215.127</v>
      </c>
      <c r="CL275" s="102">
        <v>1321.2860000000001</v>
      </c>
      <c r="CM275" s="102">
        <v>1423.489</v>
      </c>
      <c r="CN275" s="102">
        <v>1534.0250000000001</v>
      </c>
      <c r="CO275" s="102">
        <v>1645.7660000000001</v>
      </c>
      <c r="CP275" s="102">
        <v>1743.874</v>
      </c>
      <c r="CQ275" s="102">
        <v>1841.2180000000001</v>
      </c>
      <c r="CR275" s="102">
        <v>1961.306</v>
      </c>
      <c r="CS275" s="102">
        <v>2082.518</v>
      </c>
      <c r="CT275" s="102">
        <v>2222.5149999999999</v>
      </c>
      <c r="CU275" s="102">
        <v>2320.9810000000002</v>
      </c>
      <c r="CV275" s="102">
        <v>2368.7370000000001</v>
      </c>
      <c r="CW275" s="102">
        <v>2414.942</v>
      </c>
      <c r="CX275" s="102">
        <v>2472.875</v>
      </c>
      <c r="CY275" s="102">
        <v>2514.3200000000002</v>
      </c>
      <c r="CZ275" s="102">
        <v>2471.2379999999998</v>
      </c>
      <c r="DA275" s="102">
        <v>2547.9169999999999</v>
      </c>
      <c r="DB275" s="102">
        <v>2645.6619999999998</v>
      </c>
      <c r="DC275" s="102">
        <v>2738.0079999999998</v>
      </c>
      <c r="DD275" s="101">
        <v>2840.3150000000001</v>
      </c>
      <c r="DE275" s="101">
        <v>2954.21</v>
      </c>
      <c r="DF275" s="101">
        <v>3090.9459999999999</v>
      </c>
      <c r="DG275" s="101">
        <v>3213.1129999999998</v>
      </c>
      <c r="DH275" s="101">
        <v>3355.6030000000001</v>
      </c>
      <c r="DI275" s="101">
        <v>3505.2950000000001</v>
      </c>
      <c r="DJ275" s="101">
        <v>3648.8719999999998</v>
      </c>
      <c r="DK275" s="101">
        <v>3783.89</v>
      </c>
      <c r="DL275" s="101">
        <v>3996.53</v>
      </c>
      <c r="DM275" s="101">
        <v>4102.6629999999996</v>
      </c>
      <c r="DN275" s="101">
        <v>4208.0739999999996</v>
      </c>
      <c r="DO275" s="101">
        <v>4314.5709999999999</v>
      </c>
      <c r="DP275" s="101">
        <v>4431.9740000000002</v>
      </c>
      <c r="DQ275" s="101">
        <v>4525.7969999999996</v>
      </c>
      <c r="DR275" s="101">
        <v>4654.3490000000002</v>
      </c>
      <c r="DS275" s="101">
        <v>4729.3900000000003</v>
      </c>
      <c r="DT275" s="101">
        <v>4745.7709999999997</v>
      </c>
      <c r="DU275" s="101">
        <v>4649.9520000000002</v>
      </c>
      <c r="DV275" s="101">
        <v>4589.5969999999998</v>
      </c>
      <c r="DW275" s="101">
        <v>4536.0469999999996</v>
      </c>
      <c r="DX275" s="101">
        <v>4438.7479999999996</v>
      </c>
      <c r="DY275" s="101">
        <v>4289.8069999999998</v>
      </c>
      <c r="DZ275" s="101">
        <v>4178.2349999999997</v>
      </c>
      <c r="EA275" s="101">
        <v>4052.9740000000002</v>
      </c>
      <c r="EB275" s="101">
        <v>3954.7049999999999</v>
      </c>
      <c r="EC275" s="101">
        <v>3855.6860000000001</v>
      </c>
      <c r="ED275" s="101">
        <v>4278.326</v>
      </c>
      <c r="EE275" s="101">
        <f t="shared" ref="EE275:EP275" si="863">ED275+EE215+EE238</f>
        <v>4199.2946751170266</v>
      </c>
      <c r="EF275" s="101">
        <f t="shared" si="863"/>
        <v>4130.2996431047686</v>
      </c>
      <c r="EG275" s="101">
        <f t="shared" si="863"/>
        <v>4079.5507866937096</v>
      </c>
      <c r="EH275" s="101">
        <f t="shared" si="863"/>
        <v>4040.4756479190605</v>
      </c>
      <c r="EI275" s="101">
        <f t="shared" si="863"/>
        <v>4010.5175789102464</v>
      </c>
      <c r="EJ275" s="101">
        <f t="shared" si="863"/>
        <v>3987.2168510935899</v>
      </c>
      <c r="EK275" s="101">
        <f t="shared" si="863"/>
        <v>3969.6470670754775</v>
      </c>
      <c r="EL275" s="101">
        <f t="shared" si="863"/>
        <v>3960.5285301000358</v>
      </c>
      <c r="EM275" s="101">
        <f t="shared" si="863"/>
        <v>3947.4671421615808</v>
      </c>
      <c r="EN275" s="101">
        <f t="shared" si="863"/>
        <v>3932.7113854418967</v>
      </c>
      <c r="EO275" s="101">
        <f t="shared" si="863"/>
        <v>3918.4287201938037</v>
      </c>
      <c r="EP275" s="101">
        <f t="shared" si="863"/>
        <v>3902.4370732941634</v>
      </c>
      <c r="EQ275" s="100"/>
      <c r="ER275" s="100"/>
      <c r="ES275" s="355">
        <f t="shared" si="838"/>
        <v>270</v>
      </c>
      <c r="ET275"/>
      <c r="EU275"/>
      <c r="EV275"/>
      <c r="EW275"/>
      <c r="EX275"/>
      <c r="EY275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</row>
    <row r="276" spans="1:257" s="4" customFormat="1" ht="12.75" hidden="1" customHeight="1" outlineLevel="2">
      <c r="A276" s="15"/>
      <c r="B276" s="104" t="s">
        <v>84</v>
      </c>
      <c r="C276" s="101"/>
      <c r="D276" s="101"/>
      <c r="E276" s="101">
        <f t="shared" si="854"/>
        <v>0</v>
      </c>
      <c r="F276" s="101">
        <f t="shared" si="855"/>
        <v>0</v>
      </c>
      <c r="G276" s="101">
        <f t="shared" si="855"/>
        <v>38.003999999999998</v>
      </c>
      <c r="H276" s="101">
        <f t="shared" si="855"/>
        <v>56.55</v>
      </c>
      <c r="I276" s="102">
        <f t="shared" si="855"/>
        <v>114.45399999999999</v>
      </c>
      <c r="J276" s="102">
        <f t="shared" si="855"/>
        <v>49.084000000000003</v>
      </c>
      <c r="K276" s="102">
        <f t="shared" si="855"/>
        <v>70.695000000000007</v>
      </c>
      <c r="L276" s="102">
        <f t="shared" si="855"/>
        <v>102.78699999999999</v>
      </c>
      <c r="M276" s="102">
        <f t="shared" si="855"/>
        <v>47.497</v>
      </c>
      <c r="N276" s="102">
        <f t="shared" si="855"/>
        <v>15.99</v>
      </c>
      <c r="O276" s="102">
        <f t="shared" si="855"/>
        <v>33.658000000000001</v>
      </c>
      <c r="P276" s="102">
        <f t="shared" si="856"/>
        <v>36.252000000000002</v>
      </c>
      <c r="Q276" s="102">
        <f t="shared" si="856"/>
        <v>47.41</v>
      </c>
      <c r="R276" s="102">
        <f t="shared" si="856"/>
        <v>69.644999999999996</v>
      </c>
      <c r="S276" s="102">
        <f t="shared" si="856"/>
        <v>75.885000000000005</v>
      </c>
      <c r="T276" s="102">
        <f t="shared" si="856"/>
        <v>38.406999999999996</v>
      </c>
      <c r="U276" s="102">
        <f t="shared" si="856"/>
        <v>112.45099999999999</v>
      </c>
      <c r="V276" s="102">
        <f t="shared" si="856"/>
        <v>84.106999999999999</v>
      </c>
      <c r="W276" s="102">
        <f t="shared" si="856"/>
        <v>98.908000000000001</v>
      </c>
      <c r="X276" s="102">
        <f t="shared" si="856"/>
        <v>166.80699999999999</v>
      </c>
      <c r="Y276" s="102">
        <f t="shared" si="856"/>
        <v>132.53</v>
      </c>
      <c r="Z276" s="102">
        <f t="shared" si="857"/>
        <v>83.126000000000005</v>
      </c>
      <c r="AA276" s="102">
        <f t="shared" si="857"/>
        <v>-1.377</v>
      </c>
      <c r="AB276" s="102">
        <f t="shared" si="857"/>
        <v>-0.20399999999999999</v>
      </c>
      <c r="AC276" s="102">
        <f t="shared" si="857"/>
        <v>2.2999999999999998</v>
      </c>
      <c r="AD276" s="102">
        <f t="shared" si="857"/>
        <v>2.0390000000000001</v>
      </c>
      <c r="AE276" s="102">
        <f t="shared" si="857"/>
        <v>2.0390000000000001</v>
      </c>
      <c r="AF276" s="102">
        <f t="shared" si="857"/>
        <v>2.0390000000000001</v>
      </c>
      <c r="AG276" s="96"/>
      <c r="AH276" s="102"/>
      <c r="AI276" s="102"/>
      <c r="AJ276" s="102"/>
      <c r="AK276" s="18">
        <v>0</v>
      </c>
      <c r="AL276" s="18">
        <v>0</v>
      </c>
      <c r="AM276" s="18">
        <v>0</v>
      </c>
      <c r="AN276" s="102">
        <v>0</v>
      </c>
      <c r="AO276" s="102">
        <v>0</v>
      </c>
      <c r="AP276" s="102">
        <v>30.7</v>
      </c>
      <c r="AQ276" s="105">
        <v>35.835999999999999</v>
      </c>
      <c r="AR276" s="102">
        <v>36.865000000000002</v>
      </c>
      <c r="AS276" s="102">
        <v>38.003999999999998</v>
      </c>
      <c r="AT276" s="102">
        <v>43.332000000000001</v>
      </c>
      <c r="AU276" s="105">
        <v>50.695</v>
      </c>
      <c r="AV276" s="102">
        <v>56.081000000000003</v>
      </c>
      <c r="AW276" s="102">
        <v>56.55</v>
      </c>
      <c r="AX276" s="102">
        <v>69.775000000000006</v>
      </c>
      <c r="AY276" s="102">
        <v>68.084000000000003</v>
      </c>
      <c r="AZ276" s="102">
        <v>82.533000000000001</v>
      </c>
      <c r="BA276" s="102">
        <v>114.45399999999999</v>
      </c>
      <c r="BB276" s="102">
        <f>-6.623+108.39</f>
        <v>101.767</v>
      </c>
      <c r="BC276" s="102">
        <f>109.206-6.284</f>
        <v>102.922</v>
      </c>
      <c r="BD276" s="102">
        <f>88.424-5.944</f>
        <v>82.48</v>
      </c>
      <c r="BE276" s="102">
        <f>-5.605+54.689</f>
        <v>49.084000000000003</v>
      </c>
      <c r="BF276" s="102">
        <f>53.178-5.549</f>
        <v>47.628999999999998</v>
      </c>
      <c r="BG276" s="102">
        <f>63.924-5.195</f>
        <v>58.728999999999999</v>
      </c>
      <c r="BH276" s="102">
        <f>75.138-4.841</f>
        <v>70.297000000000011</v>
      </c>
      <c r="BI276" s="102">
        <f>-4.487+75.182</f>
        <v>70.695000000000007</v>
      </c>
      <c r="BJ276" s="102">
        <f>78.996-4.376</f>
        <v>74.61999999999999</v>
      </c>
      <c r="BK276" s="102">
        <f>100.129-4.01</f>
        <v>96.119</v>
      </c>
      <c r="BL276" s="102">
        <f>90.193-3.644</f>
        <v>86.548999999999992</v>
      </c>
      <c r="BM276" s="102">
        <f>106.064-3.277</f>
        <v>102.78699999999999</v>
      </c>
      <c r="BN276" s="102">
        <f>98.317-2.911</f>
        <v>95.405999999999992</v>
      </c>
      <c r="BO276" s="102">
        <f>70.326-2.545</f>
        <v>67.780999999999992</v>
      </c>
      <c r="BP276" s="102">
        <f>71.271-2.178</f>
        <v>69.093000000000004</v>
      </c>
      <c r="BQ276" s="102">
        <f>49.309-1.812</f>
        <v>47.497</v>
      </c>
      <c r="BR276" s="102">
        <f>66.638-1.446</f>
        <v>65.192000000000007</v>
      </c>
      <c r="BS276" s="102">
        <f>70.171-1.079</f>
        <v>69.092000000000013</v>
      </c>
      <c r="BT276" s="102">
        <f>36.453-0.713</f>
        <v>35.74</v>
      </c>
      <c r="BU276" s="103">
        <f>16.18-0.19</f>
        <v>15.99</v>
      </c>
      <c r="BV276" s="102">
        <f>22.284-0.053</f>
        <v>22.230999999999998</v>
      </c>
      <c r="BW276" s="102">
        <f>18.618-0.038</f>
        <v>18.579999999999998</v>
      </c>
      <c r="BX276" s="102">
        <f>31.732-0.024</f>
        <v>31.707999999999998</v>
      </c>
      <c r="BY276" s="102">
        <f>33.668-0.01</f>
        <v>33.658000000000001</v>
      </c>
      <c r="BZ276" s="102">
        <v>40.021999999999998</v>
      </c>
      <c r="CA276" s="102">
        <v>44.713000000000001</v>
      </c>
      <c r="CB276" s="102">
        <v>43.515000000000001</v>
      </c>
      <c r="CC276" s="102">
        <v>36.252000000000002</v>
      </c>
      <c r="CD276" s="102">
        <f>-0.157+37.282</f>
        <v>37.125</v>
      </c>
      <c r="CE276" s="102">
        <f>39.109-0.149</f>
        <v>38.96</v>
      </c>
      <c r="CF276" s="102">
        <f>-0.141+43.724</f>
        <v>43.582999999999998</v>
      </c>
      <c r="CG276" s="102">
        <f>47.544-0.134</f>
        <v>47.41</v>
      </c>
      <c r="CH276" s="102">
        <v>55.787999999999997</v>
      </c>
      <c r="CI276" s="102">
        <v>78.8</v>
      </c>
      <c r="CJ276" s="102">
        <v>74.605999999999995</v>
      </c>
      <c r="CK276" s="102">
        <v>69.644999999999996</v>
      </c>
      <c r="CL276" s="102">
        <v>53.408000000000001</v>
      </c>
      <c r="CM276" s="102">
        <v>59.747999999999998</v>
      </c>
      <c r="CN276" s="102">
        <v>59.137</v>
      </c>
      <c r="CO276" s="102">
        <v>75.885000000000005</v>
      </c>
      <c r="CP276" s="102">
        <v>70.597999999999999</v>
      </c>
      <c r="CQ276" s="102">
        <v>58.695</v>
      </c>
      <c r="CR276" s="102">
        <v>62.615000000000002</v>
      </c>
      <c r="CS276" s="102">
        <v>38.406999999999996</v>
      </c>
      <c r="CT276" s="102">
        <v>16.956</v>
      </c>
      <c r="CU276" s="102">
        <v>15.93</v>
      </c>
      <c r="CV276" s="102">
        <v>72.247</v>
      </c>
      <c r="CW276" s="102">
        <v>112.45099999999999</v>
      </c>
      <c r="CX276" s="102">
        <v>119.005</v>
      </c>
      <c r="CY276" s="102">
        <v>112.255</v>
      </c>
      <c r="CZ276" s="102">
        <v>62.13</v>
      </c>
      <c r="DA276" s="102">
        <v>84.106999999999999</v>
      </c>
      <c r="DB276" s="102">
        <v>132.41200000000001</v>
      </c>
      <c r="DC276" s="102">
        <v>184.083</v>
      </c>
      <c r="DD276" s="101">
        <v>168.904</v>
      </c>
      <c r="DE276" s="101">
        <v>98.908000000000001</v>
      </c>
      <c r="DF276" s="101">
        <v>131.785</v>
      </c>
      <c r="DG276" s="101">
        <v>158.804</v>
      </c>
      <c r="DH276" s="101">
        <v>121.288</v>
      </c>
      <c r="DI276" s="101">
        <v>166.80699999999999</v>
      </c>
      <c r="DJ276" s="101">
        <v>167.10599999999999</v>
      </c>
      <c r="DK276" s="101">
        <v>205.054</v>
      </c>
      <c r="DL276" s="101">
        <v>105.45699999999999</v>
      </c>
      <c r="DM276" s="101">
        <v>132.53</v>
      </c>
      <c r="DN276" s="101">
        <v>129.71600000000001</v>
      </c>
      <c r="DO276" s="101">
        <v>113.425</v>
      </c>
      <c r="DP276" s="101">
        <v>112.44499999999999</v>
      </c>
      <c r="DQ276" s="101">
        <v>83.126000000000005</v>
      </c>
      <c r="DR276" s="101">
        <v>41.078000000000003</v>
      </c>
      <c r="DS276" s="101">
        <v>40.072000000000003</v>
      </c>
      <c r="DT276" s="101">
        <v>36.962000000000003</v>
      </c>
      <c r="DU276" s="101">
        <v>-1.377</v>
      </c>
      <c r="DV276" s="101">
        <v>-12.074</v>
      </c>
      <c r="DW276" s="101">
        <v>-13.214</v>
      </c>
      <c r="DX276" s="101">
        <v>-3.1560000000000001</v>
      </c>
      <c r="DY276" s="101">
        <v>-0.20399999999999999</v>
      </c>
      <c r="DZ276" s="101">
        <v>12.574</v>
      </c>
      <c r="EA276" s="101">
        <v>2.4329999999999998</v>
      </c>
      <c r="EB276" s="101">
        <v>-4.101</v>
      </c>
      <c r="EC276" s="101">
        <v>2.2999999999999998</v>
      </c>
      <c r="ED276" s="101">
        <v>2.0390000000000001</v>
      </c>
      <c r="EE276" s="101">
        <f t="shared" ref="EE276:EP276" si="864">ED276</f>
        <v>2.0390000000000001</v>
      </c>
      <c r="EF276" s="101">
        <f t="shared" si="864"/>
        <v>2.0390000000000001</v>
      </c>
      <c r="EG276" s="101">
        <f t="shared" si="864"/>
        <v>2.0390000000000001</v>
      </c>
      <c r="EH276" s="101">
        <f t="shared" si="864"/>
        <v>2.0390000000000001</v>
      </c>
      <c r="EI276" s="101">
        <f t="shared" si="864"/>
        <v>2.0390000000000001</v>
      </c>
      <c r="EJ276" s="101">
        <f t="shared" si="864"/>
        <v>2.0390000000000001</v>
      </c>
      <c r="EK276" s="101">
        <f t="shared" si="864"/>
        <v>2.0390000000000001</v>
      </c>
      <c r="EL276" s="101">
        <f t="shared" si="864"/>
        <v>2.0390000000000001</v>
      </c>
      <c r="EM276" s="101">
        <f t="shared" si="864"/>
        <v>2.0390000000000001</v>
      </c>
      <c r="EN276" s="101">
        <f t="shared" si="864"/>
        <v>2.0390000000000001</v>
      </c>
      <c r="EO276" s="101">
        <f t="shared" si="864"/>
        <v>2.0390000000000001</v>
      </c>
      <c r="EP276" s="101">
        <f t="shared" si="864"/>
        <v>2.0390000000000001</v>
      </c>
      <c r="EQ276" s="100"/>
      <c r="ER276" s="100"/>
      <c r="ES276" s="355">
        <f t="shared" si="838"/>
        <v>271</v>
      </c>
      <c r="ET276"/>
      <c r="EU276"/>
      <c r="EV276"/>
      <c r="EW276"/>
      <c r="EX276"/>
      <c r="EY276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</row>
    <row r="277" spans="1:257" s="4" customFormat="1" ht="12.75" hidden="1" customHeight="1" outlineLevel="2">
      <c r="A277" s="15"/>
      <c r="B277" s="104" t="s">
        <v>83</v>
      </c>
      <c r="C277" s="101"/>
      <c r="D277" s="101"/>
      <c r="E277" s="101">
        <f t="shared" si="854"/>
        <v>-23.567</v>
      </c>
      <c r="F277" s="101">
        <f t="shared" si="855"/>
        <v>-22.818999999999999</v>
      </c>
      <c r="G277" s="101">
        <f t="shared" si="855"/>
        <v>-22.373999999999999</v>
      </c>
      <c r="H277" s="101">
        <f t="shared" si="855"/>
        <v>-21.21</v>
      </c>
      <c r="I277" s="102">
        <f t="shared" si="855"/>
        <v>-20.105</v>
      </c>
      <c r="J277" s="102">
        <f t="shared" si="855"/>
        <v>-37.167999999999999</v>
      </c>
      <c r="K277" s="102">
        <f t="shared" si="855"/>
        <v>-35.305999999999997</v>
      </c>
      <c r="L277" s="102">
        <f t="shared" si="855"/>
        <v>-32.411999999999999</v>
      </c>
      <c r="M277" s="102">
        <f t="shared" si="855"/>
        <v>-49.802</v>
      </c>
      <c r="N277" s="102">
        <f t="shared" si="855"/>
        <v>-47.591000000000001</v>
      </c>
      <c r="O277" s="102">
        <f t="shared" si="855"/>
        <v>-45.838000000000001</v>
      </c>
      <c r="P277" s="102">
        <f t="shared" si="856"/>
        <v>-41.723999999999997</v>
      </c>
      <c r="Q277" s="102">
        <f t="shared" si="856"/>
        <v>-25.202000000000002</v>
      </c>
      <c r="R277" s="102">
        <f t="shared" si="856"/>
        <v>-49.085999999999999</v>
      </c>
      <c r="S277" s="102">
        <f t="shared" si="856"/>
        <v>-59.987000000000002</v>
      </c>
      <c r="T277" s="102">
        <f t="shared" si="856"/>
        <v>-35.654000000000003</v>
      </c>
      <c r="U277" s="102">
        <f t="shared" si="856"/>
        <v>-31.129000000000001</v>
      </c>
      <c r="V277" s="102">
        <f t="shared" si="856"/>
        <v>-27.164999999999999</v>
      </c>
      <c r="W277" s="102">
        <f t="shared" si="856"/>
        <v>-4.7039999999999997</v>
      </c>
      <c r="X277" s="102">
        <f t="shared" si="856"/>
        <v>-84.103999999999999</v>
      </c>
      <c r="Y277" s="102">
        <f t="shared" si="856"/>
        <v>-91.097999999999999</v>
      </c>
      <c r="Z277" s="102">
        <f t="shared" si="857"/>
        <v>-112.96899999999999</v>
      </c>
      <c r="AA277" s="102">
        <f t="shared" si="857"/>
        <v>-182.363</v>
      </c>
      <c r="AB277" s="102">
        <f t="shared" si="857"/>
        <v>-188.27</v>
      </c>
      <c r="AC277" s="102">
        <f t="shared" si="857"/>
        <v>-191.839</v>
      </c>
      <c r="AD277" s="102">
        <f t="shared" si="857"/>
        <v>-181.13</v>
      </c>
      <c r="AE277" s="102">
        <f t="shared" si="857"/>
        <v>-181.13</v>
      </c>
      <c r="AF277" s="102">
        <f t="shared" si="857"/>
        <v>-181.13</v>
      </c>
      <c r="AG277" s="96"/>
      <c r="AH277" s="102"/>
      <c r="AI277" s="102"/>
      <c r="AJ277" s="102"/>
      <c r="AK277" s="102">
        <v>-23.567</v>
      </c>
      <c r="AL277" s="102">
        <v>-23.234000000000002</v>
      </c>
      <c r="AM277" s="102">
        <v>-23.234000000000002</v>
      </c>
      <c r="AN277" s="102">
        <v>-22.904</v>
      </c>
      <c r="AO277" s="102">
        <v>-22.818999999999999</v>
      </c>
      <c r="AP277" s="102">
        <v>-22.724</v>
      </c>
      <c r="AQ277" s="102">
        <v>-22.734000000000002</v>
      </c>
      <c r="AR277" s="102">
        <v>-22.442</v>
      </c>
      <c r="AS277" s="102">
        <v>-22.373999999999999</v>
      </c>
      <c r="AT277" s="102">
        <v>-22.373999999999999</v>
      </c>
      <c r="AU277" s="102">
        <v>-21.905999999999999</v>
      </c>
      <c r="AV277" s="102">
        <v>-21.734000000000002</v>
      </c>
      <c r="AW277" s="102">
        <v>-21.21</v>
      </c>
      <c r="AX277" s="102">
        <v>-20.959</v>
      </c>
      <c r="AY277" s="102">
        <v>-20.856999999999999</v>
      </c>
      <c r="AZ277" s="102">
        <v>-20.54</v>
      </c>
      <c r="BA277" s="102">
        <v>-20.105</v>
      </c>
      <c r="BB277" s="102">
        <v>-18.78</v>
      </c>
      <c r="BC277" s="102">
        <v>-18.622</v>
      </c>
      <c r="BD277" s="102">
        <v>-18.798999999999999</v>
      </c>
      <c r="BE277" s="102">
        <v>-37.167999999999999</v>
      </c>
      <c r="BF277" s="102">
        <v>-36.863999999999997</v>
      </c>
      <c r="BG277" s="102">
        <v>-36.722000000000001</v>
      </c>
      <c r="BH277" s="102">
        <v>-36.179000000000002</v>
      </c>
      <c r="BI277" s="102">
        <v>-35.305999999999997</v>
      </c>
      <c r="BJ277" s="102">
        <v>-35.031999999999996</v>
      </c>
      <c r="BK277" s="102">
        <v>-34.723999999999997</v>
      </c>
      <c r="BL277" s="102">
        <v>-33.457000000000001</v>
      </c>
      <c r="BM277" s="102">
        <v>-32.411999999999999</v>
      </c>
      <c r="BN277" s="102">
        <v>-31.378</v>
      </c>
      <c r="BO277" s="102">
        <v>-26.791</v>
      </c>
      <c r="BP277" s="102">
        <v>-28.614000000000001</v>
      </c>
      <c r="BQ277" s="102">
        <v>-49.802</v>
      </c>
      <c r="BR277" s="102">
        <v>-49.698</v>
      </c>
      <c r="BS277" s="102">
        <v>-49.207000000000001</v>
      </c>
      <c r="BT277" s="102">
        <v>-48.066000000000003</v>
      </c>
      <c r="BU277" s="103">
        <v>-47.591000000000001</v>
      </c>
      <c r="BV277" s="102">
        <v>-47.436999999999998</v>
      </c>
      <c r="BW277" s="102">
        <v>-47.3</v>
      </c>
      <c r="BX277" s="102">
        <v>-46.478000000000002</v>
      </c>
      <c r="BY277" s="102">
        <v>-45.838000000000001</v>
      </c>
      <c r="BZ277" s="102">
        <v>-45.326999999999998</v>
      </c>
      <c r="CA277" s="102">
        <v>-42.515000000000001</v>
      </c>
      <c r="CB277" s="102">
        <v>-42.215000000000003</v>
      </c>
      <c r="CC277" s="102">
        <v>-41.723999999999997</v>
      </c>
      <c r="CD277" s="102">
        <v>-38.436</v>
      </c>
      <c r="CE277" s="102">
        <v>-33.613</v>
      </c>
      <c r="CF277" s="102">
        <v>-30.251999999999999</v>
      </c>
      <c r="CG277" s="102">
        <v>-25.202000000000002</v>
      </c>
      <c r="CH277" s="102">
        <v>-22.751999999999999</v>
      </c>
      <c r="CI277" s="102">
        <v>-17.47</v>
      </c>
      <c r="CJ277" s="102">
        <v>-18.957000000000001</v>
      </c>
      <c r="CK277" s="102">
        <v>-49.085999999999999</v>
      </c>
      <c r="CL277" s="102">
        <v>-64.307000000000002</v>
      </c>
      <c r="CM277" s="102">
        <v>-63.746000000000002</v>
      </c>
      <c r="CN277" s="102">
        <v>-60.624000000000002</v>
      </c>
      <c r="CO277" s="102">
        <v>-59.987000000000002</v>
      </c>
      <c r="CP277" s="102">
        <v>-57.978000000000002</v>
      </c>
      <c r="CQ277" s="102">
        <v>-48.579000000000001</v>
      </c>
      <c r="CR277" s="102">
        <v>-35.911000000000001</v>
      </c>
      <c r="CS277" s="102">
        <v>-35.654000000000003</v>
      </c>
      <c r="CT277" s="102">
        <v>-33.929000000000002</v>
      </c>
      <c r="CU277" s="102">
        <v>-33.773000000000003</v>
      </c>
      <c r="CV277" s="102">
        <v>-31.756</v>
      </c>
      <c r="CW277" s="102">
        <v>-31.129000000000001</v>
      </c>
      <c r="CX277" s="102">
        <v>-28.725000000000001</v>
      </c>
      <c r="CY277" s="102">
        <v>-27.835000000000001</v>
      </c>
      <c r="CZ277" s="102">
        <v>-27.333000000000368</v>
      </c>
      <c r="DA277" s="102">
        <v>-27.164999999999999</v>
      </c>
      <c r="DB277" s="102">
        <v>-18.779</v>
      </c>
      <c r="DC277" s="102">
        <v>-5.8979999999999997</v>
      </c>
      <c r="DD277" s="101">
        <v>-4.7039999999999997</v>
      </c>
      <c r="DE277" s="101">
        <v>-4.7039999999999997</v>
      </c>
      <c r="DF277" s="101">
        <v>-6.3959999999999999</v>
      </c>
      <c r="DG277" s="101">
        <v>-6.4939999999999998</v>
      </c>
      <c r="DH277" s="101">
        <v>-84.103999999999999</v>
      </c>
      <c r="DI277" s="101">
        <v>-84.103999999999999</v>
      </c>
      <c r="DJ277" s="101">
        <v>-91.097999999999999</v>
      </c>
      <c r="DK277" s="101">
        <v>-91.097999999999999</v>
      </c>
      <c r="DL277" s="101">
        <v>-91.097999999999999</v>
      </c>
      <c r="DM277" s="101">
        <v>-91.097999999999999</v>
      </c>
      <c r="DN277" s="101">
        <v>-103.029</v>
      </c>
      <c r="DO277" s="101">
        <v>-110.95</v>
      </c>
      <c r="DP277" s="101">
        <v>-112.845</v>
      </c>
      <c r="DQ277" s="101">
        <v>-112.96899999999999</v>
      </c>
      <c r="DR277" s="101">
        <v>-180.613</v>
      </c>
      <c r="DS277" s="101">
        <v>-180.613</v>
      </c>
      <c r="DT277" s="101">
        <v>-181.46899999999999</v>
      </c>
      <c r="DU277" s="101">
        <v>-182.363</v>
      </c>
      <c r="DV277" s="101">
        <v>-185.95</v>
      </c>
      <c r="DW277" s="101">
        <v>-187.98599999999999</v>
      </c>
      <c r="DX277" s="101">
        <v>-188.15100000000001</v>
      </c>
      <c r="DY277" s="101">
        <v>-188.27</v>
      </c>
      <c r="DZ277" s="101">
        <v>-189.941</v>
      </c>
      <c r="EA277" s="101">
        <v>-190.119</v>
      </c>
      <c r="EB277" s="101">
        <v>-190.12100000000001</v>
      </c>
      <c r="EC277" s="101">
        <v>-191.839</v>
      </c>
      <c r="ED277" s="101">
        <v>-181.13</v>
      </c>
      <c r="EE277" s="101">
        <f t="shared" ref="EE277:EP277" si="865">ED277+EE241</f>
        <v>-181.13</v>
      </c>
      <c r="EF277" s="101">
        <f t="shared" si="865"/>
        <v>-181.13</v>
      </c>
      <c r="EG277" s="101">
        <f t="shared" si="865"/>
        <v>-181.13</v>
      </c>
      <c r="EH277" s="101">
        <f t="shared" si="865"/>
        <v>-181.13</v>
      </c>
      <c r="EI277" s="101">
        <f t="shared" si="865"/>
        <v>-181.13</v>
      </c>
      <c r="EJ277" s="101">
        <f t="shared" si="865"/>
        <v>-181.13</v>
      </c>
      <c r="EK277" s="101">
        <f t="shared" si="865"/>
        <v>-181.13</v>
      </c>
      <c r="EL277" s="101">
        <f t="shared" si="865"/>
        <v>-181.13</v>
      </c>
      <c r="EM277" s="101">
        <f t="shared" si="865"/>
        <v>-181.13</v>
      </c>
      <c r="EN277" s="101">
        <f t="shared" si="865"/>
        <v>-181.13</v>
      </c>
      <c r="EO277" s="101">
        <f t="shared" si="865"/>
        <v>-181.13</v>
      </c>
      <c r="EP277" s="101">
        <f t="shared" si="865"/>
        <v>-181.13</v>
      </c>
      <c r="EQ277" s="100"/>
      <c r="ER277" s="100"/>
      <c r="ES277" s="355">
        <f t="shared" si="838"/>
        <v>272</v>
      </c>
      <c r="ET277"/>
      <c r="EU277"/>
      <c r="EV277"/>
      <c r="EW277"/>
      <c r="EX277"/>
      <c r="EY277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</row>
    <row r="278" spans="1:257" s="4" customFormat="1" ht="12.75" customHeight="1" outlineLevel="1" collapsed="1">
      <c r="A278" s="15"/>
      <c r="B278" s="99" t="s">
        <v>82</v>
      </c>
      <c r="C278" s="59"/>
      <c r="D278" s="59"/>
      <c r="E278" s="62">
        <f>SUM(E273:E277)</f>
        <v>508.92699999999991</v>
      </c>
      <c r="F278" s="62">
        <f t="shared" si="855"/>
        <v>524.33400000000006</v>
      </c>
      <c r="G278" s="62">
        <f t="shared" si="855"/>
        <v>562.43500000000006</v>
      </c>
      <c r="H278" s="62">
        <f t="shared" si="855"/>
        <v>645.96999999999991</v>
      </c>
      <c r="I278" s="62">
        <f t="shared" si="855"/>
        <v>780.57999999999993</v>
      </c>
      <c r="J278" s="62">
        <f t="shared" si="855"/>
        <v>793.14800000000002</v>
      </c>
      <c r="K278" s="62">
        <f t="shared" si="855"/>
        <v>848.10900000000004</v>
      </c>
      <c r="L278" s="62">
        <f t="shared" si="855"/>
        <v>955.70299999999997</v>
      </c>
      <c r="M278" s="62">
        <f t="shared" si="855"/>
        <v>1026.4770000000001</v>
      </c>
      <c r="N278" s="62">
        <f t="shared" si="855"/>
        <v>895.17</v>
      </c>
      <c r="O278" s="62">
        <f t="shared" si="855"/>
        <v>917.25099999999998</v>
      </c>
      <c r="P278" s="62">
        <f t="shared" si="856"/>
        <v>914.1099999999999</v>
      </c>
      <c r="Q278" s="62">
        <f t="shared" si="856"/>
        <v>1079.2380000000001</v>
      </c>
      <c r="R278" s="62">
        <f t="shared" si="856"/>
        <v>1381.8919999999998</v>
      </c>
      <c r="S278" s="62">
        <f t="shared" si="856"/>
        <v>1815.5159999999998</v>
      </c>
      <c r="T278" s="62">
        <f t="shared" si="856"/>
        <v>2265.4740000000002</v>
      </c>
      <c r="U278" s="62">
        <f t="shared" si="856"/>
        <v>2683.009</v>
      </c>
      <c r="V278" s="62">
        <f t="shared" si="856"/>
        <v>2807.4650000000001</v>
      </c>
      <c r="W278" s="62">
        <f t="shared" si="856"/>
        <v>3270.0469999999996</v>
      </c>
      <c r="X278" s="62">
        <f t="shared" si="856"/>
        <v>3834.998</v>
      </c>
      <c r="Y278" s="62">
        <f t="shared" si="856"/>
        <v>4443.726999999999</v>
      </c>
      <c r="Z278" s="62">
        <f t="shared" si="857"/>
        <v>4890.9769999999999</v>
      </c>
      <c r="AA278" s="62">
        <f t="shared" si="857"/>
        <v>4897.4519999999993</v>
      </c>
      <c r="AB278" s="62">
        <f t="shared" si="857"/>
        <v>4560.9249999999993</v>
      </c>
      <c r="AC278" s="62">
        <f t="shared" si="857"/>
        <v>4164.5910000000003</v>
      </c>
      <c r="AD278" s="62">
        <f t="shared" si="857"/>
        <v>4413.2638485807092</v>
      </c>
      <c r="AE278" s="62">
        <f t="shared" si="857"/>
        <v>4333.3046143540978</v>
      </c>
      <c r="AF278" s="62">
        <f t="shared" si="857"/>
        <v>4313.2466190483301</v>
      </c>
      <c r="AG278" s="96"/>
      <c r="AH278" s="59"/>
      <c r="AI278" s="59"/>
      <c r="AJ278" s="62"/>
      <c r="AK278" s="62">
        <f t="shared" ref="AK278:BP278" si="866">SUM(AK273:AK277)</f>
        <v>508.92699999999991</v>
      </c>
      <c r="AL278" s="62">
        <f t="shared" si="866"/>
        <v>517.66</v>
      </c>
      <c r="AM278" s="62">
        <f t="shared" si="866"/>
        <v>521.31299999999999</v>
      </c>
      <c r="AN278" s="62">
        <f t="shared" si="866"/>
        <v>524.23099999999999</v>
      </c>
      <c r="AO278" s="62">
        <f t="shared" si="866"/>
        <v>524.33400000000006</v>
      </c>
      <c r="AP278" s="62">
        <f t="shared" si="866"/>
        <v>556.99199999999996</v>
      </c>
      <c r="AQ278" s="62">
        <f t="shared" si="866"/>
        <v>565.28899999999999</v>
      </c>
      <c r="AR278" s="62">
        <f t="shared" si="866"/>
        <v>568.93500000000006</v>
      </c>
      <c r="AS278" s="62">
        <f t="shared" si="866"/>
        <v>562.43500000000006</v>
      </c>
      <c r="AT278" s="62">
        <f t="shared" si="866"/>
        <v>576.18600000000004</v>
      </c>
      <c r="AU278" s="62">
        <f t="shared" si="866"/>
        <v>593.24300000000005</v>
      </c>
      <c r="AV278" s="62">
        <f t="shared" si="866"/>
        <v>609.41800000000001</v>
      </c>
      <c r="AW278" s="62">
        <f t="shared" si="866"/>
        <v>645.96999999999991</v>
      </c>
      <c r="AX278" s="62">
        <f t="shared" si="866"/>
        <v>677.24099999999999</v>
      </c>
      <c r="AY278" s="62">
        <f t="shared" si="866"/>
        <v>695.46100000000001</v>
      </c>
      <c r="AZ278" s="62">
        <f t="shared" si="866"/>
        <v>731.37900000000002</v>
      </c>
      <c r="BA278" s="62">
        <f t="shared" si="866"/>
        <v>780.57999999999993</v>
      </c>
      <c r="BB278" s="62">
        <f t="shared" si="866"/>
        <v>801.23800000000006</v>
      </c>
      <c r="BC278" s="62">
        <f t="shared" si="866"/>
        <v>818.52600000000007</v>
      </c>
      <c r="BD278" s="62">
        <f t="shared" si="866"/>
        <v>828.4</v>
      </c>
      <c r="BE278" s="62">
        <f t="shared" si="866"/>
        <v>793.14800000000002</v>
      </c>
      <c r="BF278" s="62">
        <f t="shared" si="866"/>
        <v>801.63499999999999</v>
      </c>
      <c r="BG278" s="62">
        <f t="shared" si="866"/>
        <v>816.88300000000015</v>
      </c>
      <c r="BH278" s="62">
        <f t="shared" si="866"/>
        <v>838.09300000000007</v>
      </c>
      <c r="BI278" s="62">
        <f t="shared" si="866"/>
        <v>848.10900000000004</v>
      </c>
      <c r="BJ278" s="62">
        <f t="shared" si="866"/>
        <v>869.62399999999991</v>
      </c>
      <c r="BK278" s="62">
        <f t="shared" si="866"/>
        <v>907.72699999999998</v>
      </c>
      <c r="BL278" s="62">
        <f t="shared" si="866"/>
        <v>915.20100000000002</v>
      </c>
      <c r="BM278" s="62">
        <f t="shared" si="866"/>
        <v>955.70299999999997</v>
      </c>
      <c r="BN278" s="62">
        <f t="shared" si="866"/>
        <v>980.55199999999991</v>
      </c>
      <c r="BO278" s="62">
        <f t="shared" si="866"/>
        <v>1008.2669999999999</v>
      </c>
      <c r="BP278" s="62">
        <f t="shared" si="866"/>
        <v>1044.616</v>
      </c>
      <c r="BQ278" s="62">
        <f t="shared" ref="BQ278:CV278" si="867">SUM(BQ273:BQ277)</f>
        <v>1026.4770000000001</v>
      </c>
      <c r="BR278" s="62">
        <f t="shared" si="867"/>
        <v>1056.011</v>
      </c>
      <c r="BS278" s="62">
        <f t="shared" si="867"/>
        <v>1068.0339999999999</v>
      </c>
      <c r="BT278" s="62">
        <f t="shared" si="867"/>
        <v>1061.4669999999999</v>
      </c>
      <c r="BU278" s="98">
        <f t="shared" si="867"/>
        <v>895.17</v>
      </c>
      <c r="BV278" s="62">
        <f t="shared" si="867"/>
        <v>898.09399999999994</v>
      </c>
      <c r="BW278" s="62">
        <f t="shared" si="867"/>
        <v>893.18900000000008</v>
      </c>
      <c r="BX278" s="62">
        <f t="shared" si="867"/>
        <v>911.76800000000003</v>
      </c>
      <c r="BY278" s="62">
        <f t="shared" si="867"/>
        <v>917.25099999999998</v>
      </c>
      <c r="BZ278" s="62">
        <f t="shared" si="867"/>
        <v>926.04700000000003</v>
      </c>
      <c r="CA278" s="62">
        <f t="shared" si="867"/>
        <v>936.99199999999996</v>
      </c>
      <c r="CB278" s="62">
        <f t="shared" si="867"/>
        <v>936.70899999999995</v>
      </c>
      <c r="CC278" s="62">
        <f t="shared" si="867"/>
        <v>914.1099999999999</v>
      </c>
      <c r="CD278" s="62">
        <f t="shared" si="867"/>
        <v>960.16899999999987</v>
      </c>
      <c r="CE278" s="62">
        <f t="shared" si="867"/>
        <v>989.7</v>
      </c>
      <c r="CF278" s="62">
        <f t="shared" si="867"/>
        <v>1026.28</v>
      </c>
      <c r="CG278" s="62">
        <f t="shared" si="867"/>
        <v>1079.2380000000001</v>
      </c>
      <c r="CH278" s="62">
        <f t="shared" si="867"/>
        <v>1142.472</v>
      </c>
      <c r="CI278" s="62">
        <f t="shared" si="867"/>
        <v>1243.662</v>
      </c>
      <c r="CJ278" s="62">
        <f t="shared" si="867"/>
        <v>1321.576</v>
      </c>
      <c r="CK278" s="62">
        <f t="shared" si="867"/>
        <v>1381.8919999999998</v>
      </c>
      <c r="CL278" s="62">
        <f t="shared" si="867"/>
        <v>1458.318</v>
      </c>
      <c r="CM278" s="62">
        <f t="shared" si="867"/>
        <v>1569.1309999999999</v>
      </c>
      <c r="CN278" s="62">
        <f t="shared" si="867"/>
        <v>1684.5229999999999</v>
      </c>
      <c r="CO278" s="62">
        <f t="shared" si="867"/>
        <v>1815.5159999999998</v>
      </c>
      <c r="CP278" s="62">
        <f t="shared" si="867"/>
        <v>1914.0189999999998</v>
      </c>
      <c r="CQ278" s="62">
        <f t="shared" si="867"/>
        <v>2014.0800000000002</v>
      </c>
      <c r="CR278" s="62">
        <f t="shared" si="867"/>
        <v>2166.1719999999996</v>
      </c>
      <c r="CS278" s="62">
        <f t="shared" si="867"/>
        <v>2265.4740000000002</v>
      </c>
      <c r="CT278" s="62">
        <f t="shared" si="867"/>
        <v>2386.4449999999997</v>
      </c>
      <c r="CU278" s="62">
        <f t="shared" si="867"/>
        <v>2486.0569999999998</v>
      </c>
      <c r="CV278" s="62">
        <f t="shared" si="867"/>
        <v>2593.942</v>
      </c>
      <c r="CW278" s="62">
        <f t="shared" ref="CW278:CY278" si="868">SUM(CW273:CW277)</f>
        <v>2683.009</v>
      </c>
      <c r="CX278" s="62">
        <f t="shared" si="868"/>
        <v>2755.9820000000004</v>
      </c>
      <c r="CY278" s="62">
        <f t="shared" si="868"/>
        <v>2794.7950000000001</v>
      </c>
      <c r="CZ278" s="62">
        <f>2705.527</f>
        <v>2705.527</v>
      </c>
      <c r="DA278" s="62">
        <f t="shared" ref="DA278:EP278" si="869">SUM(DA273:DA277)</f>
        <v>2807.4650000000001</v>
      </c>
      <c r="DB278" s="62">
        <f t="shared" si="869"/>
        <v>2963.3419999999996</v>
      </c>
      <c r="DC278" s="62">
        <f t="shared" si="869"/>
        <v>3126.9939999999997</v>
      </c>
      <c r="DD278" s="62">
        <f t="shared" si="869"/>
        <v>3220.2379999999998</v>
      </c>
      <c r="DE278" s="62">
        <f t="shared" si="869"/>
        <v>3270.0469999999996</v>
      </c>
      <c r="DF278" s="62">
        <f t="shared" si="869"/>
        <v>3445.8079999999995</v>
      </c>
      <c r="DG278" s="62">
        <f t="shared" si="869"/>
        <v>3602.096</v>
      </c>
      <c r="DH278" s="62">
        <f t="shared" si="869"/>
        <v>3634.59</v>
      </c>
      <c r="DI278" s="62">
        <f t="shared" si="869"/>
        <v>3834.998</v>
      </c>
      <c r="DJ278" s="62">
        <f t="shared" si="869"/>
        <v>3990.3949999999995</v>
      </c>
      <c r="DK278" s="62">
        <f t="shared" si="869"/>
        <v>4174.6319999999996</v>
      </c>
      <c r="DL278" s="62">
        <f t="shared" si="869"/>
        <v>4295.0240000000003</v>
      </c>
      <c r="DM278" s="62">
        <f t="shared" si="869"/>
        <v>4443.726999999999</v>
      </c>
      <c r="DN278" s="62">
        <f t="shared" si="869"/>
        <v>4568.6119999999992</v>
      </c>
      <c r="DO278" s="62">
        <f t="shared" si="869"/>
        <v>4688.0730000000003</v>
      </c>
      <c r="DP278" s="62">
        <f t="shared" si="869"/>
        <v>4819.0869999999995</v>
      </c>
      <c r="DQ278" s="62">
        <f t="shared" si="869"/>
        <v>4890.9769999999999</v>
      </c>
      <c r="DR278" s="62">
        <f t="shared" si="869"/>
        <v>4921.2220000000007</v>
      </c>
      <c r="DS278" s="62">
        <f t="shared" si="869"/>
        <v>5002.3760000000002</v>
      </c>
      <c r="DT278" s="62">
        <f t="shared" si="869"/>
        <v>5021.509</v>
      </c>
      <c r="DU278" s="62">
        <f t="shared" si="869"/>
        <v>4897.4519999999993</v>
      </c>
      <c r="DV278" s="62">
        <f t="shared" si="869"/>
        <v>4830.2930000000006</v>
      </c>
      <c r="DW278" s="62">
        <f t="shared" si="869"/>
        <v>4782.0999999999995</v>
      </c>
      <c r="DX278" s="62">
        <f t="shared" si="869"/>
        <v>4701.4619999999995</v>
      </c>
      <c r="DY278" s="62">
        <f t="shared" si="869"/>
        <v>4560.9249999999993</v>
      </c>
      <c r="DZ278" s="62">
        <f t="shared" si="869"/>
        <v>4475.9149999999991</v>
      </c>
      <c r="EA278" s="62">
        <f t="shared" si="869"/>
        <v>4347.3940000000002</v>
      </c>
      <c r="EB278" s="62">
        <f t="shared" si="869"/>
        <v>4249.9040000000005</v>
      </c>
      <c r="EC278" s="62">
        <f t="shared" si="869"/>
        <v>4164.5910000000003</v>
      </c>
      <c r="ED278" s="62">
        <f t="shared" si="869"/>
        <v>4590.3499999999995</v>
      </c>
      <c r="EE278" s="62">
        <f t="shared" si="869"/>
        <v>4518.476545117026</v>
      </c>
      <c r="EF278" s="62">
        <f t="shared" si="869"/>
        <v>4456.710961804768</v>
      </c>
      <c r="EG278" s="62">
        <f t="shared" si="869"/>
        <v>4413.2638485807092</v>
      </c>
      <c r="EH278" s="62">
        <f t="shared" si="869"/>
        <v>4381.5634704249305</v>
      </c>
      <c r="EI278" s="62">
        <f t="shared" si="869"/>
        <v>4359.0539096411749</v>
      </c>
      <c r="EJ278" s="62">
        <f t="shared" si="869"/>
        <v>4343.2761751318276</v>
      </c>
      <c r="EK278" s="62">
        <f t="shared" si="869"/>
        <v>4333.3046143540978</v>
      </c>
      <c r="EL278" s="62">
        <f t="shared" si="869"/>
        <v>4331.8602828514422</v>
      </c>
      <c r="EM278" s="62">
        <f t="shared" si="869"/>
        <v>4326.5498424405014</v>
      </c>
      <c r="EN278" s="62">
        <f t="shared" si="869"/>
        <v>4319.6225427236059</v>
      </c>
      <c r="EO278" s="62">
        <f t="shared" si="869"/>
        <v>4313.2466190483301</v>
      </c>
      <c r="EP278" s="62">
        <f t="shared" si="869"/>
        <v>4305.240781137235</v>
      </c>
      <c r="EQ278" s="5"/>
      <c r="ER278" s="5"/>
      <c r="ES278" s="355">
        <f t="shared" si="838"/>
        <v>273</v>
      </c>
      <c r="ET278"/>
      <c r="EU278"/>
      <c r="EV278"/>
      <c r="EW278"/>
      <c r="EX278"/>
      <c r="EY278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</row>
    <row r="279" spans="1:257" s="4" customFormat="1" ht="12.75" customHeight="1" outlineLevel="1">
      <c r="A279" s="15"/>
      <c r="B279" s="308" t="s">
        <v>81</v>
      </c>
      <c r="C279" s="352"/>
      <c r="D279" s="352"/>
      <c r="E279" s="127">
        <f t="shared" ref="E279:AF279" si="870">SUM(E269:E277)</f>
        <v>610.93499999999995</v>
      </c>
      <c r="F279" s="127">
        <f t="shared" si="870"/>
        <v>624.827</v>
      </c>
      <c r="G279" s="127">
        <f t="shared" si="870"/>
        <v>707.06100000000004</v>
      </c>
      <c r="H279" s="127">
        <f t="shared" si="870"/>
        <v>821.91399999999999</v>
      </c>
      <c r="I279" s="127">
        <f t="shared" si="870"/>
        <v>1033.595</v>
      </c>
      <c r="J279" s="127">
        <f t="shared" si="870"/>
        <v>1090.4300000000003</v>
      </c>
      <c r="K279" s="127">
        <f t="shared" si="870"/>
        <v>1109.6989999999998</v>
      </c>
      <c r="L279" s="127">
        <f t="shared" si="870"/>
        <v>1259.492</v>
      </c>
      <c r="M279" s="127">
        <f t="shared" si="870"/>
        <v>1300.1210000000001</v>
      </c>
      <c r="N279" s="127">
        <f t="shared" si="870"/>
        <v>1227.3130000000001</v>
      </c>
      <c r="O279" s="127">
        <f t="shared" si="870"/>
        <v>1417.7699999999998</v>
      </c>
      <c r="P279" s="127">
        <f t="shared" si="870"/>
        <v>1406.8440000000001</v>
      </c>
      <c r="Q279" s="127">
        <f t="shared" si="870"/>
        <v>1663.35</v>
      </c>
      <c r="R279" s="127">
        <f t="shared" si="870"/>
        <v>2134.712</v>
      </c>
      <c r="S279" s="127">
        <f t="shared" si="870"/>
        <v>2885.3690000000001</v>
      </c>
      <c r="T279" s="127">
        <f t="shared" si="870"/>
        <v>3588.0450000000005</v>
      </c>
      <c r="U279" s="127">
        <f t="shared" si="870"/>
        <v>4161.0239999999994</v>
      </c>
      <c r="V279" s="127">
        <f t="shared" si="870"/>
        <v>4265.37</v>
      </c>
      <c r="W279" s="127">
        <f t="shared" si="870"/>
        <v>5003.8910000000005</v>
      </c>
      <c r="X279" s="127">
        <f t="shared" si="870"/>
        <v>5721.0849999999991</v>
      </c>
      <c r="Y279" s="127">
        <f t="shared" si="870"/>
        <v>6264.8269999999993</v>
      </c>
      <c r="Z279" s="127">
        <f t="shared" si="870"/>
        <v>6721.8609999999999</v>
      </c>
      <c r="AA279" s="127">
        <f t="shared" si="870"/>
        <v>7152.0119999999997</v>
      </c>
      <c r="AB279" s="127">
        <f t="shared" si="870"/>
        <v>6832.0189999999993</v>
      </c>
      <c r="AC279" s="127">
        <f t="shared" si="870"/>
        <v>6439.9880000000003</v>
      </c>
      <c r="AD279" s="127">
        <f t="shared" si="870"/>
        <v>6180.2322823084887</v>
      </c>
      <c r="AE279" s="127">
        <f t="shared" si="870"/>
        <v>6109.3594272164592</v>
      </c>
      <c r="AF279" s="127">
        <f t="shared" si="870"/>
        <v>6064.8687273742707</v>
      </c>
      <c r="AG279" s="96"/>
      <c r="AH279" s="12"/>
      <c r="AI279" s="12"/>
      <c r="AJ279" s="18"/>
      <c r="AK279" s="127">
        <f t="shared" ref="AK279:BP279" si="871">SUM(AK269:AK277)</f>
        <v>610.93499999999995</v>
      </c>
      <c r="AL279" s="127">
        <f t="shared" si="871"/>
        <v>615.99</v>
      </c>
      <c r="AM279" s="127">
        <f t="shared" si="871"/>
        <v>625.2109999999999</v>
      </c>
      <c r="AN279" s="127">
        <f t="shared" si="871"/>
        <v>621.476</v>
      </c>
      <c r="AO279" s="127">
        <f t="shared" si="871"/>
        <v>624.827</v>
      </c>
      <c r="AP279" s="127">
        <f t="shared" si="871"/>
        <v>676.28399999999999</v>
      </c>
      <c r="AQ279" s="127">
        <f t="shared" si="871"/>
        <v>690.29300000000001</v>
      </c>
      <c r="AR279" s="127">
        <f t="shared" si="871"/>
        <v>719.38900000000001</v>
      </c>
      <c r="AS279" s="127">
        <f t="shared" si="871"/>
        <v>707.06100000000004</v>
      </c>
      <c r="AT279" s="127">
        <f t="shared" si="871"/>
        <v>732.86800000000005</v>
      </c>
      <c r="AU279" s="127">
        <f t="shared" si="871"/>
        <v>743.18500000000006</v>
      </c>
      <c r="AV279" s="127">
        <f t="shared" si="871"/>
        <v>772.57100000000003</v>
      </c>
      <c r="AW279" s="127">
        <f t="shared" si="871"/>
        <v>821.91399999999999</v>
      </c>
      <c r="AX279" s="127">
        <f t="shared" si="871"/>
        <v>885.64100000000008</v>
      </c>
      <c r="AY279" s="127">
        <f t="shared" si="871"/>
        <v>887.01199999999994</v>
      </c>
      <c r="AZ279" s="127">
        <f t="shared" si="871"/>
        <v>935.947</v>
      </c>
      <c r="BA279" s="127">
        <f t="shared" si="871"/>
        <v>1033.595</v>
      </c>
      <c r="BB279" s="127">
        <f t="shared" si="871"/>
        <v>1069.8530000000001</v>
      </c>
      <c r="BC279" s="127">
        <f t="shared" si="871"/>
        <v>1095.9069999999999</v>
      </c>
      <c r="BD279" s="127">
        <f t="shared" si="871"/>
        <v>1097.6680000000001</v>
      </c>
      <c r="BE279" s="127">
        <f t="shared" si="871"/>
        <v>1090.4300000000003</v>
      </c>
      <c r="BF279" s="127">
        <f t="shared" si="871"/>
        <v>1119.848</v>
      </c>
      <c r="BG279" s="127">
        <f t="shared" si="871"/>
        <v>1115.7150000000001</v>
      </c>
      <c r="BH279" s="127">
        <f t="shared" si="871"/>
        <v>1118.394</v>
      </c>
      <c r="BI279" s="127">
        <f t="shared" si="871"/>
        <v>1109.6989999999998</v>
      </c>
      <c r="BJ279" s="127">
        <f t="shared" si="871"/>
        <v>1138.1079999999999</v>
      </c>
      <c r="BK279" s="127">
        <f t="shared" si="871"/>
        <v>1190.229</v>
      </c>
      <c r="BL279" s="127">
        <f t="shared" si="871"/>
        <v>1196.9749999999999</v>
      </c>
      <c r="BM279" s="127">
        <f t="shared" si="871"/>
        <v>1259.492</v>
      </c>
      <c r="BN279" s="127">
        <f t="shared" si="871"/>
        <v>1299.847</v>
      </c>
      <c r="BO279" s="127">
        <f t="shared" si="871"/>
        <v>1304.7550000000001</v>
      </c>
      <c r="BP279" s="127">
        <f t="shared" si="871"/>
        <v>1359.7700000000002</v>
      </c>
      <c r="BQ279" s="127">
        <f t="shared" ref="BQ279:CV279" si="872">SUM(BQ269:BQ277)</f>
        <v>1300.1210000000001</v>
      </c>
      <c r="BR279" s="127">
        <f t="shared" si="872"/>
        <v>1371.8309999999999</v>
      </c>
      <c r="BS279" s="127">
        <f t="shared" si="872"/>
        <v>1389.346</v>
      </c>
      <c r="BT279" s="127">
        <f t="shared" si="872"/>
        <v>1375.26</v>
      </c>
      <c r="BU279" s="353">
        <f t="shared" si="872"/>
        <v>1227.3130000000001</v>
      </c>
      <c r="BV279" s="127">
        <f t="shared" si="872"/>
        <v>1347.3010000000002</v>
      </c>
      <c r="BW279" s="127">
        <f t="shared" si="872"/>
        <v>1342.0820000000001</v>
      </c>
      <c r="BX279" s="127">
        <f t="shared" si="872"/>
        <v>1400.596</v>
      </c>
      <c r="BY279" s="127">
        <f t="shared" si="872"/>
        <v>1417.7699999999998</v>
      </c>
      <c r="BZ279" s="127">
        <f t="shared" si="872"/>
        <v>1440.075</v>
      </c>
      <c r="CA279" s="127">
        <f t="shared" si="872"/>
        <v>1451</v>
      </c>
      <c r="CB279" s="127">
        <f t="shared" si="872"/>
        <v>1448.884</v>
      </c>
      <c r="CC279" s="127">
        <f t="shared" si="872"/>
        <v>1406.8440000000001</v>
      </c>
      <c r="CD279" s="127">
        <f t="shared" si="872"/>
        <v>1473.0919999999999</v>
      </c>
      <c r="CE279" s="127">
        <f t="shared" si="872"/>
        <v>1510.1569999999999</v>
      </c>
      <c r="CF279" s="127">
        <f t="shared" si="872"/>
        <v>1570.5880000000002</v>
      </c>
      <c r="CG279" s="127">
        <f t="shared" si="872"/>
        <v>1663.35</v>
      </c>
      <c r="CH279" s="127">
        <f t="shared" si="872"/>
        <v>1761.7750000000001</v>
      </c>
      <c r="CI279" s="127">
        <f t="shared" si="872"/>
        <v>1884.02</v>
      </c>
      <c r="CJ279" s="127">
        <f t="shared" si="872"/>
        <v>1984.894</v>
      </c>
      <c r="CK279" s="127">
        <f t="shared" si="872"/>
        <v>2134.712</v>
      </c>
      <c r="CL279" s="127">
        <f t="shared" si="872"/>
        <v>2272.0060000000003</v>
      </c>
      <c r="CM279" s="127">
        <f t="shared" si="872"/>
        <v>2484.5369999999998</v>
      </c>
      <c r="CN279" s="127">
        <f t="shared" si="872"/>
        <v>2687.3220000000006</v>
      </c>
      <c r="CO279" s="127">
        <f t="shared" si="872"/>
        <v>2885.3690000000001</v>
      </c>
      <c r="CP279" s="127">
        <f t="shared" si="872"/>
        <v>3058.7889999999998</v>
      </c>
      <c r="CQ279" s="127">
        <f t="shared" si="872"/>
        <v>3156.1179999999999</v>
      </c>
      <c r="CR279" s="127">
        <f t="shared" si="872"/>
        <v>3378.5209999999997</v>
      </c>
      <c r="CS279" s="127">
        <f t="shared" si="872"/>
        <v>3588.0450000000005</v>
      </c>
      <c r="CT279" s="127">
        <f t="shared" si="872"/>
        <v>3788.011</v>
      </c>
      <c r="CU279" s="127">
        <f t="shared" si="872"/>
        <v>3979.8159999999998</v>
      </c>
      <c r="CV279" s="127">
        <f t="shared" si="872"/>
        <v>4079.8540000000007</v>
      </c>
      <c r="CW279" s="127">
        <f t="shared" ref="CW279:EB279" si="873">SUM(CW269:CW277)</f>
        <v>4161.0239999999994</v>
      </c>
      <c r="CX279" s="127">
        <f t="shared" si="873"/>
        <v>4235.6139999999996</v>
      </c>
      <c r="CY279" s="127">
        <f t="shared" si="873"/>
        <v>4205.6390000000001</v>
      </c>
      <c r="CZ279" s="127">
        <f t="shared" si="873"/>
        <v>4073.6539999999995</v>
      </c>
      <c r="DA279" s="127">
        <f t="shared" si="873"/>
        <v>4265.37</v>
      </c>
      <c r="DB279" s="127">
        <f t="shared" si="873"/>
        <v>4465.6189999999997</v>
      </c>
      <c r="DC279" s="127">
        <f t="shared" si="873"/>
        <v>4725.7119999999995</v>
      </c>
      <c r="DD279" s="127">
        <f t="shared" si="873"/>
        <v>4911.0360000000001</v>
      </c>
      <c r="DE279" s="127">
        <f t="shared" si="873"/>
        <v>5003.8910000000005</v>
      </c>
      <c r="DF279" s="127">
        <f t="shared" si="873"/>
        <v>5257.8869999999997</v>
      </c>
      <c r="DG279" s="127">
        <f t="shared" si="873"/>
        <v>5441.072000000001</v>
      </c>
      <c r="DH279" s="127">
        <f t="shared" si="873"/>
        <v>5518.3009999999995</v>
      </c>
      <c r="DI279" s="127">
        <f t="shared" si="873"/>
        <v>5721.0849999999991</v>
      </c>
      <c r="DJ279" s="127">
        <f t="shared" si="873"/>
        <v>5934.2879999999996</v>
      </c>
      <c r="DK279" s="127">
        <f t="shared" si="873"/>
        <v>6012.4520000000002</v>
      </c>
      <c r="DL279" s="127">
        <f t="shared" si="873"/>
        <v>6197.6110000000008</v>
      </c>
      <c r="DM279" s="127">
        <f t="shared" si="873"/>
        <v>6264.8269999999993</v>
      </c>
      <c r="DN279" s="127">
        <f t="shared" si="873"/>
        <v>6410.5869999999995</v>
      </c>
      <c r="DO279" s="127">
        <f t="shared" si="873"/>
        <v>6488.2810000000009</v>
      </c>
      <c r="DP279" s="127">
        <f t="shared" si="873"/>
        <v>6693.0819999999994</v>
      </c>
      <c r="DQ279" s="127">
        <f t="shared" si="873"/>
        <v>6721.8609999999999</v>
      </c>
      <c r="DR279" s="127">
        <f t="shared" si="873"/>
        <v>6801.5190000000002</v>
      </c>
      <c r="DS279" s="127">
        <f t="shared" si="873"/>
        <v>7344.1500000000005</v>
      </c>
      <c r="DT279" s="127">
        <f t="shared" si="873"/>
        <v>7335.817</v>
      </c>
      <c r="DU279" s="127">
        <f t="shared" si="873"/>
        <v>7152.0119999999997</v>
      </c>
      <c r="DV279" s="127">
        <f t="shared" si="873"/>
        <v>7130.2740000000013</v>
      </c>
      <c r="DW279" s="127">
        <f t="shared" si="873"/>
        <v>7025.1050000000005</v>
      </c>
      <c r="DX279" s="127">
        <f t="shared" si="873"/>
        <v>6976.5189999999993</v>
      </c>
      <c r="DY279" s="127">
        <f t="shared" si="873"/>
        <v>6832.0189999999993</v>
      </c>
      <c r="DZ279" s="127">
        <f t="shared" si="873"/>
        <v>6677.6369999999997</v>
      </c>
      <c r="EA279" s="127">
        <f t="shared" si="873"/>
        <v>6538.1840000000011</v>
      </c>
      <c r="EB279" s="127">
        <f t="shared" si="873"/>
        <v>6513.8909999999996</v>
      </c>
      <c r="EC279" s="127">
        <f t="shared" ref="EC279:EP279" si="874">SUM(EC269:EC277)</f>
        <v>6439.9880000000003</v>
      </c>
      <c r="ED279" s="127">
        <f t="shared" si="874"/>
        <v>6362.0959999999995</v>
      </c>
      <c r="EE279" s="127">
        <f t="shared" si="874"/>
        <v>6277.2724592674467</v>
      </c>
      <c r="EF279" s="127">
        <f t="shared" si="874"/>
        <v>6220.4582650367456</v>
      </c>
      <c r="EG279" s="127">
        <f t="shared" si="874"/>
        <v>6180.2322823084887</v>
      </c>
      <c r="EH279" s="127">
        <f t="shared" si="874"/>
        <v>6153.179815946266</v>
      </c>
      <c r="EI279" s="127">
        <f t="shared" si="874"/>
        <v>6130.5183683669366</v>
      </c>
      <c r="EJ279" s="127">
        <f t="shared" si="874"/>
        <v>6117.2418723442242</v>
      </c>
      <c r="EK279" s="127">
        <f t="shared" si="874"/>
        <v>6109.3594272164592</v>
      </c>
      <c r="EL279" s="127">
        <f t="shared" si="874"/>
        <v>6114.8385403326229</v>
      </c>
      <c r="EM279" s="127">
        <f t="shared" si="874"/>
        <v>6096.2769107140412</v>
      </c>
      <c r="EN279" s="127">
        <f t="shared" si="874"/>
        <v>6078.9080899797773</v>
      </c>
      <c r="EO279" s="127">
        <f t="shared" si="874"/>
        <v>6064.8687273742707</v>
      </c>
      <c r="EP279" s="127">
        <f t="shared" si="874"/>
        <v>6046.6115583088085</v>
      </c>
      <c r="EQ279" s="5"/>
      <c r="ER279" s="5"/>
      <c r="ES279" s="355">
        <f t="shared" si="838"/>
        <v>274</v>
      </c>
      <c r="ET279"/>
      <c r="EU279"/>
      <c r="EV279"/>
      <c r="EW279"/>
      <c r="EX279"/>
      <c r="EY279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</row>
    <row r="280" spans="1:257" s="4" customFormat="1" ht="12.75" customHeight="1" outlineLevel="1">
      <c r="A280" s="9"/>
      <c r="B280" s="97"/>
      <c r="C280" s="12"/>
      <c r="D280" s="12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93">
        <f t="shared" ref="W280:AF280" si="875">W279-W262</f>
        <v>0</v>
      </c>
      <c r="X280" s="93">
        <f t="shared" si="875"/>
        <v>0</v>
      </c>
      <c r="Y280" s="93">
        <f t="shared" si="875"/>
        <v>0</v>
      </c>
      <c r="Z280" s="93">
        <f t="shared" si="875"/>
        <v>0</v>
      </c>
      <c r="AA280" s="93">
        <f t="shared" si="875"/>
        <v>0</v>
      </c>
      <c r="AB280" s="93">
        <f t="shared" si="875"/>
        <v>0</v>
      </c>
      <c r="AC280" s="93">
        <f t="shared" si="875"/>
        <v>0</v>
      </c>
      <c r="AD280" s="93">
        <f t="shared" si="875"/>
        <v>0</v>
      </c>
      <c r="AE280" s="93">
        <f t="shared" si="875"/>
        <v>0</v>
      </c>
      <c r="AF280" s="93">
        <f t="shared" si="875"/>
        <v>0</v>
      </c>
      <c r="AG280" s="96"/>
      <c r="AH280" s="12"/>
      <c r="AI280" s="12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  <c r="BM280" s="18"/>
      <c r="BN280" s="18"/>
      <c r="BO280" s="18"/>
      <c r="BP280" s="18"/>
      <c r="BQ280" s="18"/>
      <c r="BR280" s="18"/>
      <c r="BS280" s="18"/>
      <c r="BT280" s="18"/>
      <c r="BU280" s="5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95">
        <f t="shared" ref="DK280:EP280" si="876">DK279-DK262</f>
        <v>0</v>
      </c>
      <c r="DL280" s="95">
        <f t="shared" si="876"/>
        <v>0</v>
      </c>
      <c r="DM280" s="95">
        <f t="shared" si="876"/>
        <v>0</v>
      </c>
      <c r="DN280" s="95">
        <f t="shared" si="876"/>
        <v>0</v>
      </c>
      <c r="DO280" s="93">
        <f t="shared" si="876"/>
        <v>0</v>
      </c>
      <c r="DP280" s="93">
        <f t="shared" si="876"/>
        <v>0</v>
      </c>
      <c r="DQ280" s="93">
        <f t="shared" si="876"/>
        <v>0</v>
      </c>
      <c r="DR280" s="93">
        <f t="shared" si="876"/>
        <v>0</v>
      </c>
      <c r="DS280" s="93">
        <f t="shared" si="876"/>
        <v>0</v>
      </c>
      <c r="DT280" s="93">
        <f t="shared" si="876"/>
        <v>0</v>
      </c>
      <c r="DU280" s="93">
        <f t="shared" si="876"/>
        <v>0</v>
      </c>
      <c r="DV280" s="93">
        <f t="shared" si="876"/>
        <v>0</v>
      </c>
      <c r="DW280" s="94">
        <f t="shared" si="876"/>
        <v>0</v>
      </c>
      <c r="DX280" s="94">
        <f t="shared" si="876"/>
        <v>0</v>
      </c>
      <c r="DY280" s="94">
        <f t="shared" si="876"/>
        <v>0</v>
      </c>
      <c r="DZ280" s="94">
        <f t="shared" si="876"/>
        <v>0</v>
      </c>
      <c r="EA280" s="94">
        <f t="shared" si="876"/>
        <v>0</v>
      </c>
      <c r="EB280" s="94">
        <f t="shared" si="876"/>
        <v>0</v>
      </c>
      <c r="EC280" s="369">
        <f>EC279-EC262</f>
        <v>0</v>
      </c>
      <c r="ED280" s="94">
        <f t="shared" si="876"/>
        <v>0</v>
      </c>
      <c r="EE280" s="93">
        <f t="shared" si="876"/>
        <v>0</v>
      </c>
      <c r="EF280" s="93">
        <f t="shared" si="876"/>
        <v>0</v>
      </c>
      <c r="EG280" s="93">
        <f t="shared" si="876"/>
        <v>0</v>
      </c>
      <c r="EH280" s="93">
        <f t="shared" si="876"/>
        <v>0</v>
      </c>
      <c r="EI280" s="93">
        <f t="shared" si="876"/>
        <v>0</v>
      </c>
      <c r="EJ280" s="93">
        <f t="shared" si="876"/>
        <v>0</v>
      </c>
      <c r="EK280" s="93">
        <f t="shared" si="876"/>
        <v>0</v>
      </c>
      <c r="EL280" s="93">
        <f t="shared" si="876"/>
        <v>0</v>
      </c>
      <c r="EM280" s="93">
        <f t="shared" si="876"/>
        <v>0</v>
      </c>
      <c r="EN280" s="93">
        <f t="shared" si="876"/>
        <v>0</v>
      </c>
      <c r="EO280" s="93">
        <f t="shared" si="876"/>
        <v>0</v>
      </c>
      <c r="EP280" s="93">
        <f t="shared" si="876"/>
        <v>0</v>
      </c>
      <c r="EQ280" s="5"/>
      <c r="ER280" s="5"/>
      <c r="ES280" s="355">
        <f t="shared" si="838"/>
        <v>275</v>
      </c>
      <c r="ET280"/>
      <c r="EU280"/>
      <c r="EV280"/>
      <c r="EW280"/>
      <c r="EX280"/>
      <c r="EY280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</row>
    <row r="281" spans="1:257" s="4" customFormat="1" ht="12.75" customHeight="1">
      <c r="A281" s="15" t="s">
        <v>0</v>
      </c>
      <c r="B281" s="343" t="s">
        <v>80</v>
      </c>
      <c r="C281" s="120">
        <f t="shared" ref="C281:AF281" si="877">C$7</f>
        <v>1991</v>
      </c>
      <c r="D281" s="120">
        <f t="shared" si="877"/>
        <v>1992</v>
      </c>
      <c r="E281" s="120">
        <f t="shared" si="877"/>
        <v>1993</v>
      </c>
      <c r="F281" s="120">
        <f t="shared" si="877"/>
        <v>1994</v>
      </c>
      <c r="G281" s="120">
        <f t="shared" si="877"/>
        <v>1995</v>
      </c>
      <c r="H281" s="120">
        <f t="shared" si="877"/>
        <v>1996</v>
      </c>
      <c r="I281" s="120">
        <f t="shared" si="877"/>
        <v>1997</v>
      </c>
      <c r="J281" s="120">
        <f t="shared" si="877"/>
        <v>1998</v>
      </c>
      <c r="K281" s="120">
        <f t="shared" si="877"/>
        <v>1999</v>
      </c>
      <c r="L281" s="120">
        <f t="shared" si="877"/>
        <v>2000</v>
      </c>
      <c r="M281" s="120">
        <f t="shared" si="877"/>
        <v>2001</v>
      </c>
      <c r="N281" s="120">
        <f t="shared" si="877"/>
        <v>2002</v>
      </c>
      <c r="O281" s="120">
        <f t="shared" si="877"/>
        <v>2003</v>
      </c>
      <c r="P281" s="120">
        <f t="shared" si="877"/>
        <v>2004</v>
      </c>
      <c r="Q281" s="120">
        <f t="shared" si="877"/>
        <v>2005</v>
      </c>
      <c r="R281" s="120">
        <f t="shared" si="877"/>
        <v>2006</v>
      </c>
      <c r="S281" s="120">
        <f t="shared" si="877"/>
        <v>2007</v>
      </c>
      <c r="T281" s="120">
        <f t="shared" si="877"/>
        <v>2008</v>
      </c>
      <c r="U281" s="120">
        <f t="shared" si="877"/>
        <v>2009</v>
      </c>
      <c r="V281" s="120">
        <f t="shared" si="877"/>
        <v>2010</v>
      </c>
      <c r="W281" s="120">
        <f t="shared" si="877"/>
        <v>2011</v>
      </c>
      <c r="X281" s="120">
        <f t="shared" si="877"/>
        <v>2012</v>
      </c>
      <c r="Y281" s="120">
        <f t="shared" si="877"/>
        <v>2013</v>
      </c>
      <c r="Z281" s="120">
        <f t="shared" si="877"/>
        <v>2014</v>
      </c>
      <c r="AA281" s="120">
        <f t="shared" si="877"/>
        <v>2015</v>
      </c>
      <c r="AB281" s="120">
        <f t="shared" si="877"/>
        <v>2016</v>
      </c>
      <c r="AC281" s="120">
        <f t="shared" si="877"/>
        <v>2017</v>
      </c>
      <c r="AD281" s="120" t="str">
        <f t="shared" si="877"/>
        <v>2018E</v>
      </c>
      <c r="AE281" s="120" t="str">
        <f t="shared" si="877"/>
        <v>2019E</v>
      </c>
      <c r="AF281" s="120" t="str">
        <f t="shared" si="877"/>
        <v>2020E</v>
      </c>
      <c r="AG281" s="17"/>
      <c r="AH281" s="119">
        <f t="shared" ref="AH281:BM281" si="878">AH$7</f>
        <v>33969</v>
      </c>
      <c r="AI281" s="119">
        <f t="shared" si="878"/>
        <v>34059</v>
      </c>
      <c r="AJ281" s="119">
        <f t="shared" si="878"/>
        <v>34150</v>
      </c>
      <c r="AK281" s="119">
        <f t="shared" si="878"/>
        <v>34242</v>
      </c>
      <c r="AL281" s="119">
        <f t="shared" si="878"/>
        <v>34334</v>
      </c>
      <c r="AM281" s="119">
        <f t="shared" si="878"/>
        <v>34424</v>
      </c>
      <c r="AN281" s="119">
        <f t="shared" si="878"/>
        <v>34515</v>
      </c>
      <c r="AO281" s="119">
        <f t="shared" si="878"/>
        <v>34607</v>
      </c>
      <c r="AP281" s="119">
        <f t="shared" si="878"/>
        <v>34699</v>
      </c>
      <c r="AQ281" s="119">
        <f t="shared" si="878"/>
        <v>34789</v>
      </c>
      <c r="AR281" s="119">
        <f t="shared" si="878"/>
        <v>34880</v>
      </c>
      <c r="AS281" s="119">
        <f t="shared" si="878"/>
        <v>34972</v>
      </c>
      <c r="AT281" s="119">
        <f t="shared" si="878"/>
        <v>35064</v>
      </c>
      <c r="AU281" s="119">
        <f t="shared" si="878"/>
        <v>35155</v>
      </c>
      <c r="AV281" s="119">
        <f t="shared" si="878"/>
        <v>35246</v>
      </c>
      <c r="AW281" s="119">
        <f t="shared" si="878"/>
        <v>35338</v>
      </c>
      <c r="AX281" s="119">
        <f t="shared" si="878"/>
        <v>35430</v>
      </c>
      <c r="AY281" s="119">
        <f t="shared" si="878"/>
        <v>35520</v>
      </c>
      <c r="AZ281" s="119">
        <f t="shared" si="878"/>
        <v>35611</v>
      </c>
      <c r="BA281" s="119">
        <f t="shared" si="878"/>
        <v>35703</v>
      </c>
      <c r="BB281" s="119">
        <f t="shared" si="878"/>
        <v>35795</v>
      </c>
      <c r="BC281" s="119">
        <f t="shared" si="878"/>
        <v>35885</v>
      </c>
      <c r="BD281" s="119">
        <f t="shared" si="878"/>
        <v>35976</v>
      </c>
      <c r="BE281" s="119">
        <f t="shared" si="878"/>
        <v>36068</v>
      </c>
      <c r="BF281" s="119">
        <f t="shared" si="878"/>
        <v>36160</v>
      </c>
      <c r="BG281" s="119">
        <f t="shared" si="878"/>
        <v>36250</v>
      </c>
      <c r="BH281" s="119">
        <f t="shared" si="878"/>
        <v>36341</v>
      </c>
      <c r="BI281" s="119">
        <f t="shared" si="878"/>
        <v>36433</v>
      </c>
      <c r="BJ281" s="119">
        <f t="shared" si="878"/>
        <v>36525</v>
      </c>
      <c r="BK281" s="119">
        <f t="shared" si="878"/>
        <v>36616</v>
      </c>
      <c r="BL281" s="119">
        <f t="shared" si="878"/>
        <v>36707</v>
      </c>
      <c r="BM281" s="119">
        <f t="shared" si="878"/>
        <v>36799</v>
      </c>
      <c r="BN281" s="119">
        <f t="shared" ref="BN281:CS281" si="879">BN$7</f>
        <v>36891</v>
      </c>
      <c r="BO281" s="119">
        <f t="shared" si="879"/>
        <v>36981</v>
      </c>
      <c r="BP281" s="119">
        <f t="shared" si="879"/>
        <v>37072</v>
      </c>
      <c r="BQ281" s="119">
        <f t="shared" si="879"/>
        <v>37164</v>
      </c>
      <c r="BR281" s="119">
        <f t="shared" si="879"/>
        <v>37256</v>
      </c>
      <c r="BS281" s="119">
        <f t="shared" si="879"/>
        <v>37346</v>
      </c>
      <c r="BT281" s="119">
        <f t="shared" si="879"/>
        <v>37437</v>
      </c>
      <c r="BU281" s="119">
        <f t="shared" si="879"/>
        <v>37529</v>
      </c>
      <c r="BV281" s="119">
        <f t="shared" si="879"/>
        <v>37621</v>
      </c>
      <c r="BW281" s="119">
        <f t="shared" si="879"/>
        <v>37711</v>
      </c>
      <c r="BX281" s="119">
        <f t="shared" si="879"/>
        <v>37802</v>
      </c>
      <c r="BY281" s="119">
        <f t="shared" si="879"/>
        <v>37894</v>
      </c>
      <c r="BZ281" s="119">
        <f t="shared" si="879"/>
        <v>37986</v>
      </c>
      <c r="CA281" s="119">
        <f t="shared" si="879"/>
        <v>38077</v>
      </c>
      <c r="CB281" s="119">
        <f t="shared" si="879"/>
        <v>38168</v>
      </c>
      <c r="CC281" s="119">
        <f t="shared" si="879"/>
        <v>38260</v>
      </c>
      <c r="CD281" s="119">
        <f t="shared" si="879"/>
        <v>38352</v>
      </c>
      <c r="CE281" s="119">
        <f t="shared" si="879"/>
        <v>38442</v>
      </c>
      <c r="CF281" s="119">
        <f t="shared" si="879"/>
        <v>38533</v>
      </c>
      <c r="CG281" s="119">
        <f t="shared" si="879"/>
        <v>38625</v>
      </c>
      <c r="CH281" s="119">
        <f t="shared" si="879"/>
        <v>38717</v>
      </c>
      <c r="CI281" s="119">
        <f t="shared" si="879"/>
        <v>38807</v>
      </c>
      <c r="CJ281" s="119">
        <f t="shared" si="879"/>
        <v>38898</v>
      </c>
      <c r="CK281" s="119">
        <f t="shared" si="879"/>
        <v>38990</v>
      </c>
      <c r="CL281" s="119">
        <f t="shared" si="879"/>
        <v>39082</v>
      </c>
      <c r="CM281" s="119">
        <f t="shared" si="879"/>
        <v>39172</v>
      </c>
      <c r="CN281" s="119">
        <f t="shared" si="879"/>
        <v>39263</v>
      </c>
      <c r="CO281" s="119">
        <f t="shared" si="879"/>
        <v>39355</v>
      </c>
      <c r="CP281" s="119">
        <f t="shared" si="879"/>
        <v>39447</v>
      </c>
      <c r="CQ281" s="119">
        <f t="shared" si="879"/>
        <v>39538</v>
      </c>
      <c r="CR281" s="119">
        <f t="shared" si="879"/>
        <v>39629</v>
      </c>
      <c r="CS281" s="119">
        <f t="shared" si="879"/>
        <v>39721</v>
      </c>
      <c r="CT281" s="119">
        <f t="shared" ref="CT281:DY281" si="880">CT$7</f>
        <v>39813</v>
      </c>
      <c r="CU281" s="119">
        <f t="shared" si="880"/>
        <v>39903</v>
      </c>
      <c r="CV281" s="119">
        <f t="shared" si="880"/>
        <v>39994</v>
      </c>
      <c r="CW281" s="119">
        <f t="shared" si="880"/>
        <v>40086</v>
      </c>
      <c r="CX281" s="119">
        <f t="shared" si="880"/>
        <v>40178</v>
      </c>
      <c r="CY281" s="119">
        <f t="shared" si="880"/>
        <v>40268</v>
      </c>
      <c r="CZ281" s="119">
        <f t="shared" si="880"/>
        <v>40359</v>
      </c>
      <c r="DA281" s="119">
        <f t="shared" si="880"/>
        <v>40451</v>
      </c>
      <c r="DB281" s="119">
        <f t="shared" si="880"/>
        <v>40543</v>
      </c>
      <c r="DC281" s="119">
        <f t="shared" si="880"/>
        <v>40633</v>
      </c>
      <c r="DD281" s="119">
        <f t="shared" si="880"/>
        <v>40724</v>
      </c>
      <c r="DE281" s="119">
        <f t="shared" si="880"/>
        <v>40816</v>
      </c>
      <c r="DF281" s="119">
        <f t="shared" si="880"/>
        <v>40908</v>
      </c>
      <c r="DG281" s="119">
        <f t="shared" si="880"/>
        <v>40999</v>
      </c>
      <c r="DH281" s="119">
        <f t="shared" si="880"/>
        <v>41090</v>
      </c>
      <c r="DI281" s="119">
        <f t="shared" si="880"/>
        <v>41182</v>
      </c>
      <c r="DJ281" s="119">
        <f t="shared" si="880"/>
        <v>41274</v>
      </c>
      <c r="DK281" s="119">
        <f t="shared" si="880"/>
        <v>41364</v>
      </c>
      <c r="DL281" s="119">
        <f t="shared" si="880"/>
        <v>41455</v>
      </c>
      <c r="DM281" s="119">
        <f t="shared" si="880"/>
        <v>41547</v>
      </c>
      <c r="DN281" s="119">
        <f t="shared" si="880"/>
        <v>41639</v>
      </c>
      <c r="DO281" s="119">
        <f t="shared" si="880"/>
        <v>41729</v>
      </c>
      <c r="DP281" s="119">
        <f t="shared" si="880"/>
        <v>41820</v>
      </c>
      <c r="DQ281" s="119">
        <f t="shared" si="880"/>
        <v>41912</v>
      </c>
      <c r="DR281" s="119">
        <f t="shared" si="880"/>
        <v>42004</v>
      </c>
      <c r="DS281" s="119">
        <f t="shared" si="880"/>
        <v>42094</v>
      </c>
      <c r="DT281" s="119">
        <f t="shared" si="880"/>
        <v>42185</v>
      </c>
      <c r="DU281" s="119">
        <f t="shared" si="880"/>
        <v>42277</v>
      </c>
      <c r="DV281" s="119">
        <f t="shared" si="880"/>
        <v>42369</v>
      </c>
      <c r="DW281" s="119">
        <f t="shared" si="880"/>
        <v>42460</v>
      </c>
      <c r="DX281" s="119">
        <f t="shared" si="880"/>
        <v>42551</v>
      </c>
      <c r="DY281" s="119">
        <f t="shared" si="880"/>
        <v>42643</v>
      </c>
      <c r="DZ281" s="119">
        <f t="shared" ref="DZ281:EP281" si="881">DZ$7</f>
        <v>42735</v>
      </c>
      <c r="EA281" s="119">
        <f t="shared" si="881"/>
        <v>42825</v>
      </c>
      <c r="EB281" s="119">
        <f t="shared" si="881"/>
        <v>42916</v>
      </c>
      <c r="EC281" s="119">
        <f t="shared" si="881"/>
        <v>43008</v>
      </c>
      <c r="ED281" s="119">
        <f t="shared" si="881"/>
        <v>43100</v>
      </c>
      <c r="EE281" s="119">
        <f t="shared" si="881"/>
        <v>43190</v>
      </c>
      <c r="EF281" s="119">
        <f t="shared" si="881"/>
        <v>43281</v>
      </c>
      <c r="EG281" s="119">
        <f t="shared" si="881"/>
        <v>43373</v>
      </c>
      <c r="EH281" s="119">
        <f t="shared" si="881"/>
        <v>43465</v>
      </c>
      <c r="EI281" s="119">
        <f t="shared" si="881"/>
        <v>43555</v>
      </c>
      <c r="EJ281" s="119">
        <f t="shared" si="881"/>
        <v>43646</v>
      </c>
      <c r="EK281" s="119">
        <f t="shared" si="881"/>
        <v>43738</v>
      </c>
      <c r="EL281" s="119">
        <f t="shared" si="881"/>
        <v>43830</v>
      </c>
      <c r="EM281" s="119">
        <f t="shared" si="881"/>
        <v>43921</v>
      </c>
      <c r="EN281" s="119">
        <f t="shared" si="881"/>
        <v>44012</v>
      </c>
      <c r="EO281" s="119">
        <f t="shared" si="881"/>
        <v>44104</v>
      </c>
      <c r="EP281" s="119">
        <f t="shared" si="881"/>
        <v>44196</v>
      </c>
      <c r="EQ281" s="118"/>
      <c r="ER281" s="13"/>
      <c r="ES281" s="355">
        <f t="shared" si="838"/>
        <v>276</v>
      </c>
      <c r="ET281"/>
      <c r="EU281"/>
      <c r="EV281"/>
      <c r="EW281"/>
      <c r="EX281"/>
      <c r="EY28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</row>
    <row r="282" spans="1:257" s="4" customFormat="1" ht="12.75" customHeight="1" outlineLevel="1">
      <c r="A282" s="15" t="s">
        <v>0</v>
      </c>
      <c r="B282" s="64" t="s">
        <v>79</v>
      </c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7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18"/>
      <c r="DV282" s="18"/>
      <c r="DW282" s="18"/>
      <c r="DX282" s="18"/>
      <c r="DY282" s="18"/>
      <c r="DZ282" s="18"/>
      <c r="EA282" s="18"/>
      <c r="EB282" s="18"/>
      <c r="EC282" s="18"/>
      <c r="ED282" s="18"/>
      <c r="EE282" s="18"/>
      <c r="EF282" s="18"/>
      <c r="EG282" s="18"/>
      <c r="EH282" s="18"/>
      <c r="EI282" s="18"/>
      <c r="EJ282" s="18"/>
      <c r="EK282" s="18"/>
      <c r="EL282" s="18"/>
      <c r="EM282" s="18"/>
      <c r="EN282" s="18"/>
      <c r="EO282" s="18"/>
      <c r="EP282" s="18"/>
      <c r="EQ282" s="18"/>
      <c r="ER282" s="18"/>
      <c r="ES282" s="355">
        <f t="shared" si="838"/>
        <v>277</v>
      </c>
      <c r="ET282"/>
      <c r="EU282"/>
      <c r="EV282"/>
      <c r="EW282"/>
      <c r="EX282"/>
      <c r="EY282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</row>
    <row r="283" spans="1:257" s="4" customFormat="1" ht="12.75" customHeight="1" outlineLevel="1">
      <c r="A283" s="15"/>
      <c r="B283" s="63" t="s">
        <v>78</v>
      </c>
      <c r="C283" s="18"/>
      <c r="D283" s="18"/>
      <c r="E283" s="18">
        <f t="shared" ref="E283:AF283" si="882">E268+E270+E278</f>
        <v>518.2059999999999</v>
      </c>
      <c r="F283" s="18">
        <f t="shared" si="882"/>
        <v>524.33400000000006</v>
      </c>
      <c r="G283" s="18">
        <f t="shared" si="882"/>
        <v>562.43500000000006</v>
      </c>
      <c r="H283" s="18">
        <f t="shared" si="882"/>
        <v>645.96999999999991</v>
      </c>
      <c r="I283" s="18">
        <f t="shared" si="882"/>
        <v>780.57999999999993</v>
      </c>
      <c r="J283" s="18">
        <f t="shared" si="882"/>
        <v>843.14800000000002</v>
      </c>
      <c r="K283" s="18">
        <f t="shared" si="882"/>
        <v>898.10900000000004</v>
      </c>
      <c r="L283" s="18">
        <f t="shared" si="882"/>
        <v>1005.703</v>
      </c>
      <c r="M283" s="18">
        <f t="shared" si="882"/>
        <v>1076.4770000000001</v>
      </c>
      <c r="N283" s="18">
        <f t="shared" si="882"/>
        <v>995.17</v>
      </c>
      <c r="O283" s="18">
        <f t="shared" si="882"/>
        <v>1117.251</v>
      </c>
      <c r="P283" s="18">
        <f t="shared" si="882"/>
        <v>1114.1099999999999</v>
      </c>
      <c r="Q283" s="18">
        <f t="shared" si="882"/>
        <v>1279.2380000000001</v>
      </c>
      <c r="R283" s="18">
        <f t="shared" si="882"/>
        <v>1581.8919999999998</v>
      </c>
      <c r="S283" s="18">
        <f t="shared" si="882"/>
        <v>2260.5159999999996</v>
      </c>
      <c r="T283" s="18">
        <f t="shared" si="882"/>
        <v>2765.4740000000002</v>
      </c>
      <c r="U283" s="18">
        <f t="shared" si="882"/>
        <v>3208.009</v>
      </c>
      <c r="V283" s="18">
        <f t="shared" si="882"/>
        <v>3175.4570000000003</v>
      </c>
      <c r="W283" s="18">
        <f t="shared" si="882"/>
        <v>3625.0259999999994</v>
      </c>
      <c r="X283" s="18">
        <f t="shared" si="882"/>
        <v>4075.127</v>
      </c>
      <c r="Y283" s="18">
        <f t="shared" si="882"/>
        <v>4641.936999999999</v>
      </c>
      <c r="Z283" s="18">
        <f t="shared" si="882"/>
        <v>4974.1939999999995</v>
      </c>
      <c r="AA283" s="18">
        <f t="shared" si="882"/>
        <v>5432.3659999999991</v>
      </c>
      <c r="AB283" s="18">
        <f t="shared" si="882"/>
        <v>5056.7209999999995</v>
      </c>
      <c r="AC283" s="18">
        <f t="shared" si="882"/>
        <v>4657.567</v>
      </c>
      <c r="AD283" s="18">
        <f t="shared" si="882"/>
        <v>4906.525848580709</v>
      </c>
      <c r="AE283" s="18">
        <f t="shared" si="882"/>
        <v>4826.5666143540975</v>
      </c>
      <c r="AF283" s="18">
        <f t="shared" si="882"/>
        <v>4806.5086190483298</v>
      </c>
      <c r="AG283" s="17"/>
      <c r="AH283" s="18"/>
      <c r="AI283" s="18"/>
      <c r="AJ283" s="18"/>
      <c r="AK283" s="18">
        <f t="shared" ref="AK283:BP283" si="883">AK268+AK270+AK278</f>
        <v>518.2059999999999</v>
      </c>
      <c r="AL283" s="18">
        <f t="shared" si="883"/>
        <v>525.37400000000002</v>
      </c>
      <c r="AM283" s="18">
        <f t="shared" si="883"/>
        <v>528.53200000000004</v>
      </c>
      <c r="AN283" s="18">
        <f t="shared" si="883"/>
        <v>530.923</v>
      </c>
      <c r="AO283" s="18">
        <f t="shared" si="883"/>
        <v>524.33400000000006</v>
      </c>
      <c r="AP283" s="18">
        <f t="shared" si="883"/>
        <v>556.99199999999996</v>
      </c>
      <c r="AQ283" s="18">
        <f t="shared" si="883"/>
        <v>565.28899999999999</v>
      </c>
      <c r="AR283" s="18">
        <f t="shared" si="883"/>
        <v>568.93500000000006</v>
      </c>
      <c r="AS283" s="18">
        <f t="shared" si="883"/>
        <v>562.43500000000006</v>
      </c>
      <c r="AT283" s="18">
        <f t="shared" si="883"/>
        <v>576.18600000000004</v>
      </c>
      <c r="AU283" s="18">
        <f t="shared" si="883"/>
        <v>593.24300000000005</v>
      </c>
      <c r="AV283" s="18">
        <f t="shared" si="883"/>
        <v>619.87199999999996</v>
      </c>
      <c r="AW283" s="18">
        <f t="shared" si="883"/>
        <v>645.96999999999991</v>
      </c>
      <c r="AX283" s="18">
        <f t="shared" si="883"/>
        <v>677.24099999999999</v>
      </c>
      <c r="AY283" s="18">
        <f t="shared" si="883"/>
        <v>695.46100000000001</v>
      </c>
      <c r="AZ283" s="18">
        <f t="shared" si="883"/>
        <v>731.37900000000002</v>
      </c>
      <c r="BA283" s="18">
        <f t="shared" si="883"/>
        <v>780.57999999999993</v>
      </c>
      <c r="BB283" s="18">
        <f t="shared" si="883"/>
        <v>801.23800000000006</v>
      </c>
      <c r="BC283" s="18">
        <f t="shared" si="883"/>
        <v>818.52600000000007</v>
      </c>
      <c r="BD283" s="18">
        <f t="shared" si="883"/>
        <v>828.4</v>
      </c>
      <c r="BE283" s="18">
        <f t="shared" si="883"/>
        <v>843.14800000000002</v>
      </c>
      <c r="BF283" s="18">
        <f t="shared" si="883"/>
        <v>851.63499999999999</v>
      </c>
      <c r="BG283" s="18">
        <f t="shared" si="883"/>
        <v>866.88300000000015</v>
      </c>
      <c r="BH283" s="18">
        <f t="shared" si="883"/>
        <v>888.09300000000007</v>
      </c>
      <c r="BI283" s="18">
        <f t="shared" si="883"/>
        <v>898.10900000000004</v>
      </c>
      <c r="BJ283" s="18">
        <f t="shared" si="883"/>
        <v>919.62399999999991</v>
      </c>
      <c r="BK283" s="18">
        <f t="shared" si="883"/>
        <v>957.72699999999998</v>
      </c>
      <c r="BL283" s="18">
        <f t="shared" si="883"/>
        <v>965.20100000000002</v>
      </c>
      <c r="BM283" s="18">
        <f t="shared" si="883"/>
        <v>1005.703</v>
      </c>
      <c r="BN283" s="18">
        <f t="shared" si="883"/>
        <v>1030.5519999999999</v>
      </c>
      <c r="BO283" s="18">
        <f t="shared" si="883"/>
        <v>1058.2669999999998</v>
      </c>
      <c r="BP283" s="18">
        <f t="shared" si="883"/>
        <v>1094.616</v>
      </c>
      <c r="BQ283" s="18">
        <f t="shared" ref="BQ283:CV283" si="884">BQ268+BQ270+BQ278</f>
        <v>1076.4770000000001</v>
      </c>
      <c r="BR283" s="18">
        <f t="shared" si="884"/>
        <v>1106.011</v>
      </c>
      <c r="BS283" s="18">
        <f t="shared" si="884"/>
        <v>1118.0339999999999</v>
      </c>
      <c r="BT283" s="18">
        <f t="shared" si="884"/>
        <v>1111.4669999999999</v>
      </c>
      <c r="BU283" s="18">
        <f t="shared" si="884"/>
        <v>995.17</v>
      </c>
      <c r="BV283" s="18">
        <f t="shared" si="884"/>
        <v>1098.0940000000001</v>
      </c>
      <c r="BW283" s="18">
        <f t="shared" si="884"/>
        <v>1093.1890000000001</v>
      </c>
      <c r="BX283" s="18">
        <f t="shared" si="884"/>
        <v>1111.768</v>
      </c>
      <c r="BY283" s="18">
        <f t="shared" si="884"/>
        <v>1117.251</v>
      </c>
      <c r="BZ283" s="18">
        <f t="shared" si="884"/>
        <v>1126.047</v>
      </c>
      <c r="CA283" s="18">
        <f t="shared" si="884"/>
        <v>1136.992</v>
      </c>
      <c r="CB283" s="18">
        <f t="shared" si="884"/>
        <v>1136.7089999999998</v>
      </c>
      <c r="CC283" s="18">
        <f t="shared" si="884"/>
        <v>1114.1099999999999</v>
      </c>
      <c r="CD283" s="18">
        <f t="shared" si="884"/>
        <v>1160.1689999999999</v>
      </c>
      <c r="CE283" s="18">
        <f t="shared" si="884"/>
        <v>1189.7</v>
      </c>
      <c r="CF283" s="18">
        <f t="shared" si="884"/>
        <v>1226.28</v>
      </c>
      <c r="CG283" s="18">
        <f t="shared" si="884"/>
        <v>1279.2380000000001</v>
      </c>
      <c r="CH283" s="18">
        <f t="shared" si="884"/>
        <v>1342.472</v>
      </c>
      <c r="CI283" s="18">
        <f t="shared" si="884"/>
        <v>1443.662</v>
      </c>
      <c r="CJ283" s="18">
        <f t="shared" si="884"/>
        <v>1521.576</v>
      </c>
      <c r="CK283" s="18">
        <f t="shared" si="884"/>
        <v>1581.8919999999998</v>
      </c>
      <c r="CL283" s="18">
        <f t="shared" si="884"/>
        <v>1688.318</v>
      </c>
      <c r="CM283" s="18">
        <f t="shared" si="884"/>
        <v>1924.1309999999999</v>
      </c>
      <c r="CN283" s="18">
        <f t="shared" si="884"/>
        <v>2089.5230000000001</v>
      </c>
      <c r="CO283" s="18">
        <f t="shared" si="884"/>
        <v>2260.5159999999996</v>
      </c>
      <c r="CP283" s="18">
        <f t="shared" si="884"/>
        <v>2399.0189999999998</v>
      </c>
      <c r="CQ283" s="18">
        <f t="shared" si="884"/>
        <v>2494.08</v>
      </c>
      <c r="CR283" s="18">
        <f t="shared" si="884"/>
        <v>2621.1719999999996</v>
      </c>
      <c r="CS283" s="18">
        <f t="shared" si="884"/>
        <v>2765.4740000000002</v>
      </c>
      <c r="CT283" s="18">
        <f t="shared" si="884"/>
        <v>2901.4449999999997</v>
      </c>
      <c r="CU283" s="18">
        <f t="shared" si="884"/>
        <v>3046.0569999999998</v>
      </c>
      <c r="CV283" s="18">
        <f t="shared" si="884"/>
        <v>3153.942</v>
      </c>
      <c r="CW283" s="18">
        <f t="shared" ref="CW283:EA283" si="885">CW268+CW270+CW278</f>
        <v>3208.009</v>
      </c>
      <c r="CX283" s="18">
        <f t="shared" si="885"/>
        <v>3240.9820000000004</v>
      </c>
      <c r="CY283" s="18">
        <f t="shared" si="885"/>
        <v>3234.7950000000001</v>
      </c>
      <c r="CZ283" s="18">
        <f t="shared" si="885"/>
        <v>3095.527</v>
      </c>
      <c r="DA283" s="18">
        <f t="shared" si="885"/>
        <v>3175.4570000000003</v>
      </c>
      <c r="DB283" s="18">
        <f t="shared" si="885"/>
        <v>3319.2599999999998</v>
      </c>
      <c r="DC283" s="18">
        <f t="shared" si="885"/>
        <v>3482.8759999999997</v>
      </c>
      <c r="DD283" s="18">
        <f t="shared" si="885"/>
        <v>3575.4079999999999</v>
      </c>
      <c r="DE283" s="18">
        <f t="shared" si="885"/>
        <v>3625.0259999999994</v>
      </c>
      <c r="DF283" s="18">
        <f t="shared" si="885"/>
        <v>3800.9789999999994</v>
      </c>
      <c r="DG283" s="18">
        <f t="shared" si="885"/>
        <v>3957.2939999999999</v>
      </c>
      <c r="DH283" s="18">
        <f t="shared" si="885"/>
        <v>3989.7460000000001</v>
      </c>
      <c r="DI283" s="18">
        <f t="shared" si="885"/>
        <v>4075.127</v>
      </c>
      <c r="DJ283" s="18">
        <f t="shared" si="885"/>
        <v>4230.5999999999995</v>
      </c>
      <c r="DK283" s="18">
        <f t="shared" si="885"/>
        <v>4413.2789999999995</v>
      </c>
      <c r="DL283" s="18">
        <f t="shared" si="885"/>
        <v>4533.9930000000004</v>
      </c>
      <c r="DM283" s="18">
        <f t="shared" si="885"/>
        <v>4641.936999999999</v>
      </c>
      <c r="DN283" s="18">
        <f t="shared" si="885"/>
        <v>4766.860999999999</v>
      </c>
      <c r="DO283" s="18">
        <f t="shared" si="885"/>
        <v>4886.4140000000007</v>
      </c>
      <c r="DP283" s="18">
        <f t="shared" si="885"/>
        <v>5017.2629999999999</v>
      </c>
      <c r="DQ283" s="18">
        <f t="shared" si="885"/>
        <v>4974.1939999999995</v>
      </c>
      <c r="DR283" s="18">
        <f t="shared" si="885"/>
        <v>5005.4000000000005</v>
      </c>
      <c r="DS283" s="18">
        <f t="shared" si="885"/>
        <v>5577.8</v>
      </c>
      <c r="DT283" s="18">
        <f t="shared" si="885"/>
        <v>5596.4480000000003</v>
      </c>
      <c r="DU283" s="18">
        <f t="shared" si="885"/>
        <v>5432.3659999999991</v>
      </c>
      <c r="DV283" s="18">
        <f t="shared" si="885"/>
        <v>5372.3924806621344</v>
      </c>
      <c r="DW283" s="18">
        <f t="shared" si="885"/>
        <v>5314.244999999999</v>
      </c>
      <c r="DX283" s="18">
        <f t="shared" si="885"/>
        <v>5233.884</v>
      </c>
      <c r="DY283" s="18">
        <f t="shared" si="885"/>
        <v>5056.7209999999995</v>
      </c>
      <c r="DZ283" s="18">
        <f t="shared" si="885"/>
        <v>4968.0949999999993</v>
      </c>
      <c r="EA283" s="18">
        <f t="shared" si="885"/>
        <v>4839.8070000000007</v>
      </c>
      <c r="EB283" s="18">
        <f t="shared" ref="EB283:EC283" si="886">EB268+EB270+EB278</f>
        <v>4742.6210000000001</v>
      </c>
      <c r="EC283" s="18">
        <f t="shared" si="886"/>
        <v>4657.567</v>
      </c>
      <c r="ED283" s="18">
        <f t="shared" ref="ED283:EP283" si="887">ED268+ED270+ED278</f>
        <v>5083.6119999999992</v>
      </c>
      <c r="EE283" s="18">
        <f t="shared" si="887"/>
        <v>5011.7385451170258</v>
      </c>
      <c r="EF283" s="18">
        <f t="shared" si="887"/>
        <v>4949.9729618047677</v>
      </c>
      <c r="EG283" s="18">
        <f t="shared" si="887"/>
        <v>4906.525848580709</v>
      </c>
      <c r="EH283" s="18">
        <f t="shared" si="887"/>
        <v>4874.8254704249302</v>
      </c>
      <c r="EI283" s="18">
        <f t="shared" si="887"/>
        <v>4852.3159096411746</v>
      </c>
      <c r="EJ283" s="18">
        <f t="shared" si="887"/>
        <v>4836.5381751318273</v>
      </c>
      <c r="EK283" s="18">
        <f t="shared" si="887"/>
        <v>4826.5666143540975</v>
      </c>
      <c r="EL283" s="18">
        <f t="shared" si="887"/>
        <v>4825.1222828514419</v>
      </c>
      <c r="EM283" s="18">
        <f t="shared" si="887"/>
        <v>4819.8118424405011</v>
      </c>
      <c r="EN283" s="18">
        <f t="shared" si="887"/>
        <v>4812.8845427236056</v>
      </c>
      <c r="EO283" s="18">
        <f t="shared" si="887"/>
        <v>4806.5086190483298</v>
      </c>
      <c r="EP283" s="18">
        <f t="shared" si="887"/>
        <v>4798.5027811372347</v>
      </c>
      <c r="EQ283" s="18"/>
      <c r="ER283" s="18"/>
      <c r="ES283" s="355">
        <f t="shared" si="838"/>
        <v>278</v>
      </c>
      <c r="ET283"/>
      <c r="EU283"/>
      <c r="EV283"/>
      <c r="EW283"/>
      <c r="EX283"/>
      <c r="EY283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</row>
    <row r="284" spans="1:257" s="4" customFormat="1" ht="12.75" customHeight="1" outlineLevel="1">
      <c r="A284" s="15"/>
      <c r="B284" s="63" t="s">
        <v>77</v>
      </c>
      <c r="C284" s="18"/>
      <c r="D284" s="18"/>
      <c r="E284" s="18">
        <f t="shared" ref="E284:AF284" si="888">E268+E270</f>
        <v>9.2789999999999999</v>
      </c>
      <c r="F284" s="18">
        <f t="shared" si="888"/>
        <v>0</v>
      </c>
      <c r="G284" s="18">
        <f t="shared" si="888"/>
        <v>0</v>
      </c>
      <c r="H284" s="18">
        <f t="shared" si="888"/>
        <v>0</v>
      </c>
      <c r="I284" s="18">
        <f t="shared" si="888"/>
        <v>0</v>
      </c>
      <c r="J284" s="18">
        <f t="shared" si="888"/>
        <v>50</v>
      </c>
      <c r="K284" s="18">
        <f t="shared" si="888"/>
        <v>50</v>
      </c>
      <c r="L284" s="18">
        <f t="shared" si="888"/>
        <v>50</v>
      </c>
      <c r="M284" s="18">
        <f t="shared" si="888"/>
        <v>50</v>
      </c>
      <c r="N284" s="18">
        <f t="shared" si="888"/>
        <v>100</v>
      </c>
      <c r="O284" s="18">
        <f t="shared" si="888"/>
        <v>200</v>
      </c>
      <c r="P284" s="18">
        <f t="shared" si="888"/>
        <v>200</v>
      </c>
      <c r="Q284" s="18">
        <f t="shared" si="888"/>
        <v>200</v>
      </c>
      <c r="R284" s="18">
        <f t="shared" si="888"/>
        <v>200</v>
      </c>
      <c r="S284" s="18">
        <f t="shared" si="888"/>
        <v>445</v>
      </c>
      <c r="T284" s="18">
        <f t="shared" si="888"/>
        <v>500</v>
      </c>
      <c r="U284" s="18">
        <f t="shared" si="888"/>
        <v>525</v>
      </c>
      <c r="V284" s="18">
        <f t="shared" si="888"/>
        <v>367.99200000000002</v>
      </c>
      <c r="W284" s="18">
        <f t="shared" si="888"/>
        <v>354.97899999999998</v>
      </c>
      <c r="X284" s="18">
        <f t="shared" si="888"/>
        <v>240.12899999999999</v>
      </c>
      <c r="Y284" s="18">
        <f t="shared" si="888"/>
        <v>198.20999999999998</v>
      </c>
      <c r="Z284" s="18">
        <f t="shared" si="888"/>
        <v>83.216999999999999</v>
      </c>
      <c r="AA284" s="18">
        <f t="shared" si="888"/>
        <v>534.91399999999999</v>
      </c>
      <c r="AB284" s="18">
        <f t="shared" si="888"/>
        <v>495.79599999999999</v>
      </c>
      <c r="AC284" s="18">
        <f t="shared" si="888"/>
        <v>492.976</v>
      </c>
      <c r="AD284" s="18">
        <f t="shared" si="888"/>
        <v>493.262</v>
      </c>
      <c r="AE284" s="18">
        <f t="shared" si="888"/>
        <v>493.262</v>
      </c>
      <c r="AF284" s="18">
        <f t="shared" si="888"/>
        <v>493.262</v>
      </c>
      <c r="AG284" s="17"/>
      <c r="AH284" s="18"/>
      <c r="AI284" s="18"/>
      <c r="AJ284" s="18"/>
      <c r="AK284" s="18">
        <f t="shared" ref="AK284:BP284" si="889">AK268+AK270</f>
        <v>9.2789999999999999</v>
      </c>
      <c r="AL284" s="18">
        <f t="shared" si="889"/>
        <v>7.7140000000000004</v>
      </c>
      <c r="AM284" s="18">
        <f t="shared" si="889"/>
        <v>7.2190000000000003</v>
      </c>
      <c r="AN284" s="18">
        <f t="shared" si="889"/>
        <v>6.6920000000000002</v>
      </c>
      <c r="AO284" s="18">
        <f t="shared" si="889"/>
        <v>0</v>
      </c>
      <c r="AP284" s="18">
        <f t="shared" si="889"/>
        <v>0</v>
      </c>
      <c r="AQ284" s="18">
        <f t="shared" si="889"/>
        <v>0</v>
      </c>
      <c r="AR284" s="18">
        <f t="shared" si="889"/>
        <v>0</v>
      </c>
      <c r="AS284" s="18">
        <f t="shared" si="889"/>
        <v>0</v>
      </c>
      <c r="AT284" s="18">
        <f t="shared" si="889"/>
        <v>0</v>
      </c>
      <c r="AU284" s="18">
        <f t="shared" si="889"/>
        <v>0</v>
      </c>
      <c r="AV284" s="18">
        <f t="shared" si="889"/>
        <v>10.454000000000001</v>
      </c>
      <c r="AW284" s="18">
        <f t="shared" si="889"/>
        <v>0</v>
      </c>
      <c r="AX284" s="18">
        <f t="shared" si="889"/>
        <v>0</v>
      </c>
      <c r="AY284" s="18">
        <f t="shared" si="889"/>
        <v>0</v>
      </c>
      <c r="AZ284" s="18">
        <f t="shared" si="889"/>
        <v>0</v>
      </c>
      <c r="BA284" s="18">
        <f t="shared" si="889"/>
        <v>0</v>
      </c>
      <c r="BB284" s="18">
        <f t="shared" si="889"/>
        <v>0</v>
      </c>
      <c r="BC284" s="18">
        <f t="shared" si="889"/>
        <v>0</v>
      </c>
      <c r="BD284" s="18">
        <f t="shared" si="889"/>
        <v>0</v>
      </c>
      <c r="BE284" s="18">
        <f t="shared" si="889"/>
        <v>50</v>
      </c>
      <c r="BF284" s="18">
        <f t="shared" si="889"/>
        <v>50</v>
      </c>
      <c r="BG284" s="18">
        <f t="shared" si="889"/>
        <v>50</v>
      </c>
      <c r="BH284" s="18">
        <f t="shared" si="889"/>
        <v>50</v>
      </c>
      <c r="BI284" s="18">
        <f t="shared" si="889"/>
        <v>50</v>
      </c>
      <c r="BJ284" s="18">
        <f t="shared" si="889"/>
        <v>50</v>
      </c>
      <c r="BK284" s="18">
        <f t="shared" si="889"/>
        <v>50</v>
      </c>
      <c r="BL284" s="18">
        <f t="shared" si="889"/>
        <v>50</v>
      </c>
      <c r="BM284" s="18">
        <f t="shared" si="889"/>
        <v>50</v>
      </c>
      <c r="BN284" s="18">
        <f t="shared" si="889"/>
        <v>50</v>
      </c>
      <c r="BO284" s="18">
        <f t="shared" si="889"/>
        <v>50</v>
      </c>
      <c r="BP284" s="18">
        <f t="shared" si="889"/>
        <v>50</v>
      </c>
      <c r="BQ284" s="18">
        <f t="shared" ref="BQ284:CV284" si="890">BQ268+BQ270</f>
        <v>50</v>
      </c>
      <c r="BR284" s="18">
        <f t="shared" si="890"/>
        <v>50</v>
      </c>
      <c r="BS284" s="18">
        <f t="shared" si="890"/>
        <v>50</v>
      </c>
      <c r="BT284" s="18">
        <f t="shared" si="890"/>
        <v>50</v>
      </c>
      <c r="BU284" s="18">
        <f t="shared" si="890"/>
        <v>100</v>
      </c>
      <c r="BV284" s="18">
        <f t="shared" si="890"/>
        <v>200</v>
      </c>
      <c r="BW284" s="18">
        <f t="shared" si="890"/>
        <v>200</v>
      </c>
      <c r="BX284" s="18">
        <f t="shared" si="890"/>
        <v>200</v>
      </c>
      <c r="BY284" s="18">
        <f t="shared" si="890"/>
        <v>200</v>
      </c>
      <c r="BZ284" s="18">
        <f t="shared" si="890"/>
        <v>200</v>
      </c>
      <c r="CA284" s="18">
        <f t="shared" si="890"/>
        <v>200</v>
      </c>
      <c r="CB284" s="18">
        <f t="shared" si="890"/>
        <v>200</v>
      </c>
      <c r="CC284" s="18">
        <f t="shared" si="890"/>
        <v>200</v>
      </c>
      <c r="CD284" s="18">
        <f t="shared" si="890"/>
        <v>200</v>
      </c>
      <c r="CE284" s="18">
        <f t="shared" si="890"/>
        <v>200</v>
      </c>
      <c r="CF284" s="18">
        <f t="shared" si="890"/>
        <v>200</v>
      </c>
      <c r="CG284" s="18">
        <f t="shared" si="890"/>
        <v>200</v>
      </c>
      <c r="CH284" s="18">
        <f t="shared" si="890"/>
        <v>200</v>
      </c>
      <c r="CI284" s="18">
        <f t="shared" si="890"/>
        <v>200</v>
      </c>
      <c r="CJ284" s="18">
        <f t="shared" si="890"/>
        <v>200</v>
      </c>
      <c r="CK284" s="18">
        <f t="shared" si="890"/>
        <v>200</v>
      </c>
      <c r="CL284" s="18">
        <f t="shared" si="890"/>
        <v>230</v>
      </c>
      <c r="CM284" s="18">
        <f t="shared" si="890"/>
        <v>355</v>
      </c>
      <c r="CN284" s="18">
        <f t="shared" si="890"/>
        <v>405</v>
      </c>
      <c r="CO284" s="18">
        <f t="shared" si="890"/>
        <v>445</v>
      </c>
      <c r="CP284" s="18">
        <f t="shared" si="890"/>
        <v>485</v>
      </c>
      <c r="CQ284" s="18">
        <f t="shared" si="890"/>
        <v>480</v>
      </c>
      <c r="CR284" s="18">
        <f t="shared" si="890"/>
        <v>455</v>
      </c>
      <c r="CS284" s="18">
        <f t="shared" si="890"/>
        <v>500</v>
      </c>
      <c r="CT284" s="18">
        <f t="shared" si="890"/>
        <v>515</v>
      </c>
      <c r="CU284" s="18">
        <f t="shared" si="890"/>
        <v>560</v>
      </c>
      <c r="CV284" s="18">
        <f t="shared" si="890"/>
        <v>560</v>
      </c>
      <c r="CW284" s="18">
        <f t="shared" ref="CW284:EA284" si="891">CW268+CW270</f>
        <v>525</v>
      </c>
      <c r="CX284" s="18">
        <f t="shared" si="891"/>
        <v>485</v>
      </c>
      <c r="CY284" s="18">
        <f t="shared" si="891"/>
        <v>440</v>
      </c>
      <c r="CZ284" s="18">
        <f t="shared" si="891"/>
        <v>390</v>
      </c>
      <c r="DA284" s="18">
        <f t="shared" si="891"/>
        <v>367.99200000000002</v>
      </c>
      <c r="DB284" s="18">
        <f t="shared" si="891"/>
        <v>355.91800000000001</v>
      </c>
      <c r="DC284" s="18">
        <f t="shared" si="891"/>
        <v>355.88200000000001</v>
      </c>
      <c r="DD284" s="18">
        <f t="shared" si="891"/>
        <v>355.17</v>
      </c>
      <c r="DE284" s="18">
        <f t="shared" si="891"/>
        <v>354.97899999999998</v>
      </c>
      <c r="DF284" s="18">
        <f t="shared" si="891"/>
        <v>355.17099999999999</v>
      </c>
      <c r="DG284" s="18">
        <f t="shared" si="891"/>
        <v>355.19799999999998</v>
      </c>
      <c r="DH284" s="18">
        <f t="shared" si="891"/>
        <v>355.15600000000001</v>
      </c>
      <c r="DI284" s="18">
        <f t="shared" si="891"/>
        <v>240.12899999999999</v>
      </c>
      <c r="DJ284" s="18">
        <f t="shared" si="891"/>
        <v>240.20499999999998</v>
      </c>
      <c r="DK284" s="18">
        <f t="shared" si="891"/>
        <v>238.64699999999999</v>
      </c>
      <c r="DL284" s="18">
        <f t="shared" si="891"/>
        <v>238.96899999999999</v>
      </c>
      <c r="DM284" s="18">
        <f t="shared" si="891"/>
        <v>198.20999999999998</v>
      </c>
      <c r="DN284" s="18">
        <f t="shared" si="891"/>
        <v>198.249</v>
      </c>
      <c r="DO284" s="18">
        <f t="shared" si="891"/>
        <v>198.34100000000001</v>
      </c>
      <c r="DP284" s="18">
        <f t="shared" si="891"/>
        <v>198.17599999999999</v>
      </c>
      <c r="DQ284" s="18">
        <f t="shared" si="891"/>
        <v>83.216999999999999</v>
      </c>
      <c r="DR284" s="18">
        <f t="shared" si="891"/>
        <v>84.177999999999997</v>
      </c>
      <c r="DS284" s="18">
        <f t="shared" si="891"/>
        <v>575.42399999999998</v>
      </c>
      <c r="DT284" s="18">
        <f t="shared" si="891"/>
        <v>574.93900000000008</v>
      </c>
      <c r="DU284" s="18">
        <f t="shared" si="891"/>
        <v>534.91399999999999</v>
      </c>
      <c r="DV284" s="18">
        <f t="shared" si="891"/>
        <v>542.09948066213406</v>
      </c>
      <c r="DW284" s="18">
        <f t="shared" si="891"/>
        <v>532.14499999999998</v>
      </c>
      <c r="DX284" s="18">
        <f t="shared" si="891"/>
        <v>532.42200000000003</v>
      </c>
      <c r="DY284" s="18">
        <f t="shared" si="891"/>
        <v>495.79599999999999</v>
      </c>
      <c r="DZ284" s="18">
        <f t="shared" si="891"/>
        <v>492.18</v>
      </c>
      <c r="EA284" s="18">
        <f t="shared" si="891"/>
        <v>492.41300000000001</v>
      </c>
      <c r="EB284" s="18">
        <f t="shared" ref="EB284:EC284" si="892">EB268+EB270</f>
        <v>492.71699999999998</v>
      </c>
      <c r="EC284" s="18">
        <f t="shared" si="892"/>
        <v>492.976</v>
      </c>
      <c r="ED284" s="18">
        <f t="shared" ref="ED284:EP284" si="893">ED268+ED270</f>
        <v>493.262</v>
      </c>
      <c r="EE284" s="18">
        <f t="shared" si="893"/>
        <v>493.262</v>
      </c>
      <c r="EF284" s="18">
        <f t="shared" si="893"/>
        <v>493.262</v>
      </c>
      <c r="EG284" s="18">
        <f t="shared" si="893"/>
        <v>493.262</v>
      </c>
      <c r="EH284" s="18">
        <f t="shared" si="893"/>
        <v>493.262</v>
      </c>
      <c r="EI284" s="18">
        <f t="shared" si="893"/>
        <v>493.262</v>
      </c>
      <c r="EJ284" s="18">
        <f t="shared" si="893"/>
        <v>493.262</v>
      </c>
      <c r="EK284" s="18">
        <f t="shared" si="893"/>
        <v>493.262</v>
      </c>
      <c r="EL284" s="18">
        <f t="shared" si="893"/>
        <v>493.262</v>
      </c>
      <c r="EM284" s="18">
        <f t="shared" si="893"/>
        <v>493.262</v>
      </c>
      <c r="EN284" s="18">
        <f t="shared" si="893"/>
        <v>493.262</v>
      </c>
      <c r="EO284" s="18">
        <f t="shared" si="893"/>
        <v>493.262</v>
      </c>
      <c r="EP284" s="18">
        <f t="shared" si="893"/>
        <v>493.262</v>
      </c>
      <c r="EQ284" s="18"/>
      <c r="ER284" s="18"/>
      <c r="ES284" s="355">
        <f t="shared" si="838"/>
        <v>279</v>
      </c>
      <c r="ET284"/>
      <c r="EU284"/>
      <c r="EV284"/>
      <c r="EW284"/>
      <c r="EX284"/>
      <c r="EY284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</row>
    <row r="285" spans="1:257" s="4" customFormat="1" ht="12.75" customHeight="1" outlineLevel="1">
      <c r="A285" s="15"/>
      <c r="B285" s="63" t="s">
        <v>76</v>
      </c>
      <c r="C285" s="18"/>
      <c r="D285" s="18"/>
      <c r="E285" s="18">
        <f t="shared" ref="E285:AF285" si="894">E284-E251-E252-E259</f>
        <v>-137.322</v>
      </c>
      <c r="F285" s="18">
        <f t="shared" si="894"/>
        <v>-116.861</v>
      </c>
      <c r="G285" s="18">
        <f t="shared" si="894"/>
        <v>-176.45099999999999</v>
      </c>
      <c r="H285" s="18">
        <f t="shared" si="894"/>
        <v>-246.70099999999999</v>
      </c>
      <c r="I285" s="18">
        <f t="shared" si="894"/>
        <v>-351.47300000000001</v>
      </c>
      <c r="J285" s="18">
        <f t="shared" si="894"/>
        <v>-174.876</v>
      </c>
      <c r="K285" s="18">
        <f t="shared" si="894"/>
        <v>-210.233</v>
      </c>
      <c r="L285" s="18">
        <f t="shared" si="894"/>
        <v>-362.41300000000001</v>
      </c>
      <c r="M285" s="18">
        <f t="shared" si="894"/>
        <v>-279.11199999999997</v>
      </c>
      <c r="N285" s="18">
        <f t="shared" si="894"/>
        <v>-97.058000000000021</v>
      </c>
      <c r="O285" s="18">
        <f t="shared" si="894"/>
        <v>3.0409999999999968</v>
      </c>
      <c r="P285" s="18">
        <f t="shared" si="894"/>
        <v>-26.828000000000003</v>
      </c>
      <c r="Q285" s="18">
        <f t="shared" si="894"/>
        <v>-267.20400000000001</v>
      </c>
      <c r="R285" s="18">
        <f t="shared" si="894"/>
        <v>-52.162000000000006</v>
      </c>
      <c r="S285" s="18">
        <f t="shared" si="894"/>
        <v>132.42499999999995</v>
      </c>
      <c r="T285" s="18">
        <f t="shared" si="894"/>
        <v>179.22099999999998</v>
      </c>
      <c r="U285" s="18">
        <f t="shared" si="894"/>
        <v>14.610000000000014</v>
      </c>
      <c r="V285" s="18">
        <f t="shared" si="894"/>
        <v>-15.739999999999952</v>
      </c>
      <c r="W285" s="18">
        <f t="shared" si="894"/>
        <v>-357.19099999999997</v>
      </c>
      <c r="X285" s="18">
        <f t="shared" si="894"/>
        <v>-307.11</v>
      </c>
      <c r="Y285" s="18">
        <f t="shared" si="894"/>
        <v>-565.81200000000001</v>
      </c>
      <c r="Z285" s="18">
        <f t="shared" si="894"/>
        <v>-514.33600000000001</v>
      </c>
      <c r="AA285" s="18">
        <f t="shared" si="894"/>
        <v>-332.96</v>
      </c>
      <c r="AB285" s="18">
        <f t="shared" si="894"/>
        <v>-538.86800000000005</v>
      </c>
      <c r="AC285" s="18">
        <f t="shared" si="894"/>
        <v>-156.916</v>
      </c>
      <c r="AD285" s="18">
        <f t="shared" si="894"/>
        <v>203.79622793632171</v>
      </c>
      <c r="AE285" s="18">
        <f t="shared" si="894"/>
        <v>142.72642092315039</v>
      </c>
      <c r="AF285" s="18">
        <f t="shared" si="894"/>
        <v>-22.948174587571614</v>
      </c>
      <c r="AG285" s="17"/>
      <c r="AH285" s="18"/>
      <c r="AI285" s="18"/>
      <c r="AJ285" s="18"/>
      <c r="AK285" s="18">
        <f t="shared" ref="AK285:BP285" si="895">AK284-AK251-AK252-AK259</f>
        <v>-137.322</v>
      </c>
      <c r="AL285" s="18">
        <f t="shared" si="895"/>
        <v>-131.583</v>
      </c>
      <c r="AM285" s="18">
        <f t="shared" si="895"/>
        <v>-147.221</v>
      </c>
      <c r="AN285" s="18">
        <f t="shared" si="895"/>
        <v>-125.15300000000001</v>
      </c>
      <c r="AO285" s="18">
        <f t="shared" si="895"/>
        <v>-116.861</v>
      </c>
      <c r="AP285" s="18">
        <f t="shared" si="895"/>
        <v>-157.63399999999999</v>
      </c>
      <c r="AQ285" s="18">
        <f t="shared" si="895"/>
        <v>-166.78</v>
      </c>
      <c r="AR285" s="18">
        <f t="shared" si="895"/>
        <v>-170.78399999999999</v>
      </c>
      <c r="AS285" s="18">
        <f t="shared" si="895"/>
        <v>-176.45099999999999</v>
      </c>
      <c r="AT285" s="18">
        <f t="shared" si="895"/>
        <v>-166.108</v>
      </c>
      <c r="AU285" s="18">
        <f t="shared" si="895"/>
        <v>-182.77600000000001</v>
      </c>
      <c r="AV285" s="18">
        <f t="shared" si="895"/>
        <v>-184.35999999999999</v>
      </c>
      <c r="AW285" s="18">
        <f t="shared" si="895"/>
        <v>-246.70099999999999</v>
      </c>
      <c r="AX285" s="18">
        <f t="shared" si="895"/>
        <v>-279.69100000000003</v>
      </c>
      <c r="AY285" s="18">
        <f t="shared" si="895"/>
        <v>-270.09199999999998</v>
      </c>
      <c r="AZ285" s="18">
        <f t="shared" si="895"/>
        <v>-301.48500000000001</v>
      </c>
      <c r="BA285" s="18">
        <f t="shared" si="895"/>
        <v>-351.47300000000001</v>
      </c>
      <c r="BB285" s="18">
        <f t="shared" si="895"/>
        <v>-351.00399999999996</v>
      </c>
      <c r="BC285" s="18">
        <f t="shared" si="895"/>
        <v>-340.28300000000002</v>
      </c>
      <c r="BD285" s="18">
        <f t="shared" si="895"/>
        <v>-288.22799999999995</v>
      </c>
      <c r="BE285" s="18">
        <f t="shared" si="895"/>
        <v>-174.876</v>
      </c>
      <c r="BF285" s="18">
        <f t="shared" si="895"/>
        <v>-177.03100000000001</v>
      </c>
      <c r="BG285" s="18">
        <f t="shared" si="895"/>
        <v>-187.90299999999999</v>
      </c>
      <c r="BH285" s="18">
        <f t="shared" si="895"/>
        <v>-214.78300000000002</v>
      </c>
      <c r="BI285" s="18">
        <f t="shared" si="895"/>
        <v>-210.233</v>
      </c>
      <c r="BJ285" s="18">
        <f t="shared" si="895"/>
        <v>-244.10199999999998</v>
      </c>
      <c r="BK285" s="18">
        <f t="shared" si="895"/>
        <v>-310.58199999999999</v>
      </c>
      <c r="BL285" s="18">
        <f t="shared" si="895"/>
        <v>-315.37</v>
      </c>
      <c r="BM285" s="18">
        <f t="shared" si="895"/>
        <v>-362.41300000000001</v>
      </c>
      <c r="BN285" s="18">
        <f t="shared" si="895"/>
        <v>-373.3</v>
      </c>
      <c r="BO285" s="18">
        <f t="shared" si="895"/>
        <v>-348.524</v>
      </c>
      <c r="BP285" s="18">
        <f t="shared" si="895"/>
        <v>-352.58199999999999</v>
      </c>
      <c r="BQ285" s="18">
        <f t="shared" ref="BQ285:CV285" si="896">BQ284-BQ251-BQ252-BQ259</f>
        <v>-279.11199999999997</v>
      </c>
      <c r="BR285" s="18">
        <f t="shared" si="896"/>
        <v>-257.78100000000001</v>
      </c>
      <c r="BS285" s="18">
        <f t="shared" si="896"/>
        <v>-226.72200000000001</v>
      </c>
      <c r="BT285" s="18">
        <f t="shared" si="896"/>
        <v>-165.55599999999998</v>
      </c>
      <c r="BU285" s="18">
        <f t="shared" si="896"/>
        <v>-97.058000000000021</v>
      </c>
      <c r="BV285" s="18">
        <f t="shared" si="896"/>
        <v>-58.117999999999995</v>
      </c>
      <c r="BW285" s="18">
        <f t="shared" si="896"/>
        <v>6.3269999999999982</v>
      </c>
      <c r="BX285" s="18">
        <f t="shared" si="896"/>
        <v>15.262999999999977</v>
      </c>
      <c r="BY285" s="18">
        <f t="shared" si="896"/>
        <v>3.0409999999999968</v>
      </c>
      <c r="BZ285" s="18">
        <f t="shared" si="896"/>
        <v>-3.6540000000000248</v>
      </c>
      <c r="CA285" s="18">
        <f t="shared" si="896"/>
        <v>-3.7529999999999859</v>
      </c>
      <c r="CB285" s="18">
        <f t="shared" si="896"/>
        <v>2.7680000000000007</v>
      </c>
      <c r="CC285" s="18">
        <f t="shared" si="896"/>
        <v>-26.828000000000003</v>
      </c>
      <c r="CD285" s="18">
        <f t="shared" si="896"/>
        <v>-127.191</v>
      </c>
      <c r="CE285" s="18">
        <f t="shared" si="896"/>
        <v>-165.529</v>
      </c>
      <c r="CF285" s="18">
        <f t="shared" si="896"/>
        <v>-201.785</v>
      </c>
      <c r="CG285" s="18">
        <f t="shared" si="896"/>
        <v>-267.20400000000001</v>
      </c>
      <c r="CH285" s="18">
        <f t="shared" si="896"/>
        <v>-293.74399999999997</v>
      </c>
      <c r="CI285" s="18">
        <f t="shared" si="896"/>
        <v>-229.20099999999999</v>
      </c>
      <c r="CJ285" s="18">
        <f t="shared" si="896"/>
        <v>-143.69999999999999</v>
      </c>
      <c r="CK285" s="18">
        <f t="shared" si="896"/>
        <v>-52.162000000000006</v>
      </c>
      <c r="CL285" s="18">
        <f t="shared" si="896"/>
        <v>-34.206999999999994</v>
      </c>
      <c r="CM285" s="18">
        <f t="shared" si="896"/>
        <v>59.847000000000008</v>
      </c>
      <c r="CN285" s="18">
        <f t="shared" si="896"/>
        <v>128.00099999999998</v>
      </c>
      <c r="CO285" s="18">
        <f t="shared" si="896"/>
        <v>132.42499999999995</v>
      </c>
      <c r="CP285" s="18">
        <f t="shared" si="896"/>
        <v>164.52199999999999</v>
      </c>
      <c r="CQ285" s="18">
        <f t="shared" si="896"/>
        <v>183.60400000000001</v>
      </c>
      <c r="CR285" s="18">
        <f t="shared" si="896"/>
        <v>137.11299999999997</v>
      </c>
      <c r="CS285" s="18">
        <f t="shared" si="896"/>
        <v>179.22099999999998</v>
      </c>
      <c r="CT285" s="18">
        <f t="shared" si="896"/>
        <v>203.42699999999999</v>
      </c>
      <c r="CU285" s="18">
        <f t="shared" si="896"/>
        <v>244.96600000000001</v>
      </c>
      <c r="CV285" s="18">
        <f t="shared" si="896"/>
        <v>138.24099999999999</v>
      </c>
      <c r="CW285" s="18">
        <f t="shared" ref="CW285:EA285" si="897">CW284-CW251-CW252-CW259</f>
        <v>14.610000000000014</v>
      </c>
      <c r="CX285" s="18">
        <f t="shared" si="897"/>
        <v>-47.241000000000042</v>
      </c>
      <c r="CY285" s="18">
        <f t="shared" si="897"/>
        <v>-41.365999999999985</v>
      </c>
      <c r="CZ285" s="18">
        <f t="shared" si="897"/>
        <v>37.663000000000011</v>
      </c>
      <c r="DA285" s="18">
        <f t="shared" si="897"/>
        <v>-15.739999999999952</v>
      </c>
      <c r="DB285" s="18">
        <f t="shared" si="897"/>
        <v>-215.69900000000001</v>
      </c>
      <c r="DC285" s="18">
        <f t="shared" si="897"/>
        <v>-365.74200000000002</v>
      </c>
      <c r="DD285" s="18">
        <f t="shared" si="897"/>
        <v>-385.94099999999997</v>
      </c>
      <c r="DE285" s="18">
        <f t="shared" si="897"/>
        <v>-357.19099999999997</v>
      </c>
      <c r="DF285" s="18">
        <f t="shared" si="897"/>
        <v>-392.68299999999999</v>
      </c>
      <c r="DG285" s="18">
        <f t="shared" si="897"/>
        <v>-413.55200000000002</v>
      </c>
      <c r="DH285" s="18">
        <f t="shared" si="897"/>
        <v>-176.23699999999999</v>
      </c>
      <c r="DI285" s="18">
        <f t="shared" si="897"/>
        <v>-307.11</v>
      </c>
      <c r="DJ285" s="18">
        <f t="shared" si="897"/>
        <v>-442.73500000000001</v>
      </c>
      <c r="DK285" s="18">
        <f t="shared" si="897"/>
        <v>-435.72899999999998</v>
      </c>
      <c r="DL285" s="18">
        <f t="shared" si="897"/>
        <v>-529.14499999999998</v>
      </c>
      <c r="DM285" s="18">
        <f t="shared" si="897"/>
        <v>-565.81200000000001</v>
      </c>
      <c r="DN285" s="18">
        <f t="shared" si="897"/>
        <v>-695.61999999999989</v>
      </c>
      <c r="DO285" s="18">
        <f t="shared" si="897"/>
        <v>-671.30799999999999</v>
      </c>
      <c r="DP285" s="18">
        <f t="shared" si="897"/>
        <v>-631.18000000000006</v>
      </c>
      <c r="DQ285" s="18">
        <f t="shared" si="897"/>
        <v>-514.33600000000001</v>
      </c>
      <c r="DR285" s="18">
        <f t="shared" si="897"/>
        <v>-333.03899999999999</v>
      </c>
      <c r="DS285" s="18">
        <f t="shared" si="897"/>
        <v>-308.351</v>
      </c>
      <c r="DT285" s="18">
        <f t="shared" si="897"/>
        <v>-355.95499999999993</v>
      </c>
      <c r="DU285" s="18">
        <f t="shared" si="897"/>
        <v>-332.96</v>
      </c>
      <c r="DV285" s="18">
        <f t="shared" si="897"/>
        <v>-439.11451933786594</v>
      </c>
      <c r="DW285" s="18">
        <f t="shared" si="897"/>
        <v>-494.75700000000006</v>
      </c>
      <c r="DX285" s="18">
        <f t="shared" si="897"/>
        <v>-524.07299999999998</v>
      </c>
      <c r="DY285" s="18">
        <f t="shared" si="897"/>
        <v>-538.86800000000005</v>
      </c>
      <c r="DZ285" s="18">
        <f t="shared" si="897"/>
        <v>-484.15300000000002</v>
      </c>
      <c r="EA285" s="18">
        <f t="shared" si="897"/>
        <v>-385.64400000000001</v>
      </c>
      <c r="EB285" s="18">
        <f t="shared" ref="EB285:EC285" si="898">EB284-EB251-EB252-EB259</f>
        <v>-196.95000000000005</v>
      </c>
      <c r="EC285" s="18">
        <f t="shared" si="898"/>
        <v>-156.916</v>
      </c>
      <c r="ED285" s="18">
        <f t="shared" ref="ED285:EP285" si="899">ED284-ED251-ED252-ED259</f>
        <v>-16.885999999999981</v>
      </c>
      <c r="EE285" s="18">
        <f t="shared" si="899"/>
        <v>63.246653397099564</v>
      </c>
      <c r="EF285" s="18">
        <f t="shared" si="899"/>
        <v>142.73990411304095</v>
      </c>
      <c r="EG285" s="18">
        <f t="shared" si="899"/>
        <v>203.79622793632171</v>
      </c>
      <c r="EH285" s="18">
        <f t="shared" si="899"/>
        <v>205.12976590041245</v>
      </c>
      <c r="EI285" s="18">
        <f t="shared" si="899"/>
        <v>204.07544159527964</v>
      </c>
      <c r="EJ285" s="18">
        <f t="shared" si="899"/>
        <v>176.6381957702643</v>
      </c>
      <c r="EK285" s="18">
        <f t="shared" si="899"/>
        <v>142.72642092315039</v>
      </c>
      <c r="EL285" s="18">
        <f t="shared" si="899"/>
        <v>112.14824757076018</v>
      </c>
      <c r="EM285" s="18">
        <f t="shared" si="899"/>
        <v>68.60939418736676</v>
      </c>
      <c r="EN285" s="18">
        <f t="shared" si="899"/>
        <v>24.289439002003675</v>
      </c>
      <c r="EO285" s="18">
        <f t="shared" si="899"/>
        <v>-22.948174587571614</v>
      </c>
      <c r="EP285" s="18">
        <f t="shared" si="899"/>
        <v>-65.128685316331669</v>
      </c>
      <c r="EQ285" s="18"/>
      <c r="ER285" s="18"/>
      <c r="ES285" s="355">
        <f t="shared" si="838"/>
        <v>280</v>
      </c>
      <c r="ET285"/>
      <c r="EU285"/>
      <c r="EV285"/>
      <c r="EW285"/>
      <c r="EX285"/>
      <c r="EY285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</row>
    <row r="286" spans="1:257" s="4" customFormat="1" ht="12.75" customHeight="1" outlineLevel="1">
      <c r="A286" s="15"/>
      <c r="B286" s="63" t="s">
        <v>75</v>
      </c>
      <c r="C286" s="25"/>
      <c r="D286" s="25"/>
      <c r="E286" s="91">
        <f t="shared" ref="E286:AF286" si="900">E284/E283</f>
        <v>1.7906006491626884E-2</v>
      </c>
      <c r="F286" s="91">
        <f t="shared" si="900"/>
        <v>0</v>
      </c>
      <c r="G286" s="91">
        <f t="shared" si="900"/>
        <v>0</v>
      </c>
      <c r="H286" s="91">
        <f t="shared" si="900"/>
        <v>0</v>
      </c>
      <c r="I286" s="91">
        <f t="shared" si="900"/>
        <v>0</v>
      </c>
      <c r="J286" s="91">
        <f t="shared" si="900"/>
        <v>5.9301569831156566E-2</v>
      </c>
      <c r="K286" s="91">
        <f t="shared" si="900"/>
        <v>5.5672529726347245E-2</v>
      </c>
      <c r="L286" s="91">
        <f t="shared" si="900"/>
        <v>4.9716466988763086E-2</v>
      </c>
      <c r="M286" s="91">
        <f t="shared" si="900"/>
        <v>4.6447810775334719E-2</v>
      </c>
      <c r="N286" s="91">
        <f t="shared" si="900"/>
        <v>0.10048534421254661</v>
      </c>
      <c r="O286" s="91">
        <f t="shared" si="900"/>
        <v>0.17901080419708731</v>
      </c>
      <c r="P286" s="91">
        <f t="shared" si="900"/>
        <v>0.17951548769870121</v>
      </c>
      <c r="Q286" s="91">
        <f t="shared" si="900"/>
        <v>0.15634307298563677</v>
      </c>
      <c r="R286" s="91">
        <f t="shared" si="900"/>
        <v>0.12643088150139201</v>
      </c>
      <c r="S286" s="91">
        <f t="shared" si="900"/>
        <v>0.19685770859396706</v>
      </c>
      <c r="T286" s="91">
        <f t="shared" si="900"/>
        <v>0.18080083197310839</v>
      </c>
      <c r="U286" s="91">
        <f t="shared" si="900"/>
        <v>0.1636529074575539</v>
      </c>
      <c r="V286" s="91">
        <f t="shared" si="900"/>
        <v>0.11588631179701063</v>
      </c>
      <c r="W286" s="91">
        <f t="shared" si="900"/>
        <v>9.7924539023995977E-2</v>
      </c>
      <c r="X286" s="91">
        <f t="shared" si="900"/>
        <v>5.8925525511229461E-2</v>
      </c>
      <c r="Y286" s="91">
        <f t="shared" si="900"/>
        <v>4.2699847068152802E-2</v>
      </c>
      <c r="Z286" s="91">
        <f t="shared" si="900"/>
        <v>1.6729745562798718E-2</v>
      </c>
      <c r="AA286" s="91">
        <f t="shared" si="900"/>
        <v>9.8467960369386029E-2</v>
      </c>
      <c r="AB286" s="91">
        <f t="shared" si="900"/>
        <v>9.8046935949205036E-2</v>
      </c>
      <c r="AC286" s="91">
        <f t="shared" si="900"/>
        <v>0.10584410272573642</v>
      </c>
      <c r="AD286" s="91">
        <f t="shared" si="900"/>
        <v>0.10053182541424578</v>
      </c>
      <c r="AE286" s="91">
        <f t="shared" si="900"/>
        <v>0.10219728420054335</v>
      </c>
      <c r="AF286" s="91">
        <f t="shared" si="900"/>
        <v>0.10262376271316538</v>
      </c>
      <c r="AG286" s="17"/>
      <c r="AH286" s="25"/>
      <c r="AI286" s="25"/>
      <c r="AJ286" s="25"/>
      <c r="AK286" s="91">
        <f t="shared" ref="AK286:BP286" si="901">AK284/AK283</f>
        <v>1.7906006491626884E-2</v>
      </c>
      <c r="AL286" s="91">
        <f t="shared" si="901"/>
        <v>1.4682873533901564E-2</v>
      </c>
      <c r="AM286" s="91">
        <f t="shared" si="901"/>
        <v>1.3658586424284622E-2</v>
      </c>
      <c r="AN286" s="91">
        <f t="shared" si="901"/>
        <v>1.2604464300849653E-2</v>
      </c>
      <c r="AO286" s="91">
        <f t="shared" si="901"/>
        <v>0</v>
      </c>
      <c r="AP286" s="91">
        <f t="shared" si="901"/>
        <v>0</v>
      </c>
      <c r="AQ286" s="91">
        <f t="shared" si="901"/>
        <v>0</v>
      </c>
      <c r="AR286" s="91">
        <f t="shared" si="901"/>
        <v>0</v>
      </c>
      <c r="AS286" s="91">
        <f t="shared" si="901"/>
        <v>0</v>
      </c>
      <c r="AT286" s="91">
        <f t="shared" si="901"/>
        <v>0</v>
      </c>
      <c r="AU286" s="91">
        <f t="shared" si="901"/>
        <v>0</v>
      </c>
      <c r="AV286" s="91">
        <f t="shared" si="901"/>
        <v>1.6864772081978216E-2</v>
      </c>
      <c r="AW286" s="91">
        <f t="shared" si="901"/>
        <v>0</v>
      </c>
      <c r="AX286" s="91">
        <f t="shared" si="901"/>
        <v>0</v>
      </c>
      <c r="AY286" s="91">
        <f t="shared" si="901"/>
        <v>0</v>
      </c>
      <c r="AZ286" s="91">
        <f t="shared" si="901"/>
        <v>0</v>
      </c>
      <c r="BA286" s="91">
        <f t="shared" si="901"/>
        <v>0</v>
      </c>
      <c r="BB286" s="91">
        <f t="shared" si="901"/>
        <v>0</v>
      </c>
      <c r="BC286" s="91">
        <f t="shared" si="901"/>
        <v>0</v>
      </c>
      <c r="BD286" s="91">
        <f t="shared" si="901"/>
        <v>0</v>
      </c>
      <c r="BE286" s="91">
        <f t="shared" si="901"/>
        <v>5.9301569831156566E-2</v>
      </c>
      <c r="BF286" s="91">
        <f t="shared" si="901"/>
        <v>5.8710597850017907E-2</v>
      </c>
      <c r="BG286" s="91">
        <f t="shared" si="901"/>
        <v>5.7677910398519744E-2</v>
      </c>
      <c r="BH286" s="91">
        <f t="shared" si="901"/>
        <v>5.6300409979585464E-2</v>
      </c>
      <c r="BI286" s="91">
        <f t="shared" si="901"/>
        <v>5.5672529726347245E-2</v>
      </c>
      <c r="BJ286" s="91">
        <f t="shared" si="901"/>
        <v>5.4370046888728443E-2</v>
      </c>
      <c r="BK286" s="91">
        <f t="shared" si="901"/>
        <v>5.2206944150055286E-2</v>
      </c>
      <c r="BL286" s="91">
        <f t="shared" si="901"/>
        <v>5.180268151400589E-2</v>
      </c>
      <c r="BM286" s="91">
        <f t="shared" si="901"/>
        <v>4.9716466988763086E-2</v>
      </c>
      <c r="BN286" s="91">
        <f t="shared" si="901"/>
        <v>4.851768760819445E-2</v>
      </c>
      <c r="BO286" s="91">
        <f t="shared" si="901"/>
        <v>4.7247055799717851E-2</v>
      </c>
      <c r="BP286" s="91">
        <f t="shared" si="901"/>
        <v>4.5678119084683576E-2</v>
      </c>
      <c r="BQ286" s="91">
        <f t="shared" ref="BQ286:CV286" si="902">BQ284/BQ283</f>
        <v>4.6447810775334719E-2</v>
      </c>
      <c r="BR286" s="91">
        <f t="shared" si="902"/>
        <v>4.5207506977778707E-2</v>
      </c>
      <c r="BS286" s="91">
        <f t="shared" si="902"/>
        <v>4.4721359099991601E-2</v>
      </c>
      <c r="BT286" s="91">
        <f t="shared" si="902"/>
        <v>4.498559111516582E-2</v>
      </c>
      <c r="BU286" s="91">
        <f t="shared" si="902"/>
        <v>0.10048534421254661</v>
      </c>
      <c r="BV286" s="91">
        <f t="shared" si="902"/>
        <v>0.18213376996869118</v>
      </c>
      <c r="BW286" s="91">
        <f t="shared" si="902"/>
        <v>0.18295098102889801</v>
      </c>
      <c r="BX286" s="91">
        <f t="shared" si="902"/>
        <v>0.17989364687596693</v>
      </c>
      <c r="BY286" s="91">
        <f t="shared" si="902"/>
        <v>0.17901080419708731</v>
      </c>
      <c r="BZ286" s="91">
        <f t="shared" si="902"/>
        <v>0.17761247976327807</v>
      </c>
      <c r="CA286" s="91">
        <f t="shared" si="902"/>
        <v>0.17590273282485716</v>
      </c>
      <c r="CB286" s="91">
        <f t="shared" si="902"/>
        <v>0.17594652633171728</v>
      </c>
      <c r="CC286" s="91">
        <f t="shared" si="902"/>
        <v>0.17951548769870121</v>
      </c>
      <c r="CD286" s="91">
        <f t="shared" si="902"/>
        <v>0.17238867785641576</v>
      </c>
      <c r="CE286" s="91">
        <f t="shared" si="902"/>
        <v>0.16810960746406656</v>
      </c>
      <c r="CF286" s="91">
        <f t="shared" si="902"/>
        <v>0.16309488860619109</v>
      </c>
      <c r="CG286" s="91">
        <f t="shared" si="902"/>
        <v>0.15634307298563677</v>
      </c>
      <c r="CH286" s="91">
        <f t="shared" si="902"/>
        <v>0.14897889862879821</v>
      </c>
      <c r="CI286" s="91">
        <f t="shared" si="902"/>
        <v>0.13853658266270083</v>
      </c>
      <c r="CJ286" s="91">
        <f t="shared" si="902"/>
        <v>0.1314426620819466</v>
      </c>
      <c r="CK286" s="91">
        <f t="shared" si="902"/>
        <v>0.12643088150139201</v>
      </c>
      <c r="CL286" s="91">
        <f t="shared" si="902"/>
        <v>0.13623025993918209</v>
      </c>
      <c r="CM286" s="91">
        <f t="shared" si="902"/>
        <v>0.18449887247801736</v>
      </c>
      <c r="CN286" s="91">
        <f t="shared" si="902"/>
        <v>0.19382414072494056</v>
      </c>
      <c r="CO286" s="91">
        <f t="shared" si="902"/>
        <v>0.19685770859396706</v>
      </c>
      <c r="CP286" s="91">
        <f t="shared" si="902"/>
        <v>0.20216596867302844</v>
      </c>
      <c r="CQ286" s="91">
        <f t="shared" si="902"/>
        <v>0.19245573518090839</v>
      </c>
      <c r="CR286" s="91">
        <f t="shared" si="902"/>
        <v>0.17358647200565247</v>
      </c>
      <c r="CS286" s="91">
        <f t="shared" si="902"/>
        <v>0.18080083197310839</v>
      </c>
      <c r="CT286" s="91">
        <f t="shared" si="902"/>
        <v>0.17749776404515683</v>
      </c>
      <c r="CU286" s="91">
        <f t="shared" si="902"/>
        <v>0.18384422878495052</v>
      </c>
      <c r="CV286" s="91">
        <f t="shared" si="902"/>
        <v>0.17755557965238422</v>
      </c>
      <c r="CW286" s="91">
        <f t="shared" ref="CW286:EA286" si="903">CW284/CW283</f>
        <v>0.1636529074575539</v>
      </c>
      <c r="CX286" s="91">
        <f t="shared" si="903"/>
        <v>0.14964600235360762</v>
      </c>
      <c r="CY286" s="91">
        <f t="shared" si="903"/>
        <v>0.13602098432821863</v>
      </c>
      <c r="CZ286" s="91">
        <f t="shared" si="903"/>
        <v>0.12598824045146431</v>
      </c>
      <c r="DA286" s="91">
        <f t="shared" si="903"/>
        <v>0.11588631179701063</v>
      </c>
      <c r="DB286" s="91">
        <f t="shared" si="903"/>
        <v>0.10722811711044029</v>
      </c>
      <c r="DC286" s="91">
        <f t="shared" si="903"/>
        <v>0.10218049680781056</v>
      </c>
      <c r="DD286" s="91">
        <f t="shared" si="903"/>
        <v>9.9336914836013132E-2</v>
      </c>
      <c r="DE286" s="91">
        <f t="shared" si="903"/>
        <v>9.7924539023995977E-2</v>
      </c>
      <c r="DF286" s="91">
        <f t="shared" si="903"/>
        <v>9.3441979026982272E-2</v>
      </c>
      <c r="DG286" s="91">
        <f t="shared" si="903"/>
        <v>8.9757799142545378E-2</v>
      </c>
      <c r="DH286" s="91">
        <f t="shared" si="903"/>
        <v>8.9017195580871566E-2</v>
      </c>
      <c r="DI286" s="91">
        <f t="shared" si="903"/>
        <v>5.8925525511229461E-2</v>
      </c>
      <c r="DJ286" s="91">
        <f t="shared" si="903"/>
        <v>5.6777998392662982E-2</v>
      </c>
      <c r="DK286" s="91">
        <f t="shared" si="903"/>
        <v>5.4074759379590553E-2</v>
      </c>
      <c r="DL286" s="91">
        <f t="shared" si="903"/>
        <v>5.2706080490199252E-2</v>
      </c>
      <c r="DM286" s="91">
        <f t="shared" si="903"/>
        <v>4.2699847068152802E-2</v>
      </c>
      <c r="DN286" s="91">
        <f t="shared" si="903"/>
        <v>4.1589003749008001E-2</v>
      </c>
      <c r="DO286" s="91">
        <f t="shared" si="903"/>
        <v>4.0590297915813103E-2</v>
      </c>
      <c r="DP286" s="91">
        <f t="shared" si="903"/>
        <v>3.9498826352136612E-2</v>
      </c>
      <c r="DQ286" s="91">
        <f t="shared" si="903"/>
        <v>1.6729745562798718E-2</v>
      </c>
      <c r="DR286" s="91">
        <f t="shared" si="903"/>
        <v>1.6817437167858711E-2</v>
      </c>
      <c r="DS286" s="91">
        <f t="shared" si="903"/>
        <v>0.10316325432966401</v>
      </c>
      <c r="DT286" s="91">
        <f t="shared" si="903"/>
        <v>0.10273284054457399</v>
      </c>
      <c r="DU286" s="91">
        <f t="shared" si="903"/>
        <v>9.8467960369386029E-2</v>
      </c>
      <c r="DV286" s="91">
        <f t="shared" si="903"/>
        <v>0.10090466819269348</v>
      </c>
      <c r="DW286" s="91">
        <f t="shared" si="903"/>
        <v>0.10013557899569932</v>
      </c>
      <c r="DX286" s="91">
        <f t="shared" si="903"/>
        <v>0.10172598399200289</v>
      </c>
      <c r="DY286" s="91">
        <f t="shared" si="903"/>
        <v>9.8046935949205036E-2</v>
      </c>
      <c r="DZ286" s="91">
        <f t="shared" si="903"/>
        <v>9.9068153889971922E-2</v>
      </c>
      <c r="EA286" s="91">
        <f t="shared" si="903"/>
        <v>0.10174228021902525</v>
      </c>
      <c r="EB286" s="91">
        <f t="shared" ref="EB286:EC286" si="904">EB284/EB283</f>
        <v>0.10389128711739774</v>
      </c>
      <c r="EC286" s="91">
        <f t="shared" si="904"/>
        <v>0.10584410272573642</v>
      </c>
      <c r="ED286" s="91">
        <f t="shared" ref="ED286:EP286" si="905">ED284/ED283</f>
        <v>9.7029828397603921E-2</v>
      </c>
      <c r="EE286" s="91">
        <f t="shared" si="905"/>
        <v>9.8421335342919844E-2</v>
      </c>
      <c r="EF286" s="91">
        <f t="shared" si="905"/>
        <v>9.96494332001676E-2</v>
      </c>
      <c r="EG286" s="91">
        <f t="shared" si="905"/>
        <v>0.10053182541424578</v>
      </c>
      <c r="EH286" s="91">
        <f t="shared" si="905"/>
        <v>0.10118557125635991</v>
      </c>
      <c r="EI286" s="91">
        <f t="shared" si="905"/>
        <v>0.10165496418317009</v>
      </c>
      <c r="EJ286" s="91">
        <f t="shared" si="905"/>
        <v>0.10198658258012311</v>
      </c>
      <c r="EK286" s="91">
        <f t="shared" si="905"/>
        <v>0.10219728420054335</v>
      </c>
      <c r="EL286" s="91">
        <f t="shared" si="905"/>
        <v>0.10222787549925122</v>
      </c>
      <c r="EM286" s="91">
        <f t="shared" si="905"/>
        <v>0.1023405095727218</v>
      </c>
      <c r="EN286" s="91">
        <f t="shared" si="905"/>
        <v>0.10248781071337806</v>
      </c>
      <c r="EO286" s="91">
        <f t="shared" si="905"/>
        <v>0.10262376271316538</v>
      </c>
      <c r="EP286" s="91">
        <f t="shared" si="905"/>
        <v>0.10279498053830408</v>
      </c>
      <c r="EQ286" s="18"/>
      <c r="ER286" s="18"/>
      <c r="ES286" s="355">
        <f t="shared" si="838"/>
        <v>281</v>
      </c>
      <c r="ET286"/>
      <c r="EU286"/>
      <c r="EV286"/>
      <c r="EW286"/>
      <c r="EX286"/>
      <c r="EY286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</row>
    <row r="287" spans="1:257" s="4" customFormat="1" ht="12.75" customHeight="1" outlineLevel="1">
      <c r="A287" s="15"/>
      <c r="B287" s="63" t="s">
        <v>74</v>
      </c>
      <c r="C287" s="25"/>
      <c r="D287" s="25"/>
      <c r="E287" s="91">
        <f t="shared" ref="E287:AF287" si="906">E285/E283</f>
        <v>-0.2649950019876266</v>
      </c>
      <c r="F287" s="91">
        <f t="shared" si="906"/>
        <v>-0.22287511395408269</v>
      </c>
      <c r="G287" s="91">
        <f t="shared" si="906"/>
        <v>-0.31372691955514853</v>
      </c>
      <c r="H287" s="91">
        <f t="shared" si="906"/>
        <v>-0.38190782853692901</v>
      </c>
      <c r="I287" s="91">
        <f t="shared" si="906"/>
        <v>-0.45027159291808661</v>
      </c>
      <c r="J287" s="91">
        <f t="shared" si="906"/>
        <v>-0.20740842651586672</v>
      </c>
      <c r="K287" s="91">
        <f t="shared" si="906"/>
        <v>-0.23408405883918321</v>
      </c>
      <c r="L287" s="91">
        <f t="shared" si="906"/>
        <v>-0.36035787901597194</v>
      </c>
      <c r="M287" s="91">
        <f t="shared" si="906"/>
        <v>-0.25928282722250445</v>
      </c>
      <c r="N287" s="91">
        <f t="shared" si="906"/>
        <v>-9.7529065385813504E-2</v>
      </c>
      <c r="O287" s="91">
        <f t="shared" si="906"/>
        <v>2.7218592778167098E-3</v>
      </c>
      <c r="P287" s="91">
        <f t="shared" si="906"/>
        <v>-2.4080207519903786E-2</v>
      </c>
      <c r="Q287" s="91">
        <f t="shared" si="906"/>
        <v>-0.20887747237027043</v>
      </c>
      <c r="R287" s="91">
        <f t="shared" si="906"/>
        <v>-3.2974438204378058E-2</v>
      </c>
      <c r="S287" s="91">
        <f t="shared" si="906"/>
        <v>5.8581757439451869E-2</v>
      </c>
      <c r="T287" s="91">
        <f t="shared" si="906"/>
        <v>6.4806611814104909E-2</v>
      </c>
      <c r="U287" s="91">
        <f t="shared" si="906"/>
        <v>4.5542266246759323E-3</v>
      </c>
      <c r="V287" s="91">
        <f t="shared" si="906"/>
        <v>-4.9567668527710973E-3</v>
      </c>
      <c r="W287" s="91">
        <f t="shared" si="906"/>
        <v>-9.8534741543922735E-2</v>
      </c>
      <c r="X287" s="91">
        <f t="shared" si="906"/>
        <v>-7.5362068470504112E-2</v>
      </c>
      <c r="Y287" s="91">
        <f t="shared" si="906"/>
        <v>-0.12189135699170414</v>
      </c>
      <c r="Z287" s="91">
        <f t="shared" si="906"/>
        <v>-0.10340087258357837</v>
      </c>
      <c r="AA287" s="91">
        <f t="shared" si="906"/>
        <v>-6.1291893808333248E-2</v>
      </c>
      <c r="AB287" s="91">
        <f t="shared" si="906"/>
        <v>-0.10656470863233311</v>
      </c>
      <c r="AC287" s="91">
        <f t="shared" si="906"/>
        <v>-3.3690551311446514E-2</v>
      </c>
      <c r="AD287" s="91">
        <f t="shared" si="906"/>
        <v>4.1535749372496024E-2</v>
      </c>
      <c r="AE287" s="91">
        <f t="shared" si="906"/>
        <v>2.9571004054659747E-2</v>
      </c>
      <c r="AF287" s="91">
        <f t="shared" si="906"/>
        <v>-4.7743958050189168E-3</v>
      </c>
      <c r="AG287" s="17"/>
      <c r="AH287" s="25"/>
      <c r="AI287" s="25"/>
      <c r="AJ287" s="25"/>
      <c r="AK287" s="91">
        <f t="shared" ref="AK287:BP287" si="907">AK285/AK283</f>
        <v>-0.2649950019876266</v>
      </c>
      <c r="AL287" s="91">
        <f t="shared" si="907"/>
        <v>-0.25045586572613032</v>
      </c>
      <c r="AM287" s="91">
        <f t="shared" si="907"/>
        <v>-0.27854699431633279</v>
      </c>
      <c r="AN287" s="91">
        <f t="shared" si="907"/>
        <v>-0.23572721468084826</v>
      </c>
      <c r="AO287" s="91">
        <f t="shared" si="907"/>
        <v>-0.22287511395408269</v>
      </c>
      <c r="AP287" s="91">
        <f t="shared" si="907"/>
        <v>-0.28300945076410433</v>
      </c>
      <c r="AQ287" s="91">
        <f t="shared" si="907"/>
        <v>-0.29503492903629824</v>
      </c>
      <c r="AR287" s="91">
        <f t="shared" si="907"/>
        <v>-0.30018191884837453</v>
      </c>
      <c r="AS287" s="91">
        <f t="shared" si="907"/>
        <v>-0.31372691955514853</v>
      </c>
      <c r="AT287" s="91">
        <f t="shared" si="907"/>
        <v>-0.28828885116958758</v>
      </c>
      <c r="AU287" s="91">
        <f t="shared" si="907"/>
        <v>-0.30809634500533506</v>
      </c>
      <c r="AV287" s="91">
        <f t="shared" si="907"/>
        <v>-0.29741624077228845</v>
      </c>
      <c r="AW287" s="91">
        <f t="shared" si="907"/>
        <v>-0.38190782853692901</v>
      </c>
      <c r="AX287" s="91">
        <f t="shared" si="907"/>
        <v>-0.41298592377012028</v>
      </c>
      <c r="AY287" s="91">
        <f t="shared" si="907"/>
        <v>-0.38836397727550498</v>
      </c>
      <c r="AZ287" s="91">
        <f t="shared" si="907"/>
        <v>-0.41221446062848399</v>
      </c>
      <c r="BA287" s="91">
        <f t="shared" si="907"/>
        <v>-0.45027159291808661</v>
      </c>
      <c r="BB287" s="91">
        <f t="shared" si="907"/>
        <v>-0.43807707572531501</v>
      </c>
      <c r="BC287" s="91">
        <f t="shared" si="907"/>
        <v>-0.41572656213730536</v>
      </c>
      <c r="BD287" s="91">
        <f t="shared" si="907"/>
        <v>-0.34793336552390147</v>
      </c>
      <c r="BE287" s="91">
        <f t="shared" si="907"/>
        <v>-0.20740842651586672</v>
      </c>
      <c r="BF287" s="91">
        <f t="shared" si="907"/>
        <v>-0.20787191695973042</v>
      </c>
      <c r="BG287" s="91">
        <f t="shared" si="907"/>
        <v>-0.21675704795226111</v>
      </c>
      <c r="BH287" s="91">
        <f t="shared" si="907"/>
        <v>-0.24184741913290611</v>
      </c>
      <c r="BI287" s="91">
        <f t="shared" si="907"/>
        <v>-0.23408405883918321</v>
      </c>
      <c r="BJ287" s="91">
        <f t="shared" si="907"/>
        <v>-0.2654367437126478</v>
      </c>
      <c r="BK287" s="91">
        <f t="shared" si="907"/>
        <v>-0.32429074256024942</v>
      </c>
      <c r="BL287" s="91">
        <f t="shared" si="907"/>
        <v>-0.32674023338144076</v>
      </c>
      <c r="BM287" s="91">
        <f t="shared" si="907"/>
        <v>-0.36035787901597194</v>
      </c>
      <c r="BN287" s="91">
        <f t="shared" si="907"/>
        <v>-0.36223305568277975</v>
      </c>
      <c r="BO287" s="91">
        <f t="shared" si="907"/>
        <v>-0.32933465751081725</v>
      </c>
      <c r="BP287" s="91">
        <f t="shared" si="907"/>
        <v>-0.32210565166231808</v>
      </c>
      <c r="BQ287" s="91">
        <f t="shared" ref="BQ287:CV287" si="908">BQ285/BQ283</f>
        <v>-0.25928282722250445</v>
      </c>
      <c r="BR287" s="91">
        <f t="shared" si="908"/>
        <v>-0.23307272712477545</v>
      </c>
      <c r="BS287" s="91">
        <f t="shared" si="908"/>
        <v>-0.2027863195573659</v>
      </c>
      <c r="BT287" s="91">
        <f t="shared" si="908"/>
        <v>-0.14895269045324783</v>
      </c>
      <c r="BU287" s="91">
        <f t="shared" si="908"/>
        <v>-9.7529065385813504E-2</v>
      </c>
      <c r="BV287" s="91">
        <f t="shared" si="908"/>
        <v>-5.2926252215201967E-2</v>
      </c>
      <c r="BW287" s="91">
        <f t="shared" si="908"/>
        <v>5.7876542848491865E-3</v>
      </c>
      <c r="BX287" s="91">
        <f t="shared" si="908"/>
        <v>1.3728583661339396E-2</v>
      </c>
      <c r="BY287" s="91">
        <f t="shared" si="908"/>
        <v>2.7218592778167098E-3</v>
      </c>
      <c r="BZ287" s="91">
        <f t="shared" si="908"/>
        <v>-3.2449800052751126E-3</v>
      </c>
      <c r="CA287" s="91">
        <f t="shared" si="908"/>
        <v>-3.3008147814584323E-3</v>
      </c>
      <c r="CB287" s="91">
        <f t="shared" si="908"/>
        <v>2.435099924430968E-3</v>
      </c>
      <c r="CC287" s="91">
        <f t="shared" si="908"/>
        <v>-2.4080207519903786E-2</v>
      </c>
      <c r="CD287" s="91">
        <f t="shared" si="908"/>
        <v>-0.10963144162617688</v>
      </c>
      <c r="CE287" s="91">
        <f t="shared" si="908"/>
        <v>-0.13913507606959738</v>
      </c>
      <c r="CF287" s="91">
        <f t="shared" si="908"/>
        <v>-0.16455051048700134</v>
      </c>
      <c r="CG287" s="91">
        <f t="shared" si="908"/>
        <v>-0.20887747237027043</v>
      </c>
      <c r="CH287" s="91">
        <f t="shared" si="908"/>
        <v>-0.2188082879940885</v>
      </c>
      <c r="CI287" s="91">
        <f t="shared" si="908"/>
        <v>-0.15876361641436845</v>
      </c>
      <c r="CJ287" s="91">
        <f t="shared" si="908"/>
        <v>-9.4441552705878631E-2</v>
      </c>
      <c r="CK287" s="91">
        <f t="shared" si="908"/>
        <v>-3.2974438204378058E-2</v>
      </c>
      <c r="CL287" s="91">
        <f t="shared" si="908"/>
        <v>-2.0260993485824351E-2</v>
      </c>
      <c r="CM287" s="91">
        <f t="shared" si="908"/>
        <v>3.1103391608991286E-2</v>
      </c>
      <c r="CN287" s="91">
        <f t="shared" si="908"/>
        <v>6.1258478609711391E-2</v>
      </c>
      <c r="CO287" s="91">
        <f t="shared" si="908"/>
        <v>5.8581757439451869E-2</v>
      </c>
      <c r="CP287" s="91">
        <f t="shared" si="908"/>
        <v>6.8578864944379356E-2</v>
      </c>
      <c r="CQ287" s="91">
        <f t="shared" si="908"/>
        <v>7.3615922504490644E-2</v>
      </c>
      <c r="CR287" s="91">
        <f t="shared" si="908"/>
        <v>5.2309806452991256E-2</v>
      </c>
      <c r="CS287" s="91">
        <f t="shared" si="908"/>
        <v>6.4806611814104909E-2</v>
      </c>
      <c r="CT287" s="91">
        <f t="shared" si="908"/>
        <v>7.0112306109541972E-2</v>
      </c>
      <c r="CU287" s="91">
        <f t="shared" si="908"/>
        <v>8.0420688122382483E-2</v>
      </c>
      <c r="CV287" s="91">
        <f t="shared" si="908"/>
        <v>4.3831180154866506E-2</v>
      </c>
      <c r="CW287" s="91">
        <f t="shared" ref="CW287:EA287" si="909">CW285/CW283</f>
        <v>4.5542266246759323E-3</v>
      </c>
      <c r="CX287" s="91">
        <f t="shared" si="909"/>
        <v>-1.4576137726158317E-2</v>
      </c>
      <c r="CY287" s="91">
        <f t="shared" si="909"/>
        <v>-1.2787827358457023E-2</v>
      </c>
      <c r="CZ287" s="91">
        <f t="shared" si="909"/>
        <v>1.2166910513137185E-2</v>
      </c>
      <c r="DA287" s="91">
        <f t="shared" si="909"/>
        <v>-4.9567668527710973E-3</v>
      </c>
      <c r="DB287" s="91">
        <f t="shared" si="909"/>
        <v>-6.4984062712773336E-2</v>
      </c>
      <c r="DC287" s="91">
        <f t="shared" si="909"/>
        <v>-0.10501149050382501</v>
      </c>
      <c r="DD287" s="91">
        <f t="shared" si="909"/>
        <v>-0.10794320536285648</v>
      </c>
      <c r="DE287" s="91">
        <f t="shared" si="909"/>
        <v>-9.8534741543922735E-2</v>
      </c>
      <c r="DF287" s="91">
        <f t="shared" si="909"/>
        <v>-0.10331101539892751</v>
      </c>
      <c r="DG287" s="91">
        <f t="shared" si="909"/>
        <v>-0.1045037341173034</v>
      </c>
      <c r="DH287" s="91">
        <f t="shared" si="909"/>
        <v>-4.4172486168292419E-2</v>
      </c>
      <c r="DI287" s="91">
        <f t="shared" si="909"/>
        <v>-7.5362068470504112E-2</v>
      </c>
      <c r="DJ287" s="91">
        <f t="shared" si="909"/>
        <v>-0.10465064057107741</v>
      </c>
      <c r="DK287" s="91">
        <f t="shared" si="909"/>
        <v>-9.8731351450927984E-2</v>
      </c>
      <c r="DL287" s="91">
        <f t="shared" si="909"/>
        <v>-0.11670617929935047</v>
      </c>
      <c r="DM287" s="91">
        <f t="shared" si="909"/>
        <v>-0.12189135699170414</v>
      </c>
      <c r="DN287" s="91">
        <f t="shared" si="909"/>
        <v>-0.14592831634906075</v>
      </c>
      <c r="DO287" s="91">
        <f t="shared" si="909"/>
        <v>-0.13738254679198281</v>
      </c>
      <c r="DP287" s="91">
        <f t="shared" si="909"/>
        <v>-0.12580165719835698</v>
      </c>
      <c r="DQ287" s="91">
        <f t="shared" si="909"/>
        <v>-0.10340087258357837</v>
      </c>
      <c r="DR287" s="91">
        <f t="shared" si="909"/>
        <v>-6.6535941183521782E-2</v>
      </c>
      <c r="DS287" s="91">
        <f t="shared" si="909"/>
        <v>-5.5281831546487858E-2</v>
      </c>
      <c r="DT287" s="91">
        <f t="shared" si="909"/>
        <v>-6.3603735798134803E-2</v>
      </c>
      <c r="DU287" s="91">
        <f t="shared" si="909"/>
        <v>-6.1291893808333248E-2</v>
      </c>
      <c r="DV287" s="91">
        <f t="shared" si="909"/>
        <v>-8.1735375983503375E-2</v>
      </c>
      <c r="DW287" s="91">
        <f t="shared" si="909"/>
        <v>-9.3100148751139658E-2</v>
      </c>
      <c r="DX287" s="91">
        <f t="shared" si="909"/>
        <v>-0.10013080152330468</v>
      </c>
      <c r="DY287" s="91">
        <f t="shared" si="909"/>
        <v>-0.10656470863233311</v>
      </c>
      <c r="DZ287" s="91">
        <f t="shared" si="909"/>
        <v>-9.7452444045454056E-2</v>
      </c>
      <c r="EA287" s="91">
        <f t="shared" si="909"/>
        <v>-7.9681689786390231E-2</v>
      </c>
      <c r="EB287" s="91">
        <f t="shared" ref="EB287:EC287" si="910">EB285/EB283</f>
        <v>-4.1527670037306383E-2</v>
      </c>
      <c r="EC287" s="91">
        <f t="shared" si="910"/>
        <v>-3.3690551311446514E-2</v>
      </c>
      <c r="ED287" s="91">
        <f t="shared" ref="ED287:EP287" si="911">ED285/ED283</f>
        <v>-3.3216539735920021E-3</v>
      </c>
      <c r="EE287" s="91">
        <f t="shared" si="911"/>
        <v>1.2619703288137656E-2</v>
      </c>
      <c r="EF287" s="91">
        <f t="shared" si="911"/>
        <v>2.8836501777778956E-2</v>
      </c>
      <c r="EG287" s="91">
        <f t="shared" si="911"/>
        <v>4.1535749372496024E-2</v>
      </c>
      <c r="EH287" s="91">
        <f t="shared" si="911"/>
        <v>4.2079407179788045E-2</v>
      </c>
      <c r="EI287" s="91">
        <f t="shared" si="911"/>
        <v>4.2057327963704427E-2</v>
      </c>
      <c r="EJ287" s="91">
        <f t="shared" si="911"/>
        <v>3.6521617192745465E-2</v>
      </c>
      <c r="EK287" s="91">
        <f t="shared" si="911"/>
        <v>2.9571004054659747E-2</v>
      </c>
      <c r="EL287" s="91">
        <f t="shared" si="911"/>
        <v>2.3242571067957542E-2</v>
      </c>
      <c r="EM287" s="91">
        <f t="shared" si="911"/>
        <v>1.4234869831065136E-2</v>
      </c>
      <c r="EN287" s="91">
        <f t="shared" si="911"/>
        <v>5.0467528955636057E-3</v>
      </c>
      <c r="EO287" s="91">
        <f t="shared" si="911"/>
        <v>-4.7743958050189168E-3</v>
      </c>
      <c r="EP287" s="91">
        <f t="shared" si="911"/>
        <v>-1.3572709715278379E-2</v>
      </c>
      <c r="EQ287" s="18"/>
      <c r="ER287" s="18"/>
      <c r="ES287" s="355">
        <f t="shared" si="838"/>
        <v>282</v>
      </c>
      <c r="ET287"/>
      <c r="EU287"/>
      <c r="EV287"/>
      <c r="EW287"/>
      <c r="EX287"/>
      <c r="EY287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</row>
    <row r="288" spans="1:257" s="4" customFormat="1" ht="12.75" customHeight="1" outlineLevel="1">
      <c r="A288" s="15"/>
      <c r="B288" s="51" t="s">
        <v>73</v>
      </c>
      <c r="C288" s="25"/>
      <c r="D288" s="25"/>
      <c r="E288" s="91">
        <f t="shared" ref="E288:AF288" si="912">E285/E278</f>
        <v>-0.26982651735907121</v>
      </c>
      <c r="F288" s="91">
        <f t="shared" si="912"/>
        <v>-0.22287511395408269</v>
      </c>
      <c r="G288" s="91">
        <f t="shared" si="912"/>
        <v>-0.31372691955514853</v>
      </c>
      <c r="H288" s="91">
        <f t="shared" si="912"/>
        <v>-0.38190782853692901</v>
      </c>
      <c r="I288" s="91">
        <f t="shared" si="912"/>
        <v>-0.45027159291808661</v>
      </c>
      <c r="J288" s="91">
        <f t="shared" si="912"/>
        <v>-0.22048344066933284</v>
      </c>
      <c r="K288" s="91">
        <f t="shared" si="912"/>
        <v>-0.24788441108395265</v>
      </c>
      <c r="L288" s="91">
        <f t="shared" si="912"/>
        <v>-0.37921090548004976</v>
      </c>
      <c r="M288" s="91">
        <f t="shared" si="912"/>
        <v>-0.27191257086130516</v>
      </c>
      <c r="N288" s="91">
        <f t="shared" si="912"/>
        <v>-0.10842409821598135</v>
      </c>
      <c r="O288" s="91">
        <f t="shared" si="912"/>
        <v>3.3153411661584419E-3</v>
      </c>
      <c r="P288" s="91">
        <f t="shared" si="912"/>
        <v>-2.9348765465862976E-2</v>
      </c>
      <c r="Q288" s="91">
        <f t="shared" si="912"/>
        <v>-0.24758579664541092</v>
      </c>
      <c r="R288" s="91">
        <f t="shared" si="912"/>
        <v>-3.7746799315720773E-2</v>
      </c>
      <c r="S288" s="91">
        <f t="shared" si="912"/>
        <v>7.294069564795902E-2</v>
      </c>
      <c r="T288" s="91">
        <f t="shared" si="912"/>
        <v>7.910971390534606E-2</v>
      </c>
      <c r="U288" s="91">
        <f t="shared" si="912"/>
        <v>5.4453786774476022E-3</v>
      </c>
      <c r="V288" s="91">
        <f t="shared" si="912"/>
        <v>-5.6064812918415552E-3</v>
      </c>
      <c r="W288" s="91">
        <f t="shared" si="912"/>
        <v>-0.10923115172350735</v>
      </c>
      <c r="X288" s="91">
        <f t="shared" si="912"/>
        <v>-8.0080876182986274E-2</v>
      </c>
      <c r="Y288" s="91">
        <f t="shared" si="912"/>
        <v>-0.12732825396339609</v>
      </c>
      <c r="Z288" s="91">
        <f t="shared" si="912"/>
        <v>-0.10516017556410509</v>
      </c>
      <c r="AA288" s="91">
        <f t="shared" si="912"/>
        <v>-6.7986373322290863E-2</v>
      </c>
      <c r="AB288" s="91">
        <f t="shared" si="912"/>
        <v>-0.11814884042162503</v>
      </c>
      <c r="AC288" s="91">
        <f t="shared" si="912"/>
        <v>-3.7678609976345812E-2</v>
      </c>
      <c r="AD288" s="91">
        <f t="shared" si="912"/>
        <v>4.6178120078150753E-2</v>
      </c>
      <c r="AE288" s="91">
        <f t="shared" si="912"/>
        <v>3.2937084655984779E-2</v>
      </c>
      <c r="AF288" s="91">
        <f t="shared" si="912"/>
        <v>-5.3203947314830035E-3</v>
      </c>
      <c r="AG288" s="17"/>
      <c r="AH288" s="25"/>
      <c r="AI288" s="25"/>
      <c r="AJ288" s="25"/>
      <c r="AK288" s="91">
        <f t="shared" ref="AK288:BP288" si="913">AK285/AK278</f>
        <v>-0.26982651735907121</v>
      </c>
      <c r="AL288" s="91">
        <f t="shared" si="913"/>
        <v>-0.25418807711625391</v>
      </c>
      <c r="AM288" s="91">
        <f t="shared" si="913"/>
        <v>-0.28240423699389811</v>
      </c>
      <c r="AN288" s="91">
        <f t="shared" si="913"/>
        <v>-0.23873635859001091</v>
      </c>
      <c r="AO288" s="91">
        <f t="shared" si="913"/>
        <v>-0.22287511395408269</v>
      </c>
      <c r="AP288" s="91">
        <f t="shared" si="913"/>
        <v>-0.28300945076410433</v>
      </c>
      <c r="AQ288" s="91">
        <f t="shared" si="913"/>
        <v>-0.29503492903629824</v>
      </c>
      <c r="AR288" s="91">
        <f t="shared" si="913"/>
        <v>-0.30018191884837453</v>
      </c>
      <c r="AS288" s="91">
        <f t="shared" si="913"/>
        <v>-0.31372691955514853</v>
      </c>
      <c r="AT288" s="91">
        <f t="shared" si="913"/>
        <v>-0.28828885116958758</v>
      </c>
      <c r="AU288" s="91">
        <f t="shared" si="913"/>
        <v>-0.30809634500533506</v>
      </c>
      <c r="AV288" s="91">
        <f t="shared" si="913"/>
        <v>-0.30251814025841045</v>
      </c>
      <c r="AW288" s="91">
        <f t="shared" si="913"/>
        <v>-0.38190782853692901</v>
      </c>
      <c r="AX288" s="91">
        <f t="shared" si="913"/>
        <v>-0.41298592377012028</v>
      </c>
      <c r="AY288" s="91">
        <f t="shared" si="913"/>
        <v>-0.38836397727550498</v>
      </c>
      <c r="AZ288" s="91">
        <f t="shared" si="913"/>
        <v>-0.41221446062848399</v>
      </c>
      <c r="BA288" s="91">
        <f t="shared" si="913"/>
        <v>-0.45027159291808661</v>
      </c>
      <c r="BB288" s="91">
        <f t="shared" si="913"/>
        <v>-0.43807707572531501</v>
      </c>
      <c r="BC288" s="91">
        <f t="shared" si="913"/>
        <v>-0.41572656213730536</v>
      </c>
      <c r="BD288" s="91">
        <f t="shared" si="913"/>
        <v>-0.34793336552390147</v>
      </c>
      <c r="BE288" s="91">
        <f t="shared" si="913"/>
        <v>-0.22048344066933284</v>
      </c>
      <c r="BF288" s="91">
        <f t="shared" si="913"/>
        <v>-0.22083741353608563</v>
      </c>
      <c r="BG288" s="91">
        <f t="shared" si="913"/>
        <v>-0.23002437313544286</v>
      </c>
      <c r="BH288" s="91">
        <f t="shared" si="913"/>
        <v>-0.25627585482756687</v>
      </c>
      <c r="BI288" s="91">
        <f t="shared" si="913"/>
        <v>-0.24788441108395265</v>
      </c>
      <c r="BJ288" s="91">
        <f t="shared" si="913"/>
        <v>-0.28069832479324397</v>
      </c>
      <c r="BK288" s="91">
        <f t="shared" si="913"/>
        <v>-0.34215353294547812</v>
      </c>
      <c r="BL288" s="91">
        <f t="shared" si="913"/>
        <v>-0.34459096963399299</v>
      </c>
      <c r="BM288" s="91">
        <f t="shared" si="913"/>
        <v>-0.37921090548004976</v>
      </c>
      <c r="BN288" s="91">
        <f t="shared" si="913"/>
        <v>-0.38070393003124775</v>
      </c>
      <c r="BO288" s="91">
        <f t="shared" si="913"/>
        <v>-0.34566637606903727</v>
      </c>
      <c r="BP288" s="91">
        <f t="shared" si="913"/>
        <v>-0.33752307067860343</v>
      </c>
      <c r="BQ288" s="91">
        <f t="shared" ref="BQ288:CV288" si="914">BQ285/BQ278</f>
        <v>-0.27191257086130516</v>
      </c>
      <c r="BR288" s="91">
        <f t="shared" si="914"/>
        <v>-0.24410825266024691</v>
      </c>
      <c r="BS288" s="91">
        <f t="shared" si="914"/>
        <v>-0.21227975888408049</v>
      </c>
      <c r="BT288" s="91">
        <f t="shared" si="914"/>
        <v>-0.15596905038027561</v>
      </c>
      <c r="BU288" s="91">
        <f t="shared" si="914"/>
        <v>-0.10842409821598135</v>
      </c>
      <c r="BV288" s="91">
        <f t="shared" si="914"/>
        <v>-6.4712602467002334E-2</v>
      </c>
      <c r="BW288" s="91">
        <f t="shared" si="914"/>
        <v>7.083607164888951E-3</v>
      </c>
      <c r="BX288" s="91">
        <f t="shared" si="914"/>
        <v>1.6740004036114423E-2</v>
      </c>
      <c r="BY288" s="91">
        <f t="shared" si="914"/>
        <v>3.3153411661584419E-3</v>
      </c>
      <c r="BZ288" s="91">
        <f t="shared" si="914"/>
        <v>-3.9458040466628852E-3</v>
      </c>
      <c r="CA288" s="91">
        <f t="shared" si="914"/>
        <v>-4.0053703766947703E-3</v>
      </c>
      <c r="CB288" s="91">
        <f t="shared" si="914"/>
        <v>2.955026587766319E-3</v>
      </c>
      <c r="CC288" s="91">
        <f t="shared" si="914"/>
        <v>-2.9348765465862976E-2</v>
      </c>
      <c r="CD288" s="91">
        <f t="shared" si="914"/>
        <v>-0.13246730523480765</v>
      </c>
      <c r="CE288" s="91">
        <f t="shared" si="914"/>
        <v>-0.1672516924320501</v>
      </c>
      <c r="CF288" s="91">
        <f t="shared" si="914"/>
        <v>-0.19661788205947694</v>
      </c>
      <c r="CG288" s="91">
        <f t="shared" si="914"/>
        <v>-0.24758579664541092</v>
      </c>
      <c r="CH288" s="91">
        <f t="shared" si="914"/>
        <v>-0.25711264696202618</v>
      </c>
      <c r="CI288" s="91">
        <f t="shared" si="914"/>
        <v>-0.18429525063883917</v>
      </c>
      <c r="CJ288" s="91">
        <f t="shared" si="914"/>
        <v>-0.10873381477871873</v>
      </c>
      <c r="CK288" s="91">
        <f t="shared" si="914"/>
        <v>-3.7746799315720773E-2</v>
      </c>
      <c r="CL288" s="91">
        <f t="shared" si="914"/>
        <v>-2.3456475199510666E-2</v>
      </c>
      <c r="CM288" s="91">
        <f t="shared" si="914"/>
        <v>3.8140219012944114E-2</v>
      </c>
      <c r="CN288" s="91">
        <f t="shared" si="914"/>
        <v>7.598649588043617E-2</v>
      </c>
      <c r="CO288" s="91">
        <f t="shared" si="914"/>
        <v>7.294069564795902E-2</v>
      </c>
      <c r="CP288" s="91">
        <f t="shared" si="914"/>
        <v>8.5956304508993914E-2</v>
      </c>
      <c r="CQ288" s="91">
        <f t="shared" si="914"/>
        <v>9.1160231966952651E-2</v>
      </c>
      <c r="CR288" s="91">
        <f t="shared" si="914"/>
        <v>6.3297374354391062E-2</v>
      </c>
      <c r="CS288" s="91">
        <f t="shared" si="914"/>
        <v>7.910971390534606E-2</v>
      </c>
      <c r="CT288" s="91">
        <f t="shared" si="914"/>
        <v>8.5242693630064814E-2</v>
      </c>
      <c r="CU288" s="91">
        <f t="shared" si="914"/>
        <v>9.8535954726701777E-2</v>
      </c>
      <c r="CV288" s="91">
        <f t="shared" si="914"/>
        <v>5.3293789915117601E-2</v>
      </c>
      <c r="CW288" s="91">
        <f t="shared" ref="CW288:EA288" si="915">CW285/CW278</f>
        <v>5.4453786774476022E-3</v>
      </c>
      <c r="CX288" s="91">
        <f t="shared" si="915"/>
        <v>-1.7141258542327214E-2</v>
      </c>
      <c r="CY288" s="91">
        <f t="shared" si="915"/>
        <v>-1.4801085589461834E-2</v>
      </c>
      <c r="CZ288" s="91">
        <f t="shared" si="915"/>
        <v>1.3920762941933312E-2</v>
      </c>
      <c r="DA288" s="91">
        <f t="shared" si="915"/>
        <v>-5.6064812918415552E-3</v>
      </c>
      <c r="DB288" s="91">
        <f t="shared" si="915"/>
        <v>-7.2789100954260444E-2</v>
      </c>
      <c r="DC288" s="91">
        <f t="shared" si="915"/>
        <v>-0.1169628083712345</v>
      </c>
      <c r="DD288" s="91">
        <f t="shared" si="915"/>
        <v>-0.11984859504173294</v>
      </c>
      <c r="DE288" s="91">
        <f t="shared" si="915"/>
        <v>-0.10923115172350735</v>
      </c>
      <c r="DF288" s="91">
        <f t="shared" si="915"/>
        <v>-0.11395962862701579</v>
      </c>
      <c r="DG288" s="91">
        <f t="shared" si="915"/>
        <v>-0.1148087113724898</v>
      </c>
      <c r="DH288" s="91">
        <f t="shared" si="915"/>
        <v>-4.8488825424600847E-2</v>
      </c>
      <c r="DI288" s="91">
        <f t="shared" si="915"/>
        <v>-8.0080876182986274E-2</v>
      </c>
      <c r="DJ288" s="91">
        <f t="shared" si="915"/>
        <v>-0.11095016909353587</v>
      </c>
      <c r="DK288" s="91">
        <f t="shared" si="915"/>
        <v>-0.10437542758259891</v>
      </c>
      <c r="DL288" s="91">
        <f t="shared" si="915"/>
        <v>-0.12319954440301147</v>
      </c>
      <c r="DM288" s="91">
        <f t="shared" si="915"/>
        <v>-0.12732825396339609</v>
      </c>
      <c r="DN288" s="91">
        <f t="shared" si="915"/>
        <v>-0.15226068661554101</v>
      </c>
      <c r="DO288" s="91">
        <f t="shared" si="915"/>
        <v>-0.14319486919252322</v>
      </c>
      <c r="DP288" s="91">
        <f t="shared" si="915"/>
        <v>-0.13097501663696881</v>
      </c>
      <c r="DQ288" s="91">
        <f t="shared" si="915"/>
        <v>-0.10516017556410509</v>
      </c>
      <c r="DR288" s="91">
        <f t="shared" si="915"/>
        <v>-6.767404518633785E-2</v>
      </c>
      <c r="DS288" s="91">
        <f t="shared" si="915"/>
        <v>-6.1640908240404156E-2</v>
      </c>
      <c r="DT288" s="91">
        <f t="shared" si="915"/>
        <v>-7.0886062337038508E-2</v>
      </c>
      <c r="DU288" s="91">
        <f t="shared" si="915"/>
        <v>-6.7986373322290863E-2</v>
      </c>
      <c r="DV288" s="91">
        <f t="shared" si="915"/>
        <v>-9.0908464421902743E-2</v>
      </c>
      <c r="DW288" s="91">
        <f t="shared" si="915"/>
        <v>-0.10346019531168317</v>
      </c>
      <c r="DX288" s="91">
        <f t="shared" si="915"/>
        <v>-0.1114702192637099</v>
      </c>
      <c r="DY288" s="91">
        <f t="shared" si="915"/>
        <v>-0.11814884042162503</v>
      </c>
      <c r="DZ288" s="91">
        <f t="shared" si="915"/>
        <v>-0.10816849739103628</v>
      </c>
      <c r="EA288" s="91">
        <f t="shared" si="915"/>
        <v>-8.8706935695269398E-2</v>
      </c>
      <c r="EB288" s="91">
        <f t="shared" ref="EB288:EC288" si="916">EB285/EB278</f>
        <v>-4.6342223259631284E-2</v>
      </c>
      <c r="EC288" s="91">
        <f t="shared" si="916"/>
        <v>-3.7678609976345812E-2</v>
      </c>
      <c r="ED288" s="91">
        <f t="shared" ref="ED288:EP288" si="917">ED285/ED278</f>
        <v>-3.6785866001503116E-3</v>
      </c>
      <c r="EE288" s="91">
        <f t="shared" si="917"/>
        <v>1.3997340202075013E-2</v>
      </c>
      <c r="EF288" s="91">
        <f t="shared" si="917"/>
        <v>3.2028081995076854E-2</v>
      </c>
      <c r="EG288" s="91">
        <f t="shared" si="917"/>
        <v>4.6178120078150753E-2</v>
      </c>
      <c r="EH288" s="91">
        <f t="shared" si="917"/>
        <v>4.6816568397334814E-2</v>
      </c>
      <c r="EI288" s="91">
        <f t="shared" si="917"/>
        <v>4.6816452795849582E-2</v>
      </c>
      <c r="EJ288" s="91">
        <f t="shared" si="917"/>
        <v>4.0669344671572252E-2</v>
      </c>
      <c r="EK288" s="91">
        <f t="shared" si="917"/>
        <v>3.2937084655984779E-2</v>
      </c>
      <c r="EL288" s="91">
        <f t="shared" si="917"/>
        <v>2.5889165450400611E-2</v>
      </c>
      <c r="EM288" s="91">
        <f t="shared" si="917"/>
        <v>1.5857761192152563E-2</v>
      </c>
      <c r="EN288" s="91">
        <f t="shared" si="917"/>
        <v>5.623046634692464E-3</v>
      </c>
      <c r="EO288" s="91">
        <f t="shared" si="917"/>
        <v>-5.3203947314830035E-3</v>
      </c>
      <c r="EP288" s="91">
        <f t="shared" si="917"/>
        <v>-1.512776837051326E-2</v>
      </c>
      <c r="EQ288" s="18"/>
      <c r="ER288" s="18"/>
      <c r="ES288" s="355">
        <f t="shared" si="838"/>
        <v>283</v>
      </c>
      <c r="ET288"/>
      <c r="EU288"/>
      <c r="EV288"/>
      <c r="EW288"/>
      <c r="EX288"/>
      <c r="EY288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</row>
    <row r="289" spans="1:257" s="4" customFormat="1" ht="12.75" customHeight="1" outlineLevel="1">
      <c r="A289" s="15"/>
      <c r="B289" s="51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17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5"/>
      <c r="BH289" s="25"/>
      <c r="BI289" s="25"/>
      <c r="BJ289" s="25"/>
      <c r="BK289" s="25"/>
      <c r="BL289" s="25"/>
      <c r="BM289" s="25"/>
      <c r="BN289" s="25"/>
      <c r="BO289" s="25"/>
      <c r="BP289" s="25"/>
      <c r="BQ289" s="25"/>
      <c r="BR289" s="25"/>
      <c r="BS289" s="25"/>
      <c r="BT289" s="25"/>
      <c r="BU289" s="25"/>
      <c r="BV289" s="25"/>
      <c r="BW289" s="25"/>
      <c r="BX289" s="25"/>
      <c r="BY289" s="25"/>
      <c r="BZ289" s="25"/>
      <c r="CA289" s="25"/>
      <c r="CB289" s="25"/>
      <c r="CC289" s="25"/>
      <c r="CD289" s="25"/>
      <c r="CE289" s="25"/>
      <c r="CF289" s="25"/>
      <c r="CG289" s="25"/>
      <c r="CH289" s="25"/>
      <c r="CI289" s="25"/>
      <c r="CJ289" s="25"/>
      <c r="CK289" s="25"/>
      <c r="CL289" s="25"/>
      <c r="CM289" s="25"/>
      <c r="CN289" s="25"/>
      <c r="CO289" s="25"/>
      <c r="CP289" s="25"/>
      <c r="CQ289" s="25"/>
      <c r="CR289" s="25"/>
      <c r="CS289" s="25"/>
      <c r="CT289" s="25"/>
      <c r="CU289" s="25"/>
      <c r="CV289" s="25"/>
      <c r="CW289" s="25"/>
      <c r="CX289" s="25"/>
      <c r="CY289" s="25"/>
      <c r="CZ289" s="25"/>
      <c r="DA289" s="25"/>
      <c r="DB289" s="25"/>
      <c r="DC289" s="25"/>
      <c r="DD289" s="25"/>
      <c r="DE289" s="25"/>
      <c r="DF289" s="25"/>
      <c r="DG289" s="25"/>
      <c r="DH289" s="25"/>
      <c r="DI289" s="25"/>
      <c r="DJ289" s="25"/>
      <c r="DK289" s="25"/>
      <c r="DL289" s="25"/>
      <c r="DM289" s="25"/>
      <c r="DN289" s="25"/>
      <c r="DO289" s="25"/>
      <c r="DP289" s="25"/>
      <c r="DQ289" s="25"/>
      <c r="DR289" s="25"/>
      <c r="DS289" s="25"/>
      <c r="DT289" s="25"/>
      <c r="DU289" s="25"/>
      <c r="DV289" s="25"/>
      <c r="DW289" s="25"/>
      <c r="DX289" s="25"/>
      <c r="DY289" s="25"/>
      <c r="DZ289" s="25"/>
      <c r="EA289" s="25"/>
      <c r="EB289" s="25"/>
      <c r="EC289" s="25"/>
      <c r="ED289" s="25"/>
      <c r="EE289" s="25"/>
      <c r="EF289" s="25"/>
      <c r="EG289" s="25"/>
      <c r="EH289" s="25"/>
      <c r="EI289" s="25"/>
      <c r="EJ289" s="25"/>
      <c r="EK289" s="25"/>
      <c r="EL289" s="25"/>
      <c r="EM289" s="25"/>
      <c r="EN289" s="25"/>
      <c r="EO289" s="25"/>
      <c r="EP289" s="25"/>
      <c r="EQ289" s="18"/>
      <c r="ER289" s="18"/>
      <c r="ES289" s="355">
        <f t="shared" si="838"/>
        <v>284</v>
      </c>
      <c r="ET289"/>
      <c r="EU289"/>
      <c r="EV289"/>
      <c r="EW289"/>
      <c r="EX289"/>
      <c r="EY289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</row>
    <row r="290" spans="1:257" s="4" customFormat="1" ht="12.75" customHeight="1" outlineLevel="1">
      <c r="A290" s="15"/>
      <c r="B290" s="5" t="s">
        <v>72</v>
      </c>
      <c r="C290" s="25"/>
      <c r="D290" s="25"/>
      <c r="E290" s="89">
        <f t="shared" ref="E290:AF290" si="918">E285/E32</f>
        <v>-1.3157103026702814</v>
      </c>
      <c r="F290" s="89">
        <f t="shared" si="918"/>
        <v>-1.1643832886621566</v>
      </c>
      <c r="G290" s="89">
        <f t="shared" si="918"/>
        <v>-1.789981435831888</v>
      </c>
      <c r="H290" s="89">
        <f t="shared" si="918"/>
        <v>-1.6578699783610875</v>
      </c>
      <c r="I290" s="89">
        <f t="shared" si="918"/>
        <v>-1.5905051090134037</v>
      </c>
      <c r="J290" s="89">
        <f t="shared" si="918"/>
        <v>-0.74666643894982665</v>
      </c>
      <c r="K290" s="89">
        <f t="shared" si="918"/>
        <v>-1.0009474656484187</v>
      </c>
      <c r="L290" s="89">
        <f t="shared" si="918"/>
        <v>-1.3392397204843853</v>
      </c>
      <c r="M290" s="89">
        <f t="shared" si="918"/>
        <v>-0.76932109161170104</v>
      </c>
      <c r="N290" s="89">
        <f t="shared" si="918"/>
        <v>-0.77546520082134218</v>
      </c>
      <c r="O290" s="89">
        <f t="shared" si="918"/>
        <v>2.51757167338626E-2</v>
      </c>
      <c r="P290" s="89">
        <f t="shared" si="918"/>
        <v>-0.2006897119218426</v>
      </c>
      <c r="Q290" s="89">
        <f t="shared" si="918"/>
        <v>-0.96995789167997637</v>
      </c>
      <c r="R290" s="89">
        <f t="shared" si="918"/>
        <v>-0.10200302320988235</v>
      </c>
      <c r="S290" s="89">
        <f t="shared" si="918"/>
        <v>0.18392284476592463</v>
      </c>
      <c r="T290" s="89">
        <f t="shared" si="918"/>
        <v>0.20114928983091743</v>
      </c>
      <c r="U290" s="89">
        <f t="shared" si="918"/>
        <v>1.7961730817461625E-2</v>
      </c>
      <c r="V290" s="89">
        <f t="shared" si="918"/>
        <v>-2.2220465415694866E-2</v>
      </c>
      <c r="W290" s="89">
        <f t="shared" si="918"/>
        <v>-0.35215865285076264</v>
      </c>
      <c r="X290" s="89">
        <f t="shared" si="918"/>
        <v>-0.24031926756265037</v>
      </c>
      <c r="Y290" s="89">
        <f t="shared" si="918"/>
        <v>-0.41092541665777016</v>
      </c>
      <c r="Z290" s="89">
        <f t="shared" si="918"/>
        <v>-0.33207622966561867</v>
      </c>
      <c r="AA290" s="89">
        <f t="shared" si="918"/>
        <v>-0.30592258292391961</v>
      </c>
      <c r="AB290" s="89">
        <f t="shared" si="918"/>
        <v>-1.362125762886595</v>
      </c>
      <c r="AC290" s="89">
        <f t="shared" si="918"/>
        <v>-0.43759162970616844</v>
      </c>
      <c r="AD290" s="89">
        <f t="shared" si="918"/>
        <v>0.34667222350407279</v>
      </c>
      <c r="AE290" s="89">
        <f t="shared" si="918"/>
        <v>0.1733841447046742</v>
      </c>
      <c r="AF290" s="89">
        <f t="shared" si="918"/>
        <v>-2.565903636246919E-2</v>
      </c>
      <c r="AG290" s="90"/>
      <c r="AH290" s="89"/>
      <c r="AI290" s="89"/>
      <c r="AJ290" s="89"/>
      <c r="AK290" s="89">
        <f t="shared" ref="AK290:BP290" si="919">AK285/SUM(AH32:AK32)</f>
        <v>-1.3157103026702819</v>
      </c>
      <c r="AL290" s="89">
        <f t="shared" si="919"/>
        <v>-1.2870137618716926</v>
      </c>
      <c r="AM290" s="89">
        <f t="shared" si="919"/>
        <v>-1.4631094591639997</v>
      </c>
      <c r="AN290" s="89">
        <f t="shared" si="919"/>
        <v>-1.2524192176445272</v>
      </c>
      <c r="AO290" s="89">
        <f t="shared" si="919"/>
        <v>-1.1643832886621568</v>
      </c>
      <c r="AP290" s="89">
        <f t="shared" si="919"/>
        <v>-1.6064611464968155</v>
      </c>
      <c r="AQ290" s="89">
        <f t="shared" si="919"/>
        <v>-1.7414275571148148</v>
      </c>
      <c r="AR290" s="89">
        <f t="shared" si="919"/>
        <v>-1.7576699428806675</v>
      </c>
      <c r="AS290" s="89">
        <f t="shared" si="919"/>
        <v>-1.789981435831888</v>
      </c>
      <c r="AT290" s="89">
        <f t="shared" si="919"/>
        <v>-1.5817851123194275</v>
      </c>
      <c r="AU290" s="89">
        <f t="shared" si="919"/>
        <v>-1.5754786101557587</v>
      </c>
      <c r="AV290" s="89">
        <f t="shared" si="919"/>
        <v>-1.3933732390108229</v>
      </c>
      <c r="AW290" s="89">
        <f t="shared" si="919"/>
        <v>-1.6578699783610871</v>
      </c>
      <c r="AX290" s="89">
        <f t="shared" si="919"/>
        <v>-1.6675669552359829</v>
      </c>
      <c r="AY290" s="89">
        <f t="shared" si="919"/>
        <v>-1.4304280819197219</v>
      </c>
      <c r="AZ290" s="89">
        <f t="shared" si="919"/>
        <v>-1.4923448552378218</v>
      </c>
      <c r="BA290" s="89">
        <f t="shared" si="919"/>
        <v>-1.5905051090134035</v>
      </c>
      <c r="BB290" s="89">
        <f t="shared" si="919"/>
        <v>-1.490583104369354</v>
      </c>
      <c r="BC290" s="89">
        <f t="shared" si="919"/>
        <v>-1.4563106380611224</v>
      </c>
      <c r="BD290" s="89">
        <f t="shared" si="919"/>
        <v>-1.2058285814691936</v>
      </c>
      <c r="BE290" s="89">
        <f t="shared" si="919"/>
        <v>-0.74666643894982654</v>
      </c>
      <c r="BF290" s="89">
        <f t="shared" si="919"/>
        <v>-0.79939220706502812</v>
      </c>
      <c r="BG290" s="89">
        <f t="shared" si="919"/>
        <v>-0.8576912543363151</v>
      </c>
      <c r="BH290" s="89">
        <f t="shared" si="919"/>
        <v>-1.0147547954266272</v>
      </c>
      <c r="BI290" s="89">
        <f t="shared" si="919"/>
        <v>-1.0009474656484187</v>
      </c>
      <c r="BJ290" s="89">
        <f t="shared" si="919"/>
        <v>-1.1438921066936585</v>
      </c>
      <c r="BK290" s="89">
        <f t="shared" si="919"/>
        <v>-1.4030375309445076</v>
      </c>
      <c r="BL290" s="89">
        <f t="shared" si="919"/>
        <v>-1.3171479405598201</v>
      </c>
      <c r="BM290" s="89">
        <f t="shared" si="919"/>
        <v>-1.3392397204843853</v>
      </c>
      <c r="BN290" s="89">
        <f t="shared" si="919"/>
        <v>-1.215683720324356</v>
      </c>
      <c r="BO290" s="89">
        <f t="shared" si="919"/>
        <v>-0.98739563649344275</v>
      </c>
      <c r="BP290" s="89">
        <f t="shared" si="919"/>
        <v>-0.9258810893707311</v>
      </c>
      <c r="BQ290" s="89">
        <f t="shared" ref="BQ290:CV290" si="920">BQ285/SUM(BN32:BQ32)</f>
        <v>-0.76932109161170104</v>
      </c>
      <c r="BR290" s="89">
        <f t="shared" si="920"/>
        <v>-0.82466433559722196</v>
      </c>
      <c r="BS290" s="89">
        <f t="shared" si="920"/>
        <v>-0.97424328365905233</v>
      </c>
      <c r="BT290" s="89">
        <f t="shared" si="920"/>
        <v>-1.0094016364456693</v>
      </c>
      <c r="BU290" s="89">
        <f t="shared" si="920"/>
        <v>-0.77546520082134229</v>
      </c>
      <c r="BV290" s="89">
        <f t="shared" si="920"/>
        <v>-0.56040035484244211</v>
      </c>
      <c r="BW290" s="89">
        <f t="shared" si="920"/>
        <v>6.1393805309734491E-2</v>
      </c>
      <c r="BX290" s="89">
        <f t="shared" si="920"/>
        <v>0.13601083595469549</v>
      </c>
      <c r="BY290" s="89">
        <f t="shared" si="920"/>
        <v>2.5175716733862593E-2</v>
      </c>
      <c r="BZ290" s="89">
        <f t="shared" si="920"/>
        <v>-2.7742136311526007E-2</v>
      </c>
      <c r="CA290" s="89">
        <f t="shared" si="920"/>
        <v>-2.8127529454087499E-2</v>
      </c>
      <c r="CB290" s="89">
        <f t="shared" si="920"/>
        <v>2.1696870884805926E-2</v>
      </c>
      <c r="CC290" s="89">
        <f t="shared" si="920"/>
        <v>-0.20068971192184265</v>
      </c>
      <c r="CD290" s="89">
        <f t="shared" si="920"/>
        <v>-0.81287786796190953</v>
      </c>
      <c r="CE290" s="89">
        <f t="shared" si="920"/>
        <v>-0.87248644061542968</v>
      </c>
      <c r="CF290" s="89">
        <f t="shared" si="920"/>
        <v>-0.87222546413365309</v>
      </c>
      <c r="CG290" s="89">
        <f t="shared" si="920"/>
        <v>-0.9699578916799767</v>
      </c>
      <c r="CH290" s="89">
        <f t="shared" si="920"/>
        <v>-0.90618936119671867</v>
      </c>
      <c r="CI290" s="89">
        <f t="shared" si="920"/>
        <v>-0.59892079751234684</v>
      </c>
      <c r="CJ290" s="89">
        <f t="shared" si="920"/>
        <v>-0.32236282755046869</v>
      </c>
      <c r="CK290" s="89">
        <f t="shared" si="920"/>
        <v>-0.10200302320988233</v>
      </c>
      <c r="CL290" s="89">
        <f t="shared" si="920"/>
        <v>-5.8489301383963521E-2</v>
      </c>
      <c r="CM290" s="89">
        <f t="shared" si="920"/>
        <v>9.5832018946387432E-2</v>
      </c>
      <c r="CN290" s="89">
        <f t="shared" si="920"/>
        <v>0.19164924868092445</v>
      </c>
      <c r="CO290" s="89">
        <f t="shared" si="920"/>
        <v>0.18392284476592455</v>
      </c>
      <c r="CP290" s="89">
        <f t="shared" si="920"/>
        <v>0.2191730089562498</v>
      </c>
      <c r="CQ290" s="89">
        <f t="shared" si="920"/>
        <v>0.2305091555086847</v>
      </c>
      <c r="CR290" s="89">
        <f t="shared" si="920"/>
        <v>0.1615169134935705</v>
      </c>
      <c r="CS290" s="89">
        <f t="shared" si="920"/>
        <v>0.20114928983091743</v>
      </c>
      <c r="CT290" s="89">
        <f t="shared" si="920"/>
        <v>0.21189848972053738</v>
      </c>
      <c r="CU290" s="89">
        <f t="shared" si="920"/>
        <v>0.24673732727248923</v>
      </c>
      <c r="CV290" s="89">
        <f t="shared" si="920"/>
        <v>0.15188931849170953</v>
      </c>
      <c r="CW290" s="89">
        <f t="shared" ref="CW290:EC290" si="921">CW285/SUM(CT32:CW32)</f>
        <v>1.7961730817461625E-2</v>
      </c>
      <c r="CX290" s="89">
        <f t="shared" si="921"/>
        <v>-6.7305801796873038E-2</v>
      </c>
      <c r="CY290" s="89">
        <f t="shared" si="921"/>
        <v>-6.5953759345149895E-2</v>
      </c>
      <c r="CZ290" s="89">
        <f t="shared" si="921"/>
        <v>5.783594695364281E-2</v>
      </c>
      <c r="DA290" s="89">
        <f t="shared" si="921"/>
        <v>-2.2220465415694866E-2</v>
      </c>
      <c r="DB290" s="89">
        <f t="shared" si="921"/>
        <v>-0.2747400974650428</v>
      </c>
      <c r="DC290" s="89">
        <f t="shared" si="921"/>
        <v>-0.42313815140983579</v>
      </c>
      <c r="DD290" s="89">
        <f t="shared" si="921"/>
        <v>-0.40903685709925219</v>
      </c>
      <c r="DE290" s="89">
        <f t="shared" si="921"/>
        <v>-0.35215865285076264</v>
      </c>
      <c r="DF290" s="89">
        <f t="shared" si="921"/>
        <v>-0.36185411496714426</v>
      </c>
      <c r="DG290" s="89">
        <f t="shared" si="921"/>
        <v>-0.36520763881223101</v>
      </c>
      <c r="DH290" s="89">
        <f t="shared" si="921"/>
        <v>-0.14628669991873747</v>
      </c>
      <c r="DI290" s="89">
        <f t="shared" si="921"/>
        <v>-0.24031926756265046</v>
      </c>
      <c r="DJ290" s="89">
        <f t="shared" si="921"/>
        <v>-0.33855799612757598</v>
      </c>
      <c r="DK290" s="89">
        <f t="shared" si="921"/>
        <v>-0.32095323469423087</v>
      </c>
      <c r="DL290" s="89">
        <f t="shared" si="921"/>
        <v>-0.38194990825608599</v>
      </c>
      <c r="DM290" s="89">
        <f t="shared" si="921"/>
        <v>-0.4109254166577701</v>
      </c>
      <c r="DN290" s="89">
        <f t="shared" si="921"/>
        <v>-0.49556293287630915</v>
      </c>
      <c r="DO290" s="89">
        <f t="shared" si="921"/>
        <v>-0.46655430280704463</v>
      </c>
      <c r="DP290" s="89">
        <f t="shared" si="921"/>
        <v>-0.42535738929767658</v>
      </c>
      <c r="DQ290" s="89">
        <f t="shared" si="921"/>
        <v>-0.33207622966561873</v>
      </c>
      <c r="DR290" s="89">
        <f t="shared" si="921"/>
        <v>-0.20527248117631391</v>
      </c>
      <c r="DS290" s="89">
        <f t="shared" si="921"/>
        <v>-0.19900061704382982</v>
      </c>
      <c r="DT290" s="89">
        <f t="shared" si="921"/>
        <v>-0.26533690488860789</v>
      </c>
      <c r="DU290" s="89">
        <f t="shared" si="921"/>
        <v>-0.30592258292391966</v>
      </c>
      <c r="DV290" s="89">
        <f t="shared" si="921"/>
        <v>-0.54756402852560637</v>
      </c>
      <c r="DW290" s="89">
        <f t="shared" si="921"/>
        <v>-0.82150658433317358</v>
      </c>
      <c r="DX290" s="89">
        <f t="shared" si="921"/>
        <v>-1.1067648647377599</v>
      </c>
      <c r="DY290" s="89">
        <f t="shared" si="921"/>
        <v>-1.3621257628865957</v>
      </c>
      <c r="DZ290" s="89">
        <f t="shared" si="921"/>
        <v>-1.5543820740119114</v>
      </c>
      <c r="EA290" s="89">
        <f t="shared" si="921"/>
        <v>-1.4016615026579369</v>
      </c>
      <c r="EB290" s="89">
        <f t="shared" si="921"/>
        <v>-0.62104563695921011</v>
      </c>
      <c r="EC290" s="89">
        <f t="shared" si="921"/>
        <v>-0.43759162970616816</v>
      </c>
      <c r="ED290" s="89">
        <f t="shared" ref="ED290:EP290" si="922">ED285/SUM(EA32:ED32)</f>
        <v>-3.9841757580322587E-2</v>
      </c>
      <c r="EE290" s="89">
        <f t="shared" si="922"/>
        <v>0.12936135725253731</v>
      </c>
      <c r="EF290" s="89">
        <f t="shared" si="922"/>
        <v>0.26830853427609225</v>
      </c>
      <c r="EG290" s="89">
        <f t="shared" si="922"/>
        <v>0.34667222350407295</v>
      </c>
      <c r="EH290" s="89">
        <f t="shared" si="922"/>
        <v>0.32056899893583324</v>
      </c>
      <c r="EI290" s="89">
        <f t="shared" si="922"/>
        <v>0.28663498509365254</v>
      </c>
      <c r="EJ290" s="89">
        <f t="shared" si="922"/>
        <v>0.22741093967897658</v>
      </c>
      <c r="EK290" s="89">
        <f t="shared" si="922"/>
        <v>0.1733841447046742</v>
      </c>
      <c r="EL290" s="89">
        <f t="shared" si="922"/>
        <v>0.12984300224963027</v>
      </c>
      <c r="EM290" s="89">
        <f t="shared" si="922"/>
        <v>7.7620721746501822E-2</v>
      </c>
      <c r="EN290" s="89">
        <f t="shared" si="922"/>
        <v>2.7209994119094753E-2</v>
      </c>
      <c r="EO290" s="89">
        <f t="shared" si="922"/>
        <v>-2.5659036362469193E-2</v>
      </c>
      <c r="EP290" s="89">
        <f t="shared" si="922"/>
        <v>-7.3805570026797496E-2</v>
      </c>
      <c r="EQ290" s="18"/>
      <c r="ER290" s="18"/>
      <c r="ES290" s="355">
        <f t="shared" si="838"/>
        <v>285</v>
      </c>
      <c r="ET290"/>
      <c r="EU290"/>
      <c r="EV290"/>
      <c r="EW290"/>
      <c r="EX290"/>
      <c r="EY290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</row>
    <row r="291" spans="1:257" s="4" customFormat="1" ht="12.75" customHeight="1" outlineLevel="1">
      <c r="A291" s="15"/>
      <c r="B291" s="5" t="s">
        <v>71</v>
      </c>
      <c r="C291" s="25"/>
      <c r="D291" s="25"/>
      <c r="E291" s="89">
        <f t="shared" ref="E291:AF291" si="923">E285/E34</f>
        <v>-2.462644811879056</v>
      </c>
      <c r="F291" s="89">
        <f t="shared" si="923"/>
        <v>-2.3235112834277767</v>
      </c>
      <c r="G291" s="89">
        <f t="shared" si="923"/>
        <v>-3.9980740472198315</v>
      </c>
      <c r="H291" s="89">
        <f t="shared" si="923"/>
        <v>-2.7606306790206343</v>
      </c>
      <c r="I291" s="89">
        <f t="shared" si="923"/>
        <v>-2.3542812359753764</v>
      </c>
      <c r="J291" s="89">
        <f t="shared" si="923"/>
        <v>-1.1989387010743247</v>
      </c>
      <c r="K291" s="89">
        <f t="shared" si="923"/>
        <v>-2.0842594703917037</v>
      </c>
      <c r="L291" s="89">
        <f t="shared" si="923"/>
        <v>-2.2684839759639459</v>
      </c>
      <c r="M291" s="89">
        <f t="shared" si="923"/>
        <v>-0.97085811680406264</v>
      </c>
      <c r="N291" s="89">
        <f t="shared" si="923"/>
        <v>-1.5233147610452797</v>
      </c>
      <c r="O291" s="89">
        <f t="shared" si="923"/>
        <v>7.9445112074821009E-2</v>
      </c>
      <c r="P291" s="89">
        <f t="shared" si="923"/>
        <v>-0.68344627299128702</v>
      </c>
      <c r="Q291" s="89">
        <f t="shared" si="923"/>
        <v>-1.4910438266575885</v>
      </c>
      <c r="R291" s="89">
        <f t="shared" si="923"/>
        <v>-0.12728834487571805</v>
      </c>
      <c r="S291" s="89">
        <f t="shared" si="923"/>
        <v>0.2307212510954578</v>
      </c>
      <c r="T291" s="89">
        <f t="shared" si="923"/>
        <v>0.26347543952756386</v>
      </c>
      <c r="U291" s="89">
        <f t="shared" si="923"/>
        <v>2.5322423257111884E-2</v>
      </c>
      <c r="V291" s="89">
        <f t="shared" si="923"/>
        <v>-3.5666538261086206E-2</v>
      </c>
      <c r="W291" s="89">
        <f t="shared" si="923"/>
        <v>-0.51113302099819413</v>
      </c>
      <c r="X291" s="89">
        <f t="shared" si="923"/>
        <v>-0.34681395522168934</v>
      </c>
      <c r="Y291" s="89">
        <f t="shared" si="923"/>
        <v>-0.61414629614031713</v>
      </c>
      <c r="Z291" s="89">
        <f t="shared" si="923"/>
        <v>-0.49346244387912369</v>
      </c>
      <c r="AA291" s="89">
        <f t="shared" si="923"/>
        <v>-0.64229890289961444</v>
      </c>
      <c r="AB291" s="89">
        <f t="shared" si="923"/>
        <v>3.2682655934199127</v>
      </c>
      <c r="AC291" s="89">
        <f t="shared" si="923"/>
        <v>0.8488038981495889</v>
      </c>
      <c r="AD291" s="89">
        <f t="shared" si="923"/>
        <v>4.6872674567311616</v>
      </c>
      <c r="AE291" s="89">
        <f t="shared" si="923"/>
        <v>0.51579379369769629</v>
      </c>
      <c r="AF291" s="89">
        <f t="shared" si="923"/>
        <v>-6.432141473594534E-2</v>
      </c>
      <c r="AG291" s="90"/>
      <c r="AH291" s="89"/>
      <c r="AI291" s="89"/>
      <c r="AJ291" s="89"/>
      <c r="AK291" s="89">
        <f t="shared" ref="AK291:BP291" si="924">AK285/SUM(AH34:AK34)</f>
        <v>-2.4626448118790565</v>
      </c>
      <c r="AL291" s="89">
        <f t="shared" si="924"/>
        <v>-2.4070794841306125</v>
      </c>
      <c r="AM291" s="89">
        <f t="shared" si="924"/>
        <v>-2.809239400068694</v>
      </c>
      <c r="AN291" s="89">
        <f t="shared" si="924"/>
        <v>-2.4411047611617147</v>
      </c>
      <c r="AO291" s="89">
        <f t="shared" si="924"/>
        <v>-2.3235112834277771</v>
      </c>
      <c r="AP291" s="89">
        <f t="shared" si="924"/>
        <v>-3.4086712076981303</v>
      </c>
      <c r="AQ291" s="89">
        <f t="shared" si="924"/>
        <v>-3.7774053270520032</v>
      </c>
      <c r="AR291" s="89">
        <f t="shared" si="924"/>
        <v>-3.8735314130188279</v>
      </c>
      <c r="AS291" s="89">
        <f t="shared" si="924"/>
        <v>-3.9980740472198311</v>
      </c>
      <c r="AT291" s="89">
        <f t="shared" si="924"/>
        <v>-3.2810160586248447</v>
      </c>
      <c r="AU291" s="89">
        <f t="shared" si="924"/>
        <v>-3.0271451994898895</v>
      </c>
      <c r="AV291" s="89">
        <f t="shared" si="924"/>
        <v>-2.414764168860597</v>
      </c>
      <c r="AW291" s="89">
        <f t="shared" si="924"/>
        <v>-2.7606306790206334</v>
      </c>
      <c r="AX291" s="89">
        <f t="shared" si="924"/>
        <v>-2.6290948741810247</v>
      </c>
      <c r="AY291" s="89">
        <f t="shared" si="924"/>
        <v>-2.168873613798973</v>
      </c>
      <c r="AZ291" s="89">
        <f t="shared" si="924"/>
        <v>-2.2648291715496254</v>
      </c>
      <c r="BA291" s="89">
        <f t="shared" si="924"/>
        <v>-2.354281235975376</v>
      </c>
      <c r="BB291" s="89">
        <f t="shared" si="924"/>
        <v>-2.1854293915111653</v>
      </c>
      <c r="BC291" s="89">
        <f t="shared" si="924"/>
        <v>-2.167628548132293</v>
      </c>
      <c r="BD291" s="89">
        <f t="shared" si="924"/>
        <v>-1.8025854143604938</v>
      </c>
      <c r="BE291" s="89">
        <f t="shared" si="924"/>
        <v>-1.1989387010743242</v>
      </c>
      <c r="BF291" s="89">
        <f t="shared" si="924"/>
        <v>-1.3856636323077034</v>
      </c>
      <c r="BG291" s="89">
        <f t="shared" si="924"/>
        <v>-1.6898207685459121</v>
      </c>
      <c r="BH291" s="89">
        <f t="shared" si="924"/>
        <v>-2.1557848460820406</v>
      </c>
      <c r="BI291" s="89">
        <f t="shared" si="924"/>
        <v>-2.0842594703917032</v>
      </c>
      <c r="BJ291" s="89">
        <f t="shared" si="924"/>
        <v>-2.3910471152904291</v>
      </c>
      <c r="BK291" s="89">
        <f t="shared" si="924"/>
        <v>-2.683747094455053</v>
      </c>
      <c r="BL291" s="89">
        <f t="shared" si="924"/>
        <v>-2.3814809780556683</v>
      </c>
      <c r="BM291" s="89">
        <f t="shared" si="924"/>
        <v>-2.2684839759639459</v>
      </c>
      <c r="BN291" s="89">
        <f t="shared" si="924"/>
        <v>-1.8265085943272059</v>
      </c>
      <c r="BO291" s="89">
        <f t="shared" si="924"/>
        <v>-1.3656896551724138</v>
      </c>
      <c r="BP291" s="89">
        <f t="shared" si="924"/>
        <v>-1.2225238813474109</v>
      </c>
      <c r="BQ291" s="89">
        <f t="shared" ref="BQ291:CV291" si="925">BQ285/SUM(BN34:BQ34)</f>
        <v>-0.97085811680406264</v>
      </c>
      <c r="BR291" s="89">
        <f t="shared" si="925"/>
        <v>-1.0677654387977848</v>
      </c>
      <c r="BS291" s="89">
        <f t="shared" si="925"/>
        <v>-1.339283815554742</v>
      </c>
      <c r="BT291" s="89">
        <f t="shared" si="925"/>
        <v>-1.5519226082228763</v>
      </c>
      <c r="BU291" s="89">
        <f t="shared" si="925"/>
        <v>-1.5233147610452802</v>
      </c>
      <c r="BV291" s="89">
        <f t="shared" si="925"/>
        <v>-1.5351171451966505</v>
      </c>
      <c r="BW291" s="89">
        <f t="shared" si="925"/>
        <v>0.19582172701949846</v>
      </c>
      <c r="BX291" s="89">
        <f t="shared" si="925"/>
        <v>0.43357100247137947</v>
      </c>
      <c r="BY291" s="89">
        <f t="shared" si="925"/>
        <v>7.9445112074820953E-2</v>
      </c>
      <c r="BZ291" s="89">
        <f t="shared" si="925"/>
        <v>-8.0897980871413949E-2</v>
      </c>
      <c r="CA291" s="89">
        <f t="shared" si="925"/>
        <v>-8.6426860722181004E-2</v>
      </c>
      <c r="CB291" s="89">
        <f t="shared" si="925"/>
        <v>7.8737021760773768E-2</v>
      </c>
      <c r="CC291" s="89">
        <f t="shared" si="925"/>
        <v>-0.68344627299128746</v>
      </c>
      <c r="CD291" s="89">
        <f t="shared" si="925"/>
        <v>-2.0833565379764454</v>
      </c>
      <c r="CE291" s="89">
        <f t="shared" si="925"/>
        <v>-1.7655673357936721</v>
      </c>
      <c r="CF291" s="89">
        <f t="shared" si="925"/>
        <v>-1.4848814876410112</v>
      </c>
      <c r="CG291" s="89">
        <f t="shared" si="925"/>
        <v>-1.4910438266575892</v>
      </c>
      <c r="CH291" s="89">
        <f t="shared" si="925"/>
        <v>-1.287120209624131</v>
      </c>
      <c r="CI291" s="89">
        <f t="shared" si="925"/>
        <v>-0.79772031184741754</v>
      </c>
      <c r="CJ291" s="89">
        <f t="shared" si="925"/>
        <v>-0.4120500997866629</v>
      </c>
      <c r="CK291" s="89">
        <f t="shared" si="925"/>
        <v>-0.12728834487571805</v>
      </c>
      <c r="CL291" s="89">
        <f t="shared" si="925"/>
        <v>-7.1858765500566121E-2</v>
      </c>
      <c r="CM291" s="89">
        <f t="shared" si="925"/>
        <v>0.1182464272377554</v>
      </c>
      <c r="CN291" s="89">
        <f t="shared" si="925"/>
        <v>0.23860084068858173</v>
      </c>
      <c r="CO291" s="89">
        <f t="shared" si="925"/>
        <v>0.23072125109545771</v>
      </c>
      <c r="CP291" s="89">
        <f t="shared" si="925"/>
        <v>0.27848551222633355</v>
      </c>
      <c r="CQ291" s="89">
        <f t="shared" si="925"/>
        <v>0.29722851777504378</v>
      </c>
      <c r="CR291" s="89">
        <f t="shared" si="925"/>
        <v>0.20868669219576633</v>
      </c>
      <c r="CS291" s="89">
        <f t="shared" si="925"/>
        <v>0.26347543952756386</v>
      </c>
      <c r="CT291" s="89">
        <f t="shared" si="925"/>
        <v>0.275472025154814</v>
      </c>
      <c r="CU291" s="89">
        <f t="shared" si="925"/>
        <v>0.319788101187166</v>
      </c>
      <c r="CV291" s="89">
        <f t="shared" si="925"/>
        <v>0.20525303816544543</v>
      </c>
      <c r="CW291" s="89">
        <f t="shared" ref="CW291:EC291" si="926">CW285/SUM(CT34:CW34)</f>
        <v>2.5322423257111877E-2</v>
      </c>
      <c r="CX291" s="89">
        <f t="shared" si="926"/>
        <v>-0.10327752733823337</v>
      </c>
      <c r="CY291" s="89">
        <f t="shared" si="926"/>
        <v>-0.11059038035327104</v>
      </c>
      <c r="CZ291" s="89">
        <f t="shared" si="926"/>
        <v>9.5618308711337488E-2</v>
      </c>
      <c r="DA291" s="89">
        <f t="shared" si="926"/>
        <v>-3.5666538261086199E-2</v>
      </c>
      <c r="DB291" s="89">
        <f t="shared" si="926"/>
        <v>-0.42487280348409145</v>
      </c>
      <c r="DC291" s="89">
        <f t="shared" si="926"/>
        <v>-0.63434431731264551</v>
      </c>
      <c r="DD291" s="89">
        <f t="shared" si="926"/>
        <v>-0.60129844230547536</v>
      </c>
      <c r="DE291" s="89">
        <f t="shared" si="926"/>
        <v>-0.51113302099819424</v>
      </c>
      <c r="DF291" s="89">
        <f t="shared" si="926"/>
        <v>-0.51899563982495867</v>
      </c>
      <c r="DG291" s="89">
        <f t="shared" si="926"/>
        <v>-0.52412974984347804</v>
      </c>
      <c r="DH291" s="89">
        <f t="shared" si="926"/>
        <v>-0.20848677711858896</v>
      </c>
      <c r="DI291" s="89">
        <f t="shared" si="926"/>
        <v>-0.34681395522168956</v>
      </c>
      <c r="DJ291" s="89">
        <f t="shared" si="926"/>
        <v>-0.49468150482128304</v>
      </c>
      <c r="DK291" s="89">
        <f t="shared" si="926"/>
        <v>-0.47187868207651795</v>
      </c>
      <c r="DL291" s="89">
        <f t="shared" si="926"/>
        <v>-0.56985977106314889</v>
      </c>
      <c r="DM291" s="89">
        <f t="shared" si="926"/>
        <v>-0.61414629614031679</v>
      </c>
      <c r="DN291" s="89">
        <f t="shared" si="926"/>
        <v>-0.74442797979381747</v>
      </c>
      <c r="DO291" s="89">
        <f t="shared" si="926"/>
        <v>-0.70068594551758134</v>
      </c>
      <c r="DP291" s="89">
        <f t="shared" si="926"/>
        <v>-0.63633264505069476</v>
      </c>
      <c r="DQ291" s="89">
        <f t="shared" si="926"/>
        <v>-0.49346244387912386</v>
      </c>
      <c r="DR291" s="89">
        <f t="shared" si="926"/>
        <v>-0.30317642528577632</v>
      </c>
      <c r="DS291" s="89">
        <f t="shared" si="926"/>
        <v>-0.30625994651311289</v>
      </c>
      <c r="DT291" s="89">
        <f t="shared" si="926"/>
        <v>-0.45429432715779899</v>
      </c>
      <c r="DU291" s="89">
        <f t="shared" si="926"/>
        <v>-0.64229890289961455</v>
      </c>
      <c r="DV291" s="89">
        <f t="shared" si="926"/>
        <v>-1.9307349654212496</v>
      </c>
      <c r="DW291" s="89">
        <f t="shared" si="926"/>
        <v>-17.096741688768635</v>
      </c>
      <c r="DX291" s="89">
        <f t="shared" si="926"/>
        <v>5.5637574748994023</v>
      </c>
      <c r="DY291" s="89">
        <f t="shared" si="926"/>
        <v>3.2682655934199087</v>
      </c>
      <c r="DZ291" s="89">
        <f t="shared" si="926"/>
        <v>2.0111967153213333</v>
      </c>
      <c r="EA291" s="89">
        <f t="shared" si="926"/>
        <v>1.4265594809928295</v>
      </c>
      <c r="EB291" s="89">
        <f t="shared" si="926"/>
        <v>0.87143786278357593</v>
      </c>
      <c r="EC291" s="89">
        <f t="shared" si="926"/>
        <v>0.84880389814959034</v>
      </c>
      <c r="ED291" s="89">
        <f t="shared" ref="ED291:EP291" si="927">ED285/SUM(EA34:ED34)</f>
        <v>0.13857958924701136</v>
      </c>
      <c r="EE291" s="89">
        <f t="shared" si="927"/>
        <v>-1.0881769597625786</v>
      </c>
      <c r="EF291" s="89">
        <f t="shared" si="927"/>
        <v>-9.9317084115982333</v>
      </c>
      <c r="EG291" s="89">
        <f t="shared" si="927"/>
        <v>4.6872674567311954</v>
      </c>
      <c r="EH291" s="89">
        <f t="shared" si="927"/>
        <v>2.174924567355486</v>
      </c>
      <c r="EI291" s="89">
        <f t="shared" si="927"/>
        <v>1.2318739252826059</v>
      </c>
      <c r="EJ291" s="89">
        <f t="shared" si="927"/>
        <v>0.76911561677386808</v>
      </c>
      <c r="EK291" s="89">
        <f t="shared" si="927"/>
        <v>0.5157937936976964</v>
      </c>
      <c r="EL291" s="89">
        <f t="shared" si="927"/>
        <v>0.35133145698952317</v>
      </c>
      <c r="EM291" s="89">
        <f t="shared" si="927"/>
        <v>0.20087428927527273</v>
      </c>
      <c r="EN291" s="89">
        <f t="shared" si="927"/>
        <v>6.8871871975432028E-2</v>
      </c>
      <c r="EO291" s="89">
        <f t="shared" si="927"/>
        <v>-6.4321414735945354E-2</v>
      </c>
      <c r="EP291" s="89">
        <f t="shared" si="927"/>
        <v>-0.1875175477531088</v>
      </c>
      <c r="EQ291" s="18"/>
      <c r="ER291" s="18"/>
      <c r="ES291" s="355">
        <f t="shared" si="838"/>
        <v>286</v>
      </c>
      <c r="ET291"/>
      <c r="EU291"/>
      <c r="EV291"/>
      <c r="EW291"/>
      <c r="EX291"/>
      <c r="EY29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</row>
    <row r="292" spans="1:257" s="4" customFormat="1" ht="12.75" customHeight="1" outlineLevel="1">
      <c r="A292" s="15"/>
      <c r="B292" s="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5"/>
      <c r="BH292" s="25"/>
      <c r="BI292" s="25"/>
      <c r="BJ292" s="25"/>
      <c r="BK292" s="25"/>
      <c r="BL292" s="25"/>
      <c r="BM292" s="25"/>
      <c r="BN292" s="25"/>
      <c r="BO292" s="25"/>
      <c r="BP292" s="25"/>
      <c r="BQ292" s="25"/>
      <c r="BR292" s="25"/>
      <c r="BS292" s="25"/>
      <c r="BT292" s="25"/>
      <c r="BU292" s="25"/>
      <c r="BV292" s="25"/>
      <c r="BW292" s="25"/>
      <c r="BX292" s="25"/>
      <c r="BY292" s="25"/>
      <c r="BZ292" s="25"/>
      <c r="CA292" s="25"/>
      <c r="CB292" s="25"/>
      <c r="CC292" s="25"/>
      <c r="CD292" s="25"/>
      <c r="CE292" s="25"/>
      <c r="CF292" s="25"/>
      <c r="CG292" s="25"/>
      <c r="CH292" s="25"/>
      <c r="CI292" s="25"/>
      <c r="CJ292" s="25"/>
      <c r="CK292" s="25"/>
      <c r="CL292" s="25"/>
      <c r="CM292" s="25"/>
      <c r="CN292" s="25"/>
      <c r="CO292" s="25"/>
      <c r="CP292" s="25"/>
      <c r="CQ292" s="25"/>
      <c r="CR292" s="25"/>
      <c r="CS292" s="25"/>
      <c r="CT292" s="25"/>
      <c r="CU292" s="25"/>
      <c r="CV292" s="25"/>
      <c r="CW292" s="25"/>
      <c r="CX292" s="25"/>
      <c r="CY292" s="25"/>
      <c r="CZ292" s="25"/>
      <c r="DA292" s="25"/>
      <c r="DB292" s="25"/>
      <c r="DC292" s="25"/>
      <c r="DD292" s="25"/>
      <c r="DE292" s="25"/>
      <c r="DF292" s="25"/>
      <c r="DG292" s="25"/>
      <c r="DH292" s="25"/>
      <c r="DI292" s="25"/>
      <c r="DJ292" s="25"/>
      <c r="DK292" s="25"/>
      <c r="DL292" s="25"/>
      <c r="DM292" s="25"/>
      <c r="DN292" s="25"/>
      <c r="DO292" s="25"/>
      <c r="DP292" s="25"/>
      <c r="DQ292" s="25"/>
      <c r="DR292" s="25"/>
      <c r="DS292" s="25"/>
      <c r="DT292" s="25"/>
      <c r="DU292" s="25"/>
      <c r="DV292" s="25"/>
      <c r="DW292" s="25"/>
      <c r="DX292" s="25"/>
      <c r="DY292" s="25"/>
      <c r="DZ292" s="25"/>
      <c r="EA292" s="25"/>
      <c r="EB292" s="25"/>
      <c r="EC292" s="25"/>
      <c r="ED292" s="25"/>
      <c r="EE292" s="25"/>
      <c r="EF292" s="25"/>
      <c r="EG292" s="25"/>
      <c r="EH292" s="25"/>
      <c r="EI292" s="25"/>
      <c r="EJ292" s="25"/>
      <c r="EK292" s="25"/>
      <c r="EL292" s="25"/>
      <c r="EM292" s="25"/>
      <c r="EN292" s="25"/>
      <c r="EO292" s="25"/>
      <c r="EP292" s="25"/>
      <c r="EQ292" s="18"/>
      <c r="ER292" s="18"/>
      <c r="ES292" s="355">
        <f t="shared" si="838"/>
        <v>287</v>
      </c>
      <c r="ET292"/>
      <c r="EU292"/>
      <c r="EV292"/>
      <c r="EW292"/>
      <c r="EX292"/>
      <c r="EY292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</row>
    <row r="293" spans="1:257" s="4" customFormat="1" ht="12.75" customHeight="1" outlineLevel="1">
      <c r="A293" s="15"/>
      <c r="B293" s="5" t="s">
        <v>70</v>
      </c>
      <c r="C293" s="25"/>
      <c r="D293" s="25"/>
      <c r="E293" s="89">
        <f t="shared" ref="E293:AF293" si="928">E32/-E36</f>
        <v>112.83351351351355</v>
      </c>
      <c r="F293" s="89">
        <f t="shared" si="928"/>
        <v>260.68311688311684</v>
      </c>
      <c r="G293" s="89">
        <f t="shared" si="928"/>
        <v>242.20393120393118</v>
      </c>
      <c r="H293" s="89">
        <f t="shared" si="928"/>
        <v>219.47787610619469</v>
      </c>
      <c r="I293" s="89">
        <f t="shared" si="928"/>
        <v>52.464862298195641</v>
      </c>
      <c r="J293" s="89">
        <f t="shared" si="928"/>
        <v>248.62951167728247</v>
      </c>
      <c r="K293" s="89">
        <f t="shared" si="928"/>
        <v>32.407653139947541</v>
      </c>
      <c r="L293" s="89">
        <f t="shared" si="928"/>
        <v>87.974967490247082</v>
      </c>
      <c r="M293" s="89">
        <f t="shared" si="928"/>
        <v>343.56344696969694</v>
      </c>
      <c r="N293" s="89">
        <f t="shared" si="928"/>
        <v>86.796809986130384</v>
      </c>
      <c r="O293" s="89">
        <f t="shared" si="928"/>
        <v>9.8291968427048566</v>
      </c>
      <c r="P293" s="89">
        <f t="shared" si="928"/>
        <v>10.53005120126034</v>
      </c>
      <c r="Q293" s="89">
        <f t="shared" si="928"/>
        <v>21.790855877234627</v>
      </c>
      <c r="R293" s="89">
        <f t="shared" si="928"/>
        <v>76.968242022877789</v>
      </c>
      <c r="S293" s="89">
        <f t="shared" si="928"/>
        <v>71.10438475212321</v>
      </c>
      <c r="T293" s="89">
        <f t="shared" si="928"/>
        <v>47.674300390604103</v>
      </c>
      <c r="U293" s="89">
        <f t="shared" si="928"/>
        <v>60.296219421793914</v>
      </c>
      <c r="V293" s="89">
        <f t="shared" si="928"/>
        <v>40.881629826282683</v>
      </c>
      <c r="W293" s="89">
        <f t="shared" si="928"/>
        <v>58.443676174013255</v>
      </c>
      <c r="X293" s="89">
        <f t="shared" si="928"/>
        <v>147.68577372009713</v>
      </c>
      <c r="Y293" s="89">
        <f t="shared" si="928"/>
        <v>224.6567792462065</v>
      </c>
      <c r="Z293" s="89">
        <f t="shared" si="928"/>
        <v>332.79956854318874</v>
      </c>
      <c r="AA293" s="89">
        <f t="shared" si="928"/>
        <v>72.384938281457835</v>
      </c>
      <c r="AB293" s="89">
        <f t="shared" si="928"/>
        <v>17.265661894994118</v>
      </c>
      <c r="AC293" s="89">
        <f t="shared" si="928"/>
        <v>15.100435423421894</v>
      </c>
      <c r="AD293" s="89">
        <f t="shared" si="928"/>
        <v>25.45195230824914</v>
      </c>
      <c r="AE293" s="89">
        <f t="shared" si="928"/>
        <v>35.637524009886526</v>
      </c>
      <c r="AF293" s="89">
        <f t="shared" si="928"/>
        <v>38.718661117562995</v>
      </c>
      <c r="AG293" s="90"/>
      <c r="AH293" s="89">
        <f t="shared" ref="AH293:BM293" si="929">AH32/-AH36</f>
        <v>91.872670807453403</v>
      </c>
      <c r="AI293" s="89">
        <f t="shared" si="929"/>
        <v>344.65882352941179</v>
      </c>
      <c r="AJ293" s="89">
        <f t="shared" si="929"/>
        <v>77.762987012987011</v>
      </c>
      <c r="AK293" s="89">
        <f t="shared" si="929"/>
        <v>102.57619047619058</v>
      </c>
      <c r="AL293" s="89">
        <f t="shared" si="929"/>
        <v>150.82967032967036</v>
      </c>
      <c r="AM293" s="89">
        <f t="shared" si="929"/>
        <v>675.09756097560955</v>
      </c>
      <c r="AN293" s="89">
        <f t="shared" si="929"/>
        <v>209.53153153153161</v>
      </c>
      <c r="AO293" s="89">
        <f t="shared" si="929"/>
        <v>430.8823529411759</v>
      </c>
      <c r="AP293" s="89">
        <f t="shared" si="929"/>
        <v>254.67676767676775</v>
      </c>
      <c r="AQ293" s="89">
        <f t="shared" si="929"/>
        <v>575.59090909090901</v>
      </c>
      <c r="AR293" s="89">
        <f t="shared" si="929"/>
        <v>262.24468085106378</v>
      </c>
      <c r="AS293" s="89">
        <f t="shared" si="929"/>
        <v>137.57058823529408</v>
      </c>
      <c r="AT293" s="89">
        <f t="shared" si="929"/>
        <v>400.62025316455708</v>
      </c>
      <c r="AU293" s="89">
        <f t="shared" si="929"/>
        <v>146.4758064516129</v>
      </c>
      <c r="AV293" s="89">
        <f t="shared" si="929"/>
        <v>649.99999999999989</v>
      </c>
      <c r="AW293" s="89">
        <f t="shared" si="929"/>
        <v>138.47569444444451</v>
      </c>
      <c r="AX293" s="89">
        <f t="shared" si="929"/>
        <v>16855.666666666668</v>
      </c>
      <c r="AY293" s="89" t="e">
        <f t="shared" si="929"/>
        <v>#DIV/0!</v>
      </c>
      <c r="AZ293" s="89">
        <f t="shared" si="929"/>
        <v>378.68531468531472</v>
      </c>
      <c r="BA293" s="89">
        <f t="shared" si="929"/>
        <v>14.47171667486475</v>
      </c>
      <c r="BB293" s="89">
        <f t="shared" si="929"/>
        <v>2602.64</v>
      </c>
      <c r="BC293" s="89">
        <f t="shared" si="929"/>
        <v>1635.3235294117646</v>
      </c>
      <c r="BD293" s="89">
        <f t="shared" si="929"/>
        <v>104.05594405594404</v>
      </c>
      <c r="BE293" s="89">
        <f t="shared" si="929"/>
        <v>173.7041800643091</v>
      </c>
      <c r="BF293" s="89">
        <f t="shared" si="929"/>
        <v>32.655430711610478</v>
      </c>
      <c r="BG293" s="89">
        <f t="shared" si="929"/>
        <v>28.355887053809273</v>
      </c>
      <c r="BH293" s="89">
        <f t="shared" si="929"/>
        <v>27.02282157676348</v>
      </c>
      <c r="BI293" s="89">
        <f t="shared" si="929"/>
        <v>48.785847299813831</v>
      </c>
      <c r="BJ293" s="89">
        <f t="shared" si="929"/>
        <v>67.814859926918388</v>
      </c>
      <c r="BK293" s="89">
        <f t="shared" si="929"/>
        <v>76.39450686641699</v>
      </c>
      <c r="BL293" s="89">
        <f t="shared" si="929"/>
        <v>91.486310299869629</v>
      </c>
      <c r="BM293" s="89">
        <f t="shared" si="929"/>
        <v>121.64919941775835</v>
      </c>
      <c r="BN293" s="89">
        <f t="shared" ref="BN293:CS293" si="930">BN32/-BN36</f>
        <v>151.78747940691926</v>
      </c>
      <c r="BO293" s="89">
        <f t="shared" si="930"/>
        <v>1574.9264705882354</v>
      </c>
      <c r="BP293" s="89" t="e">
        <f t="shared" si="930"/>
        <v>#DIV/0!</v>
      </c>
      <c r="BQ293" s="89">
        <f t="shared" si="930"/>
        <v>172.09711286089237</v>
      </c>
      <c r="BR293" s="89">
        <f t="shared" si="930"/>
        <v>106.94132653061224</v>
      </c>
      <c r="BS293" s="89">
        <f t="shared" si="930"/>
        <v>80.538461538461533</v>
      </c>
      <c r="BT293" s="89" t="e">
        <f t="shared" si="930"/>
        <v>#DIV/0!</v>
      </c>
      <c r="BU293" s="89">
        <f t="shared" si="930"/>
        <v>37.522471910112365</v>
      </c>
      <c r="BV293" s="89">
        <f t="shared" si="930"/>
        <v>7.3891696750902556</v>
      </c>
      <c r="BW293" s="89">
        <f t="shared" si="930"/>
        <v>8.763192612137205</v>
      </c>
      <c r="BX293" s="89">
        <f t="shared" si="930"/>
        <v>11.846319679704342</v>
      </c>
      <c r="BY293" s="89">
        <f t="shared" si="930"/>
        <v>10.891358024691357</v>
      </c>
      <c r="BZ293" s="89">
        <f t="shared" si="930"/>
        <v>9.7423960273122248</v>
      </c>
      <c r="CA293" s="89">
        <f t="shared" si="930"/>
        <v>9.0890102827763481</v>
      </c>
      <c r="CB293" s="89">
        <f t="shared" si="930"/>
        <v>10.473025048169559</v>
      </c>
      <c r="CC293" s="89">
        <f t="shared" si="930"/>
        <v>12.747459193101328</v>
      </c>
      <c r="CD293" s="89">
        <f t="shared" si="930"/>
        <v>16.373828951344819</v>
      </c>
      <c r="CE293" s="89">
        <f t="shared" si="930"/>
        <v>18.957486136783739</v>
      </c>
      <c r="CF293" s="89">
        <f t="shared" si="930"/>
        <v>23.740645986568595</v>
      </c>
      <c r="CG293" s="89">
        <f t="shared" si="930"/>
        <v>28.893918918918928</v>
      </c>
      <c r="CH293" s="89">
        <f t="shared" si="930"/>
        <v>39.865891472868213</v>
      </c>
      <c r="CI293" s="89">
        <f t="shared" si="930"/>
        <v>61.702466598150039</v>
      </c>
      <c r="CJ293" s="89">
        <f t="shared" si="930"/>
        <v>107.19594067135054</v>
      </c>
      <c r="CK293" s="89">
        <f t="shared" si="930"/>
        <v>180.56391875746718</v>
      </c>
      <c r="CL293" s="89">
        <f t="shared" si="930"/>
        <v>191.85963003264416</v>
      </c>
      <c r="CM293" s="89">
        <f t="shared" si="930"/>
        <v>83.497124934657577</v>
      </c>
      <c r="CN293" s="89">
        <f t="shared" si="930"/>
        <v>55.432822085889555</v>
      </c>
      <c r="CO293" s="89">
        <f t="shared" si="930"/>
        <v>50.382498760535448</v>
      </c>
      <c r="CP293" s="89">
        <f t="shared" si="930"/>
        <v>42.841026702546074</v>
      </c>
      <c r="CQ293" s="89">
        <f t="shared" si="930"/>
        <v>43.074795725958509</v>
      </c>
      <c r="CR293" s="89">
        <f t="shared" si="930"/>
        <v>50.119114168995928</v>
      </c>
      <c r="CS293" s="89">
        <f t="shared" si="930"/>
        <v>55.327018493459612</v>
      </c>
      <c r="CT293" s="89">
        <f t="shared" ref="CT293:DY293" si="931">CT32/-CT36</f>
        <v>74.59486486486486</v>
      </c>
      <c r="CU293" s="89">
        <f t="shared" si="931"/>
        <v>93.342208300704783</v>
      </c>
      <c r="CV293" s="89">
        <f t="shared" si="931"/>
        <v>53.858216970998946</v>
      </c>
      <c r="CW293" s="89">
        <f t="shared" si="931"/>
        <v>33.439792932703142</v>
      </c>
      <c r="CX293" s="89">
        <f t="shared" si="931"/>
        <v>35.042820622070742</v>
      </c>
      <c r="CY293" s="89">
        <f t="shared" si="931"/>
        <v>38.913002139291642</v>
      </c>
      <c r="CZ293" s="89">
        <f t="shared" si="931"/>
        <v>44.037616763443573</v>
      </c>
      <c r="DA293" s="89">
        <f t="shared" si="931"/>
        <v>46.07502799552072</v>
      </c>
      <c r="DB293" s="89">
        <f t="shared" si="931"/>
        <v>54.198382385980672</v>
      </c>
      <c r="DC293" s="89">
        <f t="shared" si="931"/>
        <v>44.070560493379283</v>
      </c>
      <c r="DD293" s="89">
        <f t="shared" si="931"/>
        <v>78.7373486494877</v>
      </c>
      <c r="DE293" s="89">
        <f t="shared" si="931"/>
        <v>66.301918465227814</v>
      </c>
      <c r="DF293" s="89">
        <f t="shared" si="931"/>
        <v>126.83624542868756</v>
      </c>
      <c r="DG293" s="89">
        <f t="shared" si="931"/>
        <v>119.84262701363072</v>
      </c>
      <c r="DH293" s="89">
        <f t="shared" si="931"/>
        <v>135.20323517212768</v>
      </c>
      <c r="DI293" s="89">
        <f t="shared" si="931"/>
        <v>257.10808823529413</v>
      </c>
      <c r="DJ293" s="89">
        <f t="shared" si="931"/>
        <v>261.41207951070328</v>
      </c>
      <c r="DK293" s="89">
        <f t="shared" si="931"/>
        <v>286.71163575042164</v>
      </c>
      <c r="DL293" s="89">
        <f t="shared" si="931"/>
        <v>169.17455762792923</v>
      </c>
      <c r="DM293" s="89">
        <f t="shared" si="931"/>
        <v>220.99119170984454</v>
      </c>
      <c r="DN293" s="89">
        <f t="shared" si="931"/>
        <v>308.79580569514235</v>
      </c>
      <c r="DO293" s="89">
        <f t="shared" si="931"/>
        <v>217.51130434782613</v>
      </c>
      <c r="DP293" s="89">
        <f t="shared" si="931"/>
        <v>277.88292682926823</v>
      </c>
      <c r="DQ293" s="89">
        <f t="shared" si="931"/>
        <v>1353.926666666667</v>
      </c>
      <c r="DR293" s="89">
        <f t="shared" si="931"/>
        <v>788.37254901960773</v>
      </c>
      <c r="DS293" s="89">
        <f t="shared" si="931"/>
        <v>122.33132658842574</v>
      </c>
      <c r="DT293" s="89">
        <f t="shared" si="931"/>
        <v>30.486605784595714</v>
      </c>
      <c r="DU293" s="89">
        <f t="shared" si="931"/>
        <v>26.63366602854158</v>
      </c>
      <c r="DV293" s="89">
        <f t="shared" si="931"/>
        <v>34.44715627763042</v>
      </c>
      <c r="DW293" s="89">
        <f t="shared" si="931"/>
        <v>17.932968536969057</v>
      </c>
      <c r="DX293" s="89">
        <f t="shared" si="931"/>
        <v>9.6843187139066718</v>
      </c>
      <c r="DY293" s="89">
        <f t="shared" si="931"/>
        <v>11.999238620028752</v>
      </c>
      <c r="DZ293" s="89">
        <f t="shared" ref="DZ293:EP293" si="932">DZ32/-DZ36</f>
        <v>14.185363006923843</v>
      </c>
      <c r="EA293" s="89">
        <f t="shared" si="932"/>
        <v>10.889513806706114</v>
      </c>
      <c r="EB293" s="89">
        <f t="shared" ref="EB293:EC293" si="933">EB32/-EB36</f>
        <v>16.348272784412327</v>
      </c>
      <c r="EC293" s="89">
        <f t="shared" si="933"/>
        <v>18.672456758488131</v>
      </c>
      <c r="ED293" s="89">
        <f t="shared" si="932"/>
        <v>23.721402043997905</v>
      </c>
      <c r="EE293" s="89">
        <f t="shared" si="932"/>
        <v>22.744087957930091</v>
      </c>
      <c r="EF293" s="89">
        <f t="shared" si="932"/>
        <v>25.47761950293636</v>
      </c>
      <c r="EG293" s="89">
        <f t="shared" si="932"/>
        <v>29.864198029870792</v>
      </c>
      <c r="EH293" s="89">
        <f t="shared" si="932"/>
        <v>32.724280218856002</v>
      </c>
      <c r="EI293" s="89">
        <f t="shared" si="932"/>
        <v>35.225666549913448</v>
      </c>
      <c r="EJ293" s="89">
        <f t="shared" si="932"/>
        <v>36.693134015598268</v>
      </c>
      <c r="EK293" s="89">
        <f t="shared" si="932"/>
        <v>37.907015255178379</v>
      </c>
      <c r="EL293" s="89">
        <f t="shared" si="932"/>
        <v>39.744862162723521</v>
      </c>
      <c r="EM293" s="89">
        <f t="shared" si="932"/>
        <v>38.720880757006583</v>
      </c>
      <c r="EN293" s="89">
        <f t="shared" si="932"/>
        <v>38.210179282711039</v>
      </c>
      <c r="EO293" s="89">
        <f t="shared" si="932"/>
        <v>38.198722267810808</v>
      </c>
      <c r="EP293" s="89">
        <f t="shared" si="932"/>
        <v>37.681595726749975</v>
      </c>
      <c r="EQ293" s="18"/>
      <c r="ER293" s="18"/>
      <c r="ES293" s="355">
        <f t="shared" si="838"/>
        <v>288</v>
      </c>
      <c r="ET293"/>
      <c r="EU293"/>
      <c r="EV293"/>
      <c r="EW293"/>
      <c r="EX293"/>
      <c r="EY293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</row>
    <row r="294" spans="1:257" s="4" customFormat="1" ht="12.75" customHeight="1" outlineLevel="1">
      <c r="A294" s="15"/>
      <c r="B294" s="5" t="s">
        <v>69</v>
      </c>
      <c r="C294" s="25"/>
      <c r="D294" s="25"/>
      <c r="E294" s="89">
        <f t="shared" ref="E294:AF294" si="934">(E32+E232)/-E36</f>
        <v>54.229189189189221</v>
      </c>
      <c r="F294" s="89">
        <f t="shared" si="934"/>
        <v>-6.5454545454545716</v>
      </c>
      <c r="G294" s="89">
        <f t="shared" si="934"/>
        <v>-27.823095823095855</v>
      </c>
      <c r="H294" s="89">
        <f t="shared" si="934"/>
        <v>57.258112094395294</v>
      </c>
      <c r="I294" s="89">
        <f t="shared" si="934"/>
        <v>14.198717948717958</v>
      </c>
      <c r="J294" s="89">
        <f t="shared" si="934"/>
        <v>-34.065817409766368</v>
      </c>
      <c r="K294" s="89">
        <f t="shared" si="934"/>
        <v>13.436661009103538</v>
      </c>
      <c r="L294" s="89">
        <f t="shared" si="934"/>
        <v>45.084200260078028</v>
      </c>
      <c r="M294" s="89">
        <f t="shared" si="934"/>
        <v>168.68844696969694</v>
      </c>
      <c r="N294" s="89">
        <f t="shared" si="934"/>
        <v>-129.61373092926493</v>
      </c>
      <c r="O294" s="89">
        <f t="shared" si="934"/>
        <v>-10.213198795670927</v>
      </c>
      <c r="P294" s="89">
        <f t="shared" si="934"/>
        <v>3.4239464356045706</v>
      </c>
      <c r="Q294" s="89">
        <f t="shared" si="934"/>
        <v>14.924458155355175</v>
      </c>
      <c r="R294" s="89">
        <f t="shared" si="934"/>
        <v>-2.6381697772426196</v>
      </c>
      <c r="S294" s="89">
        <f t="shared" si="934"/>
        <v>-17.204325498716223</v>
      </c>
      <c r="T294" s="89">
        <f t="shared" si="934"/>
        <v>9.9175985874043562</v>
      </c>
      <c r="U294" s="89">
        <f t="shared" si="934"/>
        <v>-4.9931060044477453</v>
      </c>
      <c r="V294" s="89">
        <f t="shared" si="934"/>
        <v>21.860910717377504</v>
      </c>
      <c r="W294" s="89">
        <f t="shared" si="934"/>
        <v>18.439988475943526</v>
      </c>
      <c r="X294" s="89">
        <f t="shared" si="934"/>
        <v>20.830347856234848</v>
      </c>
      <c r="Y294" s="89">
        <f t="shared" si="934"/>
        <v>92.65057921357473</v>
      </c>
      <c r="Z294" s="89">
        <f t="shared" si="934"/>
        <v>128.05268414267303</v>
      </c>
      <c r="AA294" s="89">
        <f t="shared" si="934"/>
        <v>-2.9996054801808936</v>
      </c>
      <c r="AB294" s="89">
        <f t="shared" si="934"/>
        <v>6.041946100466995</v>
      </c>
      <c r="AC294" s="89">
        <f t="shared" si="934"/>
        <v>-1.6413424853665854</v>
      </c>
      <c r="AD294" s="89">
        <f t="shared" si="934"/>
        <v>5.8954054458932807</v>
      </c>
      <c r="AE294" s="89">
        <f t="shared" si="934"/>
        <v>22.216853262570734</v>
      </c>
      <c r="AF294" s="89">
        <f t="shared" si="934"/>
        <v>25.730915233063843</v>
      </c>
      <c r="AG294" s="90"/>
      <c r="AH294" s="89">
        <f t="shared" ref="AH294:BM294" si="935">(AH32+AH232)/-AH36</f>
        <v>57.931677018633529</v>
      </c>
      <c r="AI294" s="89">
        <f t="shared" si="935"/>
        <v>238.88235294117646</v>
      </c>
      <c r="AJ294" s="89">
        <f t="shared" si="935"/>
        <v>44.98051948051949</v>
      </c>
      <c r="AK294" s="89">
        <f t="shared" si="935"/>
        <v>-12.623809523809458</v>
      </c>
      <c r="AL294" s="89">
        <f t="shared" si="935"/>
        <v>76.60439560439562</v>
      </c>
      <c r="AM294" s="89">
        <f t="shared" si="935"/>
        <v>309.34146341463406</v>
      </c>
      <c r="AN294" s="89">
        <f t="shared" si="935"/>
        <v>-133.1801801801802</v>
      </c>
      <c r="AO294" s="89">
        <f t="shared" si="935"/>
        <v>-281.60784313725543</v>
      </c>
      <c r="AP294" s="89">
        <f t="shared" si="935"/>
        <v>-22.131313131313046</v>
      </c>
      <c r="AQ294" s="89">
        <f t="shared" si="935"/>
        <v>-96.090909090909136</v>
      </c>
      <c r="AR294" s="89">
        <f t="shared" si="935"/>
        <v>-71.659574468085154</v>
      </c>
      <c r="AS294" s="89">
        <f t="shared" si="935"/>
        <v>10.770588235294055</v>
      </c>
      <c r="AT294" s="89">
        <f t="shared" si="935"/>
        <v>-50.215189873417614</v>
      </c>
      <c r="AU294" s="89">
        <f t="shared" si="935"/>
        <v>66.608870967741936</v>
      </c>
      <c r="AV294" s="89">
        <f t="shared" si="935"/>
        <v>216.49206349206355</v>
      </c>
      <c r="AW294" s="89">
        <f t="shared" si="935"/>
        <v>43.854166666666742</v>
      </c>
      <c r="AX294" s="89">
        <f t="shared" si="935"/>
        <v>4749.3333333333321</v>
      </c>
      <c r="AY294" s="89" t="e">
        <f t="shared" si="935"/>
        <v>#DIV/0!</v>
      </c>
      <c r="AZ294" s="89">
        <f t="shared" si="935"/>
        <v>112.19580419580429</v>
      </c>
      <c r="BA294" s="89">
        <f t="shared" si="935"/>
        <v>-0.21888834235118779</v>
      </c>
      <c r="BB294" s="89">
        <f t="shared" si="935"/>
        <v>657.31999999999994</v>
      </c>
      <c r="BC294" s="89">
        <f t="shared" si="935"/>
        <v>83.735294117647086</v>
      </c>
      <c r="BD294" s="89">
        <f t="shared" si="935"/>
        <v>-28.552447552447582</v>
      </c>
      <c r="BE294" s="89">
        <f t="shared" si="935"/>
        <v>-112.66237942122142</v>
      </c>
      <c r="BF294" s="89">
        <f t="shared" si="935"/>
        <v>4.9288389513108575</v>
      </c>
      <c r="BG294" s="89">
        <f t="shared" si="935"/>
        <v>12.594565796483755</v>
      </c>
      <c r="BH294" s="89">
        <f t="shared" si="935"/>
        <v>17.091286307053931</v>
      </c>
      <c r="BI294" s="89">
        <f t="shared" si="935"/>
        <v>21.03817504655499</v>
      </c>
      <c r="BJ294" s="89">
        <f t="shared" si="935"/>
        <v>40.559074299634588</v>
      </c>
      <c r="BK294" s="89">
        <f t="shared" si="935"/>
        <v>45.141073657927592</v>
      </c>
      <c r="BL294" s="89">
        <f t="shared" si="935"/>
        <v>53.331160365058672</v>
      </c>
      <c r="BM294" s="89">
        <f t="shared" si="935"/>
        <v>41.218340611353717</v>
      </c>
      <c r="BN294" s="89">
        <f t="shared" ref="BN294:CS294" si="936">(BN32+BN232)/-BN36</f>
        <v>71.578253706754523</v>
      </c>
      <c r="BO294" s="89">
        <f t="shared" si="936"/>
        <v>665.86764705882365</v>
      </c>
      <c r="BP294" s="89" t="e">
        <f t="shared" si="936"/>
        <v>#DIV/0!</v>
      </c>
      <c r="BQ294" s="89">
        <f t="shared" si="936"/>
        <v>177.33595800524927</v>
      </c>
      <c r="BR294" s="89">
        <f t="shared" si="936"/>
        <v>-53.752551020408156</v>
      </c>
      <c r="BS294" s="89">
        <f t="shared" si="936"/>
        <v>-142.76627218934914</v>
      </c>
      <c r="BT294" s="89" t="e">
        <f t="shared" si="936"/>
        <v>#DIV/0!</v>
      </c>
      <c r="BU294" s="89">
        <f t="shared" si="936"/>
        <v>-98.911516853932611</v>
      </c>
      <c r="BV294" s="89">
        <f t="shared" si="936"/>
        <v>-17.61263537906137</v>
      </c>
      <c r="BW294" s="89">
        <f t="shared" si="936"/>
        <v>-13.84498680738786</v>
      </c>
      <c r="BX294" s="89">
        <f t="shared" si="936"/>
        <v>-7.7342161995688352</v>
      </c>
      <c r="BY294" s="89">
        <f t="shared" si="936"/>
        <v>-2.9728395061728365</v>
      </c>
      <c r="BZ294" s="89">
        <f t="shared" si="936"/>
        <v>0.51024208566107732</v>
      </c>
      <c r="CA294" s="89">
        <f t="shared" si="936"/>
        <v>1.7268637532133673</v>
      </c>
      <c r="CB294" s="89">
        <f t="shared" si="936"/>
        <v>4.7315350032113042</v>
      </c>
      <c r="CC294" s="89">
        <f t="shared" si="936"/>
        <v>6.6877117339082268</v>
      </c>
      <c r="CD294" s="89">
        <f t="shared" si="936"/>
        <v>13.198549410698098</v>
      </c>
      <c r="CE294" s="89">
        <f t="shared" si="936"/>
        <v>15.256931608133092</v>
      </c>
      <c r="CF294" s="89">
        <f t="shared" si="936"/>
        <v>14.821554205308601</v>
      </c>
      <c r="CG294" s="89">
        <f t="shared" si="936"/>
        <v>16.597972972972979</v>
      </c>
      <c r="CH294" s="89">
        <f t="shared" si="936"/>
        <v>19.069767441860463</v>
      </c>
      <c r="CI294" s="89">
        <f t="shared" si="936"/>
        <v>1.4527235354573329</v>
      </c>
      <c r="CJ294" s="89">
        <f t="shared" si="936"/>
        <v>-11.206088992974188</v>
      </c>
      <c r="CK294" s="89">
        <f t="shared" si="936"/>
        <v>-65.949820788530417</v>
      </c>
      <c r="CL294" s="89">
        <f t="shared" si="936"/>
        <v>-12.149075081610468</v>
      </c>
      <c r="CM294" s="89">
        <f t="shared" si="936"/>
        <v>-45.314166231050706</v>
      </c>
      <c r="CN294" s="89">
        <f t="shared" si="936"/>
        <v>-20.410429447852792</v>
      </c>
      <c r="CO294" s="89">
        <f t="shared" si="936"/>
        <v>-2.4348041646009073</v>
      </c>
      <c r="CP294" s="89">
        <f t="shared" si="936"/>
        <v>11.823845994618111</v>
      </c>
      <c r="CQ294" s="89">
        <f t="shared" si="936"/>
        <v>7.066624764299168</v>
      </c>
      <c r="CR294" s="89">
        <f t="shared" si="936"/>
        <v>9.8466996344872246</v>
      </c>
      <c r="CS294" s="89">
        <f t="shared" si="936"/>
        <v>10.983987370320234</v>
      </c>
      <c r="CT294" s="89">
        <f t="shared" ref="CT294:DY294" si="937">(CT32+CT232)/-CT36</f>
        <v>6.9243243243243171</v>
      </c>
      <c r="CU294" s="89">
        <f t="shared" si="937"/>
        <v>-14.528974158183265</v>
      </c>
      <c r="CV294" s="89">
        <f t="shared" si="937"/>
        <v>-22.234514858574958</v>
      </c>
      <c r="CW294" s="89">
        <f t="shared" si="937"/>
        <v>1.4024307900067383</v>
      </c>
      <c r="CX294" s="89">
        <f t="shared" si="937"/>
        <v>21.247763101832142</v>
      </c>
      <c r="CY294" s="89">
        <f t="shared" si="937"/>
        <v>20.376515331590195</v>
      </c>
      <c r="CZ294" s="89">
        <f t="shared" si="937"/>
        <v>24.481191618278213</v>
      </c>
      <c r="DA294" s="89">
        <f t="shared" si="937"/>
        <v>21.579619260918253</v>
      </c>
      <c r="DB294" s="89">
        <f t="shared" si="937"/>
        <v>28.08649741631093</v>
      </c>
      <c r="DC294" s="89">
        <f t="shared" si="937"/>
        <v>13.229457645565027</v>
      </c>
      <c r="DD294" s="89">
        <f t="shared" si="937"/>
        <v>14.308599813722401</v>
      </c>
      <c r="DE294" s="89">
        <f t="shared" si="937"/>
        <v>18.223261390887288</v>
      </c>
      <c r="DF294" s="89">
        <f t="shared" si="937"/>
        <v>22.43031288094274</v>
      </c>
      <c r="DG294" s="89">
        <f t="shared" si="937"/>
        <v>22.462205700123882</v>
      </c>
      <c r="DH294" s="89">
        <f t="shared" si="937"/>
        <v>18.429282455412618</v>
      </c>
      <c r="DI294" s="89">
        <f t="shared" si="937"/>
        <v>19.286764705882366</v>
      </c>
      <c r="DJ294" s="89">
        <f t="shared" si="937"/>
        <v>93.641437308868433</v>
      </c>
      <c r="DK294" s="89">
        <f t="shared" si="937"/>
        <v>102.03288364249579</v>
      </c>
      <c r="DL294" s="89">
        <f t="shared" si="937"/>
        <v>83.05451936872312</v>
      </c>
      <c r="DM294" s="89">
        <f t="shared" si="937"/>
        <v>97.599999999999923</v>
      </c>
      <c r="DN294" s="89">
        <f t="shared" si="937"/>
        <v>191.0043484087102</v>
      </c>
      <c r="DO294" s="89">
        <f t="shared" si="937"/>
        <v>92.230144927536301</v>
      </c>
      <c r="DP294" s="89">
        <f t="shared" si="937"/>
        <v>93.022299651567877</v>
      </c>
      <c r="DQ294" s="89">
        <f t="shared" si="937"/>
        <v>251.04666666666674</v>
      </c>
      <c r="DR294" s="89">
        <f t="shared" si="937"/>
        <v>130.56684491978606</v>
      </c>
      <c r="DS294" s="89">
        <f t="shared" si="937"/>
        <v>-37.254266288951847</v>
      </c>
      <c r="DT294" s="89">
        <f t="shared" si="937"/>
        <v>-2.8294696388622547</v>
      </c>
      <c r="DU294" s="89">
        <f t="shared" si="937"/>
        <v>-1.4945971110337763</v>
      </c>
      <c r="DV294" s="89">
        <f t="shared" si="937"/>
        <v>9.1443269230769282</v>
      </c>
      <c r="DW294" s="89">
        <f t="shared" si="937"/>
        <v>6.3946011186855412</v>
      </c>
      <c r="DX294" s="89">
        <f t="shared" si="937"/>
        <v>3.5866130794443625</v>
      </c>
      <c r="DY294" s="89">
        <f t="shared" si="937"/>
        <v>5.9906137997125128</v>
      </c>
      <c r="DZ294" s="89">
        <f t="shared" ref="DZ294:EP294" si="938">(DZ32+DZ232)/-DZ36</f>
        <v>-2.0613234421364925</v>
      </c>
      <c r="EA294" s="89">
        <f t="shared" si="938"/>
        <v>-4.4254105851413552</v>
      </c>
      <c r="EB294" s="89">
        <f t="shared" ref="EB294:EC294" si="939">(EB32+EB232)/-EB36</f>
        <v>-3.289062225015706</v>
      </c>
      <c r="EC294" s="89">
        <f t="shared" si="939"/>
        <v>3.090778347213301</v>
      </c>
      <c r="ED294" s="89">
        <f t="shared" si="938"/>
        <v>7.8374595530919633</v>
      </c>
      <c r="EE294" s="89">
        <f t="shared" si="938"/>
        <v>1.9636945427314481</v>
      </c>
      <c r="EF294" s="89">
        <f t="shared" si="938"/>
        <v>4.6972260877377172</v>
      </c>
      <c r="EG294" s="89">
        <f t="shared" si="938"/>
        <v>9.0838046146721503</v>
      </c>
      <c r="EH294" s="89">
        <f t="shared" si="938"/>
        <v>18.870684608723575</v>
      </c>
      <c r="EI294" s="89">
        <f t="shared" si="938"/>
        <v>21.372070939781018</v>
      </c>
      <c r="EJ294" s="89">
        <f t="shared" si="938"/>
        <v>23.705388131099117</v>
      </c>
      <c r="EK294" s="89">
        <f t="shared" si="938"/>
        <v>24.919269370679224</v>
      </c>
      <c r="EL294" s="89">
        <f t="shared" si="938"/>
        <v>26.757116278224373</v>
      </c>
      <c r="EM294" s="89">
        <f t="shared" si="938"/>
        <v>25.733134872507428</v>
      </c>
      <c r="EN294" s="89">
        <f t="shared" si="938"/>
        <v>25.222433398211887</v>
      </c>
      <c r="EO294" s="89">
        <f t="shared" si="938"/>
        <v>25.210976383311657</v>
      </c>
      <c r="EP294" s="89">
        <f t="shared" si="938"/>
        <v>24.693849842250824</v>
      </c>
      <c r="EQ294" s="18"/>
      <c r="ER294" s="18"/>
      <c r="ES294" s="355">
        <f t="shared" si="838"/>
        <v>289</v>
      </c>
      <c r="ET294"/>
      <c r="EU294"/>
      <c r="EV294"/>
      <c r="EW294"/>
      <c r="EX294"/>
      <c r="EY294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</row>
    <row r="295" spans="1:257" s="4" customFormat="1" ht="12.75" customHeight="1" outlineLevel="1">
      <c r="A295" s="15"/>
      <c r="B295" s="5" t="s">
        <v>68</v>
      </c>
      <c r="C295" s="25"/>
      <c r="D295" s="25"/>
      <c r="E295" s="89">
        <f t="shared" ref="E295:AF295" si="940">E34/-E36</f>
        <v>60.283243243243277</v>
      </c>
      <c r="F295" s="89">
        <f t="shared" si="940"/>
        <v>130.6363636363636</v>
      </c>
      <c r="G295" s="89">
        <f t="shared" si="940"/>
        <v>108.43734643734641</v>
      </c>
      <c r="H295" s="89">
        <f t="shared" si="940"/>
        <v>131.80530973451326</v>
      </c>
      <c r="I295" s="89">
        <f t="shared" si="940"/>
        <v>35.444207027540372</v>
      </c>
      <c r="J295" s="89">
        <f t="shared" si="940"/>
        <v>154.839702760085</v>
      </c>
      <c r="K295" s="89">
        <f t="shared" si="940"/>
        <v>15.563493288072831</v>
      </c>
      <c r="L295" s="89">
        <f t="shared" si="940"/>
        <v>51.937581274382318</v>
      </c>
      <c r="M295" s="89">
        <f t="shared" si="940"/>
        <v>272.24431818181819</v>
      </c>
      <c r="N295" s="89">
        <f t="shared" si="940"/>
        <v>44.185159500693494</v>
      </c>
      <c r="O295" s="89">
        <f t="shared" si="940"/>
        <v>3.1148181300349891</v>
      </c>
      <c r="P295" s="89">
        <f t="shared" si="940"/>
        <v>3.0920834974399396</v>
      </c>
      <c r="Q295" s="89">
        <f t="shared" si="940"/>
        <v>14.17544692295524</v>
      </c>
      <c r="R295" s="89">
        <f t="shared" si="940"/>
        <v>61.67880794701987</v>
      </c>
      <c r="S295" s="89">
        <f t="shared" si="940"/>
        <v>56.681907959707644</v>
      </c>
      <c r="T295" s="89">
        <f t="shared" si="940"/>
        <v>36.396757450906954</v>
      </c>
      <c r="U295" s="89">
        <f t="shared" si="940"/>
        <v>42.769384729429206</v>
      </c>
      <c r="V295" s="89">
        <f t="shared" si="940"/>
        <v>25.469498470595028</v>
      </c>
      <c r="W295" s="89">
        <f t="shared" si="940"/>
        <v>40.266320944972634</v>
      </c>
      <c r="X295" s="89">
        <f t="shared" si="940"/>
        <v>102.33653068300016</v>
      </c>
      <c r="Y295" s="89">
        <f t="shared" si="940"/>
        <v>150.31789851525525</v>
      </c>
      <c r="Z295" s="89">
        <f t="shared" si="940"/>
        <v>223.95792694456389</v>
      </c>
      <c r="AA295" s="89">
        <f t="shared" si="940"/>
        <v>34.476451981910088</v>
      </c>
      <c r="AB295" s="89">
        <f t="shared" si="940"/>
        <v>-7.195866495002825</v>
      </c>
      <c r="AC295" s="89">
        <f t="shared" si="940"/>
        <v>-7.7848654566892819</v>
      </c>
      <c r="AD295" s="89">
        <f t="shared" si="940"/>
        <v>1.8824368314100277</v>
      </c>
      <c r="AE295" s="89">
        <f t="shared" si="940"/>
        <v>11.979557907336767</v>
      </c>
      <c r="AF295" s="89">
        <f t="shared" si="940"/>
        <v>15.445610728559943</v>
      </c>
      <c r="AG295" s="90"/>
      <c r="AH295" s="89">
        <f t="shared" ref="AH295:BM295" si="941">AH34/-AH36</f>
        <v>51.956521739130423</v>
      </c>
      <c r="AI295" s="89">
        <f t="shared" si="941"/>
        <v>194.04705882352943</v>
      </c>
      <c r="AJ295" s="89">
        <f t="shared" si="941"/>
        <v>39.149350649350652</v>
      </c>
      <c r="AK295" s="89">
        <f t="shared" si="941"/>
        <v>49.904761904761997</v>
      </c>
      <c r="AL295" s="89">
        <f t="shared" si="941"/>
        <v>85.895604395604423</v>
      </c>
      <c r="AM295" s="89">
        <f t="shared" si="941"/>
        <v>347.19512195121933</v>
      </c>
      <c r="AN295" s="89">
        <f t="shared" si="941"/>
        <v>98.387387387387477</v>
      </c>
      <c r="AO295" s="89">
        <f t="shared" si="941"/>
        <v>186.39215686274457</v>
      </c>
      <c r="AP295" s="89">
        <f t="shared" si="941"/>
        <v>117.00000000000007</v>
      </c>
      <c r="AQ295" s="89">
        <f t="shared" si="941"/>
        <v>275.95454545454544</v>
      </c>
      <c r="AR295" s="89">
        <f t="shared" si="941"/>
        <v>115.52127659574464</v>
      </c>
      <c r="AS295" s="89">
        <f t="shared" si="941"/>
        <v>56.176470588235247</v>
      </c>
      <c r="AT295" s="89">
        <f t="shared" si="941"/>
        <v>228.81012658227857</v>
      </c>
      <c r="AU295" s="89">
        <f t="shared" si="941"/>
        <v>88.282258064516128</v>
      </c>
      <c r="AV295" s="89">
        <f t="shared" si="941"/>
        <v>425.82539682539681</v>
      </c>
      <c r="AW295" s="89">
        <f t="shared" si="941"/>
        <v>78.357638888888985</v>
      </c>
      <c r="AX295" s="89">
        <f t="shared" si="941"/>
        <v>11698.333333333332</v>
      </c>
      <c r="AY295" s="89" t="e">
        <f t="shared" si="941"/>
        <v>#DIV/0!</v>
      </c>
      <c r="AZ295" s="89">
        <f t="shared" si="941"/>
        <v>247.63636363636371</v>
      </c>
      <c r="BA295" s="89">
        <f t="shared" si="941"/>
        <v>9.5282833251352841</v>
      </c>
      <c r="BB295" s="89">
        <f t="shared" si="941"/>
        <v>1856.6000000000001</v>
      </c>
      <c r="BC295" s="89">
        <f t="shared" si="941"/>
        <v>1071.0294117647059</v>
      </c>
      <c r="BD295" s="89">
        <f t="shared" si="941"/>
        <v>67.001748251748239</v>
      </c>
      <c r="BE295" s="89">
        <f t="shared" si="941"/>
        <v>79.434083601286602</v>
      </c>
      <c r="BF295" s="89">
        <f t="shared" si="941"/>
        <v>17.674781523096126</v>
      </c>
      <c r="BG295" s="89">
        <f t="shared" si="941"/>
        <v>10.576984549813533</v>
      </c>
      <c r="BH295" s="89">
        <f t="shared" si="941"/>
        <v>13.879149377593354</v>
      </c>
      <c r="BI295" s="89">
        <f t="shared" si="941"/>
        <v>24.152700186219793</v>
      </c>
      <c r="BJ295" s="89">
        <f t="shared" si="941"/>
        <v>35.978075517661374</v>
      </c>
      <c r="BK295" s="89">
        <f t="shared" si="941"/>
        <v>41.810237203495639</v>
      </c>
      <c r="BL295" s="89">
        <f t="shared" si="941"/>
        <v>56.659713168187743</v>
      </c>
      <c r="BM295" s="89">
        <f t="shared" si="941"/>
        <v>77.545851528384262</v>
      </c>
      <c r="BN295" s="89">
        <f t="shared" ref="BN295:CS295" si="942">BN34/-BN36</f>
        <v>122.16968698517296</v>
      </c>
      <c r="BO295" s="89">
        <f t="shared" si="942"/>
        <v>1239.8676470588236</v>
      </c>
      <c r="BP295" s="89" t="e">
        <f t="shared" si="942"/>
        <v>#DIV/0!</v>
      </c>
      <c r="BQ295" s="89">
        <f t="shared" si="942"/>
        <v>137.42519685039366</v>
      </c>
      <c r="BR295" s="89">
        <f t="shared" si="942"/>
        <v>71.65306122448979</v>
      </c>
      <c r="BS295" s="89">
        <f t="shared" si="942"/>
        <v>36.023668639053248</v>
      </c>
      <c r="BT295" s="89" t="e">
        <f t="shared" si="942"/>
        <v>#DIV/0!</v>
      </c>
      <c r="BU295" s="89">
        <f t="shared" si="942"/>
        <v>13.196629213483147</v>
      </c>
      <c r="BV295" s="89">
        <f t="shared" si="942"/>
        <v>0.8057761732852009</v>
      </c>
      <c r="BW295" s="89">
        <f t="shared" si="942"/>
        <v>2.1856860158311364</v>
      </c>
      <c r="BX295" s="89">
        <f t="shared" si="942"/>
        <v>5.2195873113643358</v>
      </c>
      <c r="BY295" s="89">
        <f t="shared" si="942"/>
        <v>3.8490740740740725</v>
      </c>
      <c r="BZ295" s="89">
        <f t="shared" si="942"/>
        <v>2.8311607697082524</v>
      </c>
      <c r="CA295" s="89">
        <f t="shared" si="942"/>
        <v>1.5690874035989701</v>
      </c>
      <c r="CB295" s="89">
        <f t="shared" si="942"/>
        <v>2.7870905587668613</v>
      </c>
      <c r="CC295" s="89">
        <f t="shared" si="942"/>
        <v>5.1031721589159256</v>
      </c>
      <c r="CD295" s="89">
        <f t="shared" si="942"/>
        <v>9.3439105469930492</v>
      </c>
      <c r="CE295" s="89">
        <f t="shared" si="942"/>
        <v>11.579174368453485</v>
      </c>
      <c r="CF295" s="89">
        <f t="shared" si="942"/>
        <v>16.2513591301567</v>
      </c>
      <c r="CG295" s="89">
        <f t="shared" si="942"/>
        <v>20.23074324324325</v>
      </c>
      <c r="CH295" s="89">
        <f t="shared" si="942"/>
        <v>30.981007751937984</v>
      </c>
      <c r="CI295" s="89">
        <f t="shared" si="942"/>
        <v>49.685508735868439</v>
      </c>
      <c r="CJ295" s="89">
        <f t="shared" si="942"/>
        <v>87.620608899297466</v>
      </c>
      <c r="CK295" s="89">
        <f t="shared" si="942"/>
        <v>144.48387096774198</v>
      </c>
      <c r="CL295" s="89">
        <f t="shared" si="942"/>
        <v>159.0511425462459</v>
      </c>
      <c r="CM295" s="89">
        <f t="shared" si="942"/>
        <v>66.271824359644512</v>
      </c>
      <c r="CN295" s="89">
        <f t="shared" si="942"/>
        <v>43.738036809815931</v>
      </c>
      <c r="CO295" s="89">
        <f t="shared" si="942"/>
        <v>39.273425880019836</v>
      </c>
      <c r="CP295" s="89">
        <f t="shared" si="942"/>
        <v>33.736493479610857</v>
      </c>
      <c r="CQ295" s="89">
        <f t="shared" si="942"/>
        <v>32.206997695369779</v>
      </c>
      <c r="CR295" s="89">
        <f t="shared" si="942"/>
        <v>39.108578800258016</v>
      </c>
      <c r="CS295" s="89">
        <f t="shared" si="942"/>
        <v>40.960757780784832</v>
      </c>
      <c r="CT295" s="89">
        <f t="shared" ref="CT295:DY295" si="943">CT34/-CT36</f>
        <v>59.791621621621616</v>
      </c>
      <c r="CU295" s="89">
        <f t="shared" si="943"/>
        <v>70.980031323414252</v>
      </c>
      <c r="CV295" s="89">
        <f t="shared" si="943"/>
        <v>32.002506265664181</v>
      </c>
      <c r="CW295" s="89">
        <f t="shared" si="943"/>
        <v>19.145622327256369</v>
      </c>
      <c r="CX295" s="89">
        <f t="shared" si="943"/>
        <v>21.663400085215184</v>
      </c>
      <c r="CY295" s="89">
        <f t="shared" si="943"/>
        <v>23.273591632992616</v>
      </c>
      <c r="CZ295" s="89">
        <f t="shared" si="943"/>
        <v>27.57510729613734</v>
      </c>
      <c r="DA295" s="89">
        <f t="shared" si="943"/>
        <v>29.671892497200453</v>
      </c>
      <c r="DB295" s="89">
        <f t="shared" si="943"/>
        <v>37.757133228487966</v>
      </c>
      <c r="DC295" s="89">
        <f t="shared" si="943"/>
        <v>30.255759114819515</v>
      </c>
      <c r="DD295" s="89">
        <f t="shared" si="943"/>
        <v>54.176963675877026</v>
      </c>
      <c r="DE295" s="89">
        <f t="shared" si="943"/>
        <v>45.434292565947239</v>
      </c>
      <c r="DF295" s="89">
        <f t="shared" si="943"/>
        <v>91.774075579032939</v>
      </c>
      <c r="DG295" s="89">
        <f t="shared" si="943"/>
        <v>82.282114828583218</v>
      </c>
      <c r="DH295" s="89">
        <f t="shared" si="943"/>
        <v>95.725010369141373</v>
      </c>
      <c r="DI295" s="89">
        <f t="shared" si="943"/>
        <v>168.87058823529415</v>
      </c>
      <c r="DJ295" s="89">
        <f t="shared" si="943"/>
        <v>179.91437308868495</v>
      </c>
      <c r="DK295" s="89">
        <f t="shared" si="943"/>
        <v>191.91146711635753</v>
      </c>
      <c r="DL295" s="89">
        <f t="shared" si="943"/>
        <v>112.84265901482543</v>
      </c>
      <c r="DM295" s="89">
        <f t="shared" si="943"/>
        <v>144.04753886010363</v>
      </c>
      <c r="DN295" s="89">
        <f t="shared" si="943"/>
        <v>208.09480067001672</v>
      </c>
      <c r="DO295" s="89">
        <f t="shared" si="943"/>
        <v>145.64869565217398</v>
      </c>
      <c r="DP295" s="89">
        <f t="shared" si="943"/>
        <v>188.0027874564459</v>
      </c>
      <c r="DQ295" s="89">
        <f t="shared" si="943"/>
        <v>909.3566666666668</v>
      </c>
      <c r="DR295" s="89">
        <f t="shared" si="943"/>
        <v>543.07308377896607</v>
      </c>
      <c r="DS295" s="89">
        <f t="shared" si="943"/>
        <v>64.578190206394169</v>
      </c>
      <c r="DT295" s="89">
        <f t="shared" si="943"/>
        <v>7.4289196228827077</v>
      </c>
      <c r="DU295" s="89">
        <f t="shared" si="943"/>
        <v>1.3332831534980709</v>
      </c>
      <c r="DV295" s="89">
        <f t="shared" si="943"/>
        <v>3.0304896109637554</v>
      </c>
      <c r="DW295" s="89">
        <f t="shared" si="943"/>
        <v>-6.8034411816116096</v>
      </c>
      <c r="DX295" s="89">
        <f t="shared" si="943"/>
        <v>-11.962317777430927</v>
      </c>
      <c r="DY295" s="89">
        <f t="shared" si="943"/>
        <v>-10.066086407922056</v>
      </c>
      <c r="DZ295" s="89">
        <f t="shared" ref="DZ295:EP295" si="944">DZ34/-DZ36</f>
        <v>-12.292777448071215</v>
      </c>
      <c r="EA295" s="89">
        <f t="shared" si="944"/>
        <v>-11.263181788297171</v>
      </c>
      <c r="EB295" s="89">
        <f t="shared" ref="EB295:EC295" si="945">EB34/-EB36</f>
        <v>-5.0780691389063444</v>
      </c>
      <c r="EC295" s="89">
        <f t="shared" si="945"/>
        <v>-3.5049935938501129</v>
      </c>
      <c r="ED295" s="89">
        <f t="shared" si="944"/>
        <v>0.15185414862288038</v>
      </c>
      <c r="EE295" s="89">
        <f t="shared" si="944"/>
        <v>-0.83057569183226199</v>
      </c>
      <c r="EF295" s="89">
        <f t="shared" si="944"/>
        <v>1.9797982846245126</v>
      </c>
      <c r="EG295" s="89">
        <f t="shared" si="944"/>
        <v>6.2281688765652259</v>
      </c>
      <c r="EH295" s="89">
        <f t="shared" si="944"/>
        <v>8.9552716666381027</v>
      </c>
      <c r="EI295" s="89">
        <f t="shared" si="944"/>
        <v>11.524545122664657</v>
      </c>
      <c r="EJ295" s="89">
        <f t="shared" si="944"/>
        <v>13.062922636728015</v>
      </c>
      <c r="EK295" s="89">
        <f t="shared" si="944"/>
        <v>14.375492203316286</v>
      </c>
      <c r="EL295" s="89">
        <f t="shared" si="944"/>
        <v>16.314486709133551</v>
      </c>
      <c r="EM295" s="89">
        <f t="shared" si="944"/>
        <v>15.393966223022945</v>
      </c>
      <c r="EN295" s="89">
        <f t="shared" si="944"/>
        <v>14.9888948859899</v>
      </c>
      <c r="EO295" s="89">
        <f t="shared" si="944"/>
        <v>15.085095096093347</v>
      </c>
      <c r="EP295" s="89">
        <f t="shared" si="944"/>
        <v>14.677512832542199</v>
      </c>
      <c r="EQ295" s="18"/>
      <c r="ER295" s="18"/>
      <c r="ES295" s="355">
        <f t="shared" si="838"/>
        <v>290</v>
      </c>
      <c r="ET295"/>
      <c r="EU295"/>
      <c r="EV295"/>
      <c r="EW295"/>
      <c r="EX295"/>
      <c r="EY295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</row>
    <row r="296" spans="1:257" s="4" customFormat="1" ht="12.75" customHeight="1" outlineLevel="1">
      <c r="A296" s="15"/>
      <c r="B296" s="5" t="s">
        <v>67</v>
      </c>
      <c r="C296" s="25"/>
      <c r="D296" s="25"/>
      <c r="E296" s="25">
        <f t="shared" ref="E296:AF296" si="946">E317</f>
        <v>1.11520500318871</v>
      </c>
      <c r="F296" s="25">
        <f t="shared" si="946"/>
        <v>2.0548653830790125</v>
      </c>
      <c r="G296" s="25">
        <f t="shared" si="946"/>
        <v>2.0186433517623938</v>
      </c>
      <c r="H296" s="25">
        <f t="shared" si="946"/>
        <v>1.8502910400053834</v>
      </c>
      <c r="I296" s="25">
        <f t="shared" si="946"/>
        <v>2.2482180468957051</v>
      </c>
      <c r="J296" s="25">
        <f t="shared" si="946"/>
        <v>3.0141369552914545</v>
      </c>
      <c r="K296" s="25">
        <f t="shared" si="946"/>
        <v>1.126265263312173</v>
      </c>
      <c r="L296" s="25">
        <f t="shared" si="946"/>
        <v>1.1901741977970428</v>
      </c>
      <c r="M296" s="25">
        <f t="shared" si="946"/>
        <v>2.4520069576301569</v>
      </c>
      <c r="N296" s="25">
        <f t="shared" si="946"/>
        <v>5.0786707027308537</v>
      </c>
      <c r="O296" s="25">
        <f t="shared" si="946"/>
        <v>2.9849963036127636</v>
      </c>
      <c r="P296" s="25">
        <f t="shared" si="946"/>
        <v>0.95538257876621668</v>
      </c>
      <c r="Q296" s="25">
        <f t="shared" si="946"/>
        <v>0.90164530402808651</v>
      </c>
      <c r="R296" s="25">
        <f t="shared" si="946"/>
        <v>5.2066290619493421</v>
      </c>
      <c r="S296" s="25">
        <f t="shared" si="946"/>
        <v>6.1229920159953988</v>
      </c>
      <c r="T296" s="25">
        <f t="shared" si="946"/>
        <v>3.3479546036837058</v>
      </c>
      <c r="U296" s="25">
        <f t="shared" si="946"/>
        <v>3.7251064765666966</v>
      </c>
      <c r="V296" s="25">
        <f t="shared" si="946"/>
        <v>1.2341394366513634</v>
      </c>
      <c r="W296" s="25">
        <f t="shared" si="946"/>
        <v>2.2007430230641463</v>
      </c>
      <c r="X296" s="25">
        <f t="shared" si="946"/>
        <v>2.7972997423593364</v>
      </c>
      <c r="Y296" s="25">
        <f t="shared" si="946"/>
        <v>1.775735641089234</v>
      </c>
      <c r="Z296" s="25">
        <f t="shared" si="946"/>
        <v>1.8811447658568077</v>
      </c>
      <c r="AA296" s="25">
        <f t="shared" si="946"/>
        <v>1.9885928223554015</v>
      </c>
      <c r="AB296" s="25">
        <f t="shared" si="946"/>
        <v>0.45883133774735185</v>
      </c>
      <c r="AC296" s="25">
        <f t="shared" si="946"/>
        <v>0.7315515752444478</v>
      </c>
      <c r="AD296" s="25">
        <f t="shared" si="946"/>
        <v>0.82973902800731525</v>
      </c>
      <c r="AE296" s="25">
        <f t="shared" si="946"/>
        <v>0.56727914348771369</v>
      </c>
      <c r="AF296" s="25">
        <f t="shared" si="946"/>
        <v>0.55805945793148382</v>
      </c>
      <c r="AG296" s="25"/>
      <c r="AH296" s="25">
        <f t="shared" ref="AH296:BM296" si="947">AH317</f>
        <v>0.85030732124795771</v>
      </c>
      <c r="AI296" s="25">
        <f t="shared" si="947"/>
        <v>0.70231213872832388</v>
      </c>
      <c r="AJ296" s="25">
        <f t="shared" si="947"/>
        <v>0.84898679895736961</v>
      </c>
      <c r="AK296" s="25">
        <f t="shared" si="947"/>
        <v>2.187144019528072</v>
      </c>
      <c r="AL296" s="25">
        <f t="shared" si="947"/>
        <v>1.1430868167202572</v>
      </c>
      <c r="AM296" s="25">
        <f t="shared" si="947"/>
        <v>1.1154418327878606</v>
      </c>
      <c r="AN296" s="25">
        <f t="shared" si="947"/>
        <v>3.0834886925508642</v>
      </c>
      <c r="AO296" s="25">
        <f t="shared" si="947"/>
        <v>2.9141871842168583</v>
      </c>
      <c r="AP296" s="25">
        <f t="shared" si="947"/>
        <v>2.0105649303008071</v>
      </c>
      <c r="AQ296" s="25">
        <f t="shared" si="947"/>
        <v>2.2416565533980584</v>
      </c>
      <c r="AR296" s="25">
        <f t="shared" si="947"/>
        <v>2.2757395591647334</v>
      </c>
      <c r="AS296" s="25">
        <f t="shared" si="947"/>
        <v>1.5578521355785215</v>
      </c>
      <c r="AT296" s="25">
        <f t="shared" si="947"/>
        <v>2.6240330067044866</v>
      </c>
      <c r="AU296" s="25">
        <f t="shared" si="947"/>
        <v>1.3724362527716187</v>
      </c>
      <c r="AV296" s="25">
        <f t="shared" si="947"/>
        <v>1.9337959357077104</v>
      </c>
      <c r="AW296" s="25">
        <f t="shared" si="947"/>
        <v>1.5739286126833778</v>
      </c>
      <c r="AX296" s="25">
        <f t="shared" si="947"/>
        <v>2.3474017580144779</v>
      </c>
      <c r="AY296" s="25">
        <f t="shared" si="947"/>
        <v>1.5546349041947176</v>
      </c>
      <c r="AZ296" s="25">
        <f t="shared" si="947"/>
        <v>2.0335112059765206</v>
      </c>
      <c r="BA296" s="25">
        <f t="shared" si="947"/>
        <v>2.9717412935323368</v>
      </c>
      <c r="BB296" s="25">
        <f t="shared" si="947"/>
        <v>2.6075277465015283</v>
      </c>
      <c r="BC296" s="25">
        <f t="shared" si="947"/>
        <v>2.7496090899614303</v>
      </c>
      <c r="BD296" s="25">
        <f t="shared" si="947"/>
        <v>3.5787685774946922</v>
      </c>
      <c r="BE296" s="25">
        <f t="shared" si="947"/>
        <v>3.0377242649566818</v>
      </c>
      <c r="BF296" s="25">
        <f t="shared" si="947"/>
        <v>1.8508271177965749</v>
      </c>
      <c r="BG296" s="25">
        <f t="shared" si="947"/>
        <v>0.88651823439513333</v>
      </c>
      <c r="BH296" s="25">
        <f t="shared" si="947"/>
        <v>0.75561343277692317</v>
      </c>
      <c r="BI296" s="25">
        <f t="shared" si="947"/>
        <v>1.1264363471424252</v>
      </c>
      <c r="BJ296" s="25">
        <f t="shared" si="947"/>
        <v>0.85610987833805174</v>
      </c>
      <c r="BK296" s="25">
        <f t="shared" si="947"/>
        <v>0.90368926431304597</v>
      </c>
      <c r="BL296" s="25">
        <f t="shared" si="947"/>
        <v>1.095575022461815</v>
      </c>
      <c r="BM296" s="25">
        <f t="shared" si="947"/>
        <v>1.8236905508432617</v>
      </c>
      <c r="BN296" s="25">
        <f t="shared" ref="BN296:CS296" si="948">BN317</f>
        <v>2.708143286238736</v>
      </c>
      <c r="BO296" s="25">
        <f t="shared" si="948"/>
        <v>2.7131320224719104</v>
      </c>
      <c r="BP296" s="25">
        <f t="shared" si="948"/>
        <v>3.5687643503116058</v>
      </c>
      <c r="BQ296" s="25">
        <f t="shared" si="948"/>
        <v>-0.15109765329295843</v>
      </c>
      <c r="BR296" s="25">
        <f t="shared" si="948"/>
        <v>4.5537482830911582</v>
      </c>
      <c r="BS296" s="25">
        <f t="shared" si="948"/>
        <v>5.0164163232752896</v>
      </c>
      <c r="BT296" s="25">
        <f t="shared" si="948"/>
        <v>5.0143634813405917</v>
      </c>
      <c r="BU296" s="25">
        <f t="shared" si="948"/>
        <v>5.6086027713625874</v>
      </c>
      <c r="BV296" s="25">
        <f t="shared" si="948"/>
        <v>3.7977078306646193</v>
      </c>
      <c r="BW296" s="25">
        <f t="shared" si="948"/>
        <v>3.4371960086245799</v>
      </c>
      <c r="BX296" s="25">
        <f t="shared" si="948"/>
        <v>2.9547799414416511</v>
      </c>
      <c r="BY296" s="25">
        <f t="shared" si="948"/>
        <v>1.9687075426217289</v>
      </c>
      <c r="BZ296" s="25">
        <f t="shared" si="948"/>
        <v>1.3358182144781749</v>
      </c>
      <c r="CA296" s="25">
        <f t="shared" si="948"/>
        <v>0.97901888727459174</v>
      </c>
      <c r="CB296" s="25">
        <f t="shared" si="948"/>
        <v>0.74701261803292407</v>
      </c>
      <c r="CC296" s="25">
        <f t="shared" si="948"/>
        <v>0.79271584545344675</v>
      </c>
      <c r="CD296" s="25">
        <f t="shared" si="948"/>
        <v>0.45168085289313042</v>
      </c>
      <c r="CE296" s="25">
        <f t="shared" si="948"/>
        <v>0.50154488517745299</v>
      </c>
      <c r="CF296" s="25">
        <f t="shared" si="948"/>
        <v>1.1909133609462403</v>
      </c>
      <c r="CG296" s="25">
        <f t="shared" si="948"/>
        <v>1.4193347112272359</v>
      </c>
      <c r="CH296" s="25">
        <f t="shared" si="948"/>
        <v>2.3406185926798417</v>
      </c>
      <c r="CI296" s="25">
        <f t="shared" si="948"/>
        <v>5.0137267479153307</v>
      </c>
      <c r="CJ296" s="25">
        <f t="shared" si="948"/>
        <v>6.0485324613175937</v>
      </c>
      <c r="CK296" s="25">
        <f t="shared" si="948"/>
        <v>6.832411669260571</v>
      </c>
      <c r="CL296" s="25">
        <f t="shared" si="948"/>
        <v>6.2181685516234957</v>
      </c>
      <c r="CM296" s="25">
        <f t="shared" si="948"/>
        <v>7.4780286477300306</v>
      </c>
      <c r="CN296" s="25">
        <f t="shared" si="948"/>
        <v>6.4852196721311479</v>
      </c>
      <c r="CO296" s="25">
        <f t="shared" si="948"/>
        <v>4.7544294193778738</v>
      </c>
      <c r="CP296" s="25">
        <f t="shared" si="948"/>
        <v>3.406784285194616</v>
      </c>
      <c r="CQ296" s="25">
        <f t="shared" si="948"/>
        <v>3.3132904071560767</v>
      </c>
      <c r="CR296" s="25">
        <f t="shared" si="948"/>
        <v>3.6576254637766055</v>
      </c>
      <c r="CS296" s="25">
        <f t="shared" si="948"/>
        <v>3.0866091051805338</v>
      </c>
      <c r="CT296" s="25">
        <f t="shared" ref="CT296:DY296" si="949">CT317</f>
        <v>4.5713320674797346</v>
      </c>
      <c r="CU296" s="25">
        <f t="shared" si="949"/>
        <v>4.823822947490064</v>
      </c>
      <c r="CV296" s="25">
        <f t="shared" si="949"/>
        <v>3.4815949412709064</v>
      </c>
      <c r="CW296" s="25">
        <f t="shared" si="949"/>
        <v>2.2412886362562801</v>
      </c>
      <c r="CX296" s="25">
        <f t="shared" si="949"/>
        <v>1.0310653949652089</v>
      </c>
      <c r="CY296" s="25">
        <f t="shared" si="949"/>
        <v>1.1852420396686676</v>
      </c>
      <c r="CZ296" s="25">
        <f t="shared" si="949"/>
        <v>1.1879370629370629</v>
      </c>
      <c r="DA296" s="25">
        <f t="shared" si="949"/>
        <v>1.4933369743309672</v>
      </c>
      <c r="DB296" s="25">
        <f t="shared" si="949"/>
        <v>1.5881934954905712</v>
      </c>
      <c r="DC296" s="25">
        <f t="shared" si="949"/>
        <v>2.2324680610811307</v>
      </c>
      <c r="DD296" s="25">
        <f t="shared" si="949"/>
        <v>2.6232792729019461</v>
      </c>
      <c r="DE296" s="25">
        <f t="shared" si="949"/>
        <v>2.3039830839596407</v>
      </c>
      <c r="DF296" s="25">
        <f t="shared" si="949"/>
        <v>2.9777373447061004</v>
      </c>
      <c r="DG296" s="25">
        <f t="shared" si="949"/>
        <v>2.5926276200321117</v>
      </c>
      <c r="DH296" s="25">
        <f t="shared" si="949"/>
        <v>2.9579332226681516</v>
      </c>
      <c r="DI296" s="25">
        <f t="shared" si="949"/>
        <v>3.0512060979406246</v>
      </c>
      <c r="DJ296" s="25">
        <f t="shared" si="949"/>
        <v>2.0585934202009399</v>
      </c>
      <c r="DK296" s="25">
        <f t="shared" si="949"/>
        <v>1.9480846370727456</v>
      </c>
      <c r="DL296" s="25">
        <f t="shared" si="949"/>
        <v>1.5287970116308682</v>
      </c>
      <c r="DM296" s="25">
        <f t="shared" si="949"/>
        <v>1.6036565348776535</v>
      </c>
      <c r="DN296" s="25">
        <f t="shared" si="949"/>
        <v>1.1697148132438435</v>
      </c>
      <c r="DO296" s="25">
        <f t="shared" si="949"/>
        <v>1.7433427716334713</v>
      </c>
      <c r="DP296" s="25">
        <f t="shared" si="949"/>
        <v>2.0567461117399866</v>
      </c>
      <c r="DQ296" s="25">
        <f t="shared" si="949"/>
        <v>2.4807791798816834</v>
      </c>
      <c r="DR296" s="25">
        <f t="shared" si="949"/>
        <v>2.6816434493834156</v>
      </c>
      <c r="DS296" s="25">
        <f t="shared" si="949"/>
        <v>2.7632368192392858</v>
      </c>
      <c r="DT296" s="25">
        <f t="shared" si="949"/>
        <v>1.4449010707231711</v>
      </c>
      <c r="DU296" s="25">
        <f t="shared" si="949"/>
        <v>1.1117722320052827</v>
      </c>
      <c r="DV296" s="25">
        <f t="shared" si="949"/>
        <v>0.80539509881867888</v>
      </c>
      <c r="DW296" s="25">
        <f t="shared" si="949"/>
        <v>0.46645279365729908</v>
      </c>
      <c r="DX296" s="25">
        <f t="shared" si="949"/>
        <v>0.28169298435359441</v>
      </c>
      <c r="DY296" s="25">
        <f t="shared" si="949"/>
        <v>0.27231073245941018</v>
      </c>
      <c r="DZ296" s="25">
        <f t="shared" ref="DZ296:EP296" si="950">DZ317</f>
        <v>0.61358864972692695</v>
      </c>
      <c r="EA296" s="25">
        <f t="shared" si="950"/>
        <v>0.69133457489037453</v>
      </c>
      <c r="EB296" s="25">
        <f t="shared" ref="EB296:EC296" si="951">EB317</f>
        <v>0.91650432349613398</v>
      </c>
      <c r="EC296" s="25">
        <f t="shared" si="951"/>
        <v>0.70259106271122829</v>
      </c>
      <c r="ED296" s="25">
        <f t="shared" si="950"/>
        <v>0.67391799628124371</v>
      </c>
      <c r="EE296" s="25">
        <f t="shared" si="950"/>
        <v>0.88147146970676382</v>
      </c>
      <c r="EF296" s="25">
        <f t="shared" si="950"/>
        <v>0.88435405232398678</v>
      </c>
      <c r="EG296" s="25">
        <f t="shared" si="950"/>
        <v>0.87918293214207022</v>
      </c>
      <c r="EH296" s="25">
        <f t="shared" si="950"/>
        <v>0.58284280472606176</v>
      </c>
      <c r="EI296" s="25">
        <f t="shared" si="950"/>
        <v>0.58451224144209379</v>
      </c>
      <c r="EJ296" s="25">
        <f t="shared" si="950"/>
        <v>0.54962461724369427</v>
      </c>
      <c r="EK296" s="25">
        <f t="shared" si="950"/>
        <v>0.55192967560471651</v>
      </c>
      <c r="EL296" s="25">
        <f t="shared" si="950"/>
        <v>0.55431232462428104</v>
      </c>
      <c r="EM296" s="25">
        <f t="shared" si="950"/>
        <v>0.55677084363549478</v>
      </c>
      <c r="EN296" s="25">
        <f t="shared" si="950"/>
        <v>0.55930351063324601</v>
      </c>
      <c r="EO296" s="25">
        <f t="shared" si="950"/>
        <v>0.56190859997912201</v>
      </c>
      <c r="EP296" s="25">
        <f t="shared" si="950"/>
        <v>0.56458438026970204</v>
      </c>
      <c r="EQ296" s="18"/>
      <c r="ER296" s="18"/>
      <c r="ES296" s="355">
        <f t="shared" si="838"/>
        <v>291</v>
      </c>
      <c r="ET296"/>
      <c r="EU296"/>
      <c r="EV296"/>
      <c r="EW296"/>
      <c r="EX296"/>
      <c r="EY296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</row>
    <row r="297" spans="1:257" s="4" customFormat="1" ht="12.75" customHeight="1" outlineLevel="1">
      <c r="A297" s="15"/>
      <c r="B297" s="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17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5"/>
      <c r="BH297" s="25"/>
      <c r="BI297" s="25"/>
      <c r="BJ297" s="25"/>
      <c r="BK297" s="25"/>
      <c r="BL297" s="25"/>
      <c r="BM297" s="25"/>
      <c r="BN297" s="25"/>
      <c r="BO297" s="25"/>
      <c r="BP297" s="25"/>
      <c r="BQ297" s="25"/>
      <c r="BR297" s="25"/>
      <c r="BS297" s="25"/>
      <c r="BT297" s="25"/>
      <c r="BU297" s="25"/>
      <c r="BV297" s="25"/>
      <c r="BW297" s="25"/>
      <c r="BX297" s="25"/>
      <c r="BY297" s="25"/>
      <c r="BZ297" s="25"/>
      <c r="CA297" s="25"/>
      <c r="CB297" s="25"/>
      <c r="CC297" s="25"/>
      <c r="CD297" s="25"/>
      <c r="CE297" s="25"/>
      <c r="CF297" s="25"/>
      <c r="CG297" s="25"/>
      <c r="CH297" s="25"/>
      <c r="CI297" s="25"/>
      <c r="CJ297" s="25"/>
      <c r="CK297" s="25"/>
      <c r="CL297" s="25"/>
      <c r="CM297" s="25"/>
      <c r="CN297" s="25"/>
      <c r="CO297" s="25"/>
      <c r="CP297" s="25"/>
      <c r="CQ297" s="25"/>
      <c r="CR297" s="25"/>
      <c r="CS297" s="25"/>
      <c r="CT297" s="25"/>
      <c r="CU297" s="25"/>
      <c r="CV297" s="25"/>
      <c r="CW297" s="25"/>
      <c r="CX297" s="25"/>
      <c r="CY297" s="25"/>
      <c r="CZ297" s="25"/>
      <c r="DA297" s="25"/>
      <c r="DB297" s="25"/>
      <c r="DC297" s="25"/>
      <c r="DD297" s="25"/>
      <c r="DE297" s="25"/>
      <c r="DF297" s="25"/>
      <c r="DG297" s="25"/>
      <c r="DH297" s="25"/>
      <c r="DI297" s="25"/>
      <c r="DJ297" s="25"/>
      <c r="DK297" s="25"/>
      <c r="DL297" s="25"/>
      <c r="DM297" s="25"/>
      <c r="DN297" s="25"/>
      <c r="DO297" s="25"/>
      <c r="DP297" s="25"/>
      <c r="DQ297" s="25"/>
      <c r="DR297" s="25"/>
      <c r="DS297" s="25"/>
      <c r="DT297" s="25"/>
      <c r="DU297" s="25"/>
      <c r="DV297" s="25"/>
      <c r="DW297" s="25"/>
      <c r="DX297" s="25"/>
      <c r="DY297" s="25"/>
      <c r="DZ297" s="25"/>
      <c r="EA297" s="25"/>
      <c r="EB297" s="25"/>
      <c r="EC297" s="25"/>
      <c r="ED297" s="25"/>
      <c r="EE297" s="25"/>
      <c r="EF297" s="25"/>
      <c r="EG297" s="25"/>
      <c r="EH297" s="25"/>
      <c r="EI297" s="25"/>
      <c r="EJ297" s="25"/>
      <c r="EK297" s="25"/>
      <c r="EL297" s="25"/>
      <c r="EM297" s="25"/>
      <c r="EN297" s="25"/>
      <c r="EO297" s="25"/>
      <c r="EP297" s="25"/>
      <c r="EQ297" s="18"/>
      <c r="ER297" s="18"/>
      <c r="ES297" s="355">
        <f t="shared" si="838"/>
        <v>292</v>
      </c>
      <c r="ET297"/>
      <c r="EU297"/>
      <c r="EV297"/>
      <c r="EW297"/>
      <c r="EX297"/>
      <c r="EY297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</row>
    <row r="298" spans="1:257" s="4" customFormat="1" ht="12.75" customHeight="1" outlineLevel="1">
      <c r="A298" s="15" t="s">
        <v>0</v>
      </c>
      <c r="B298" s="81" t="s">
        <v>66</v>
      </c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7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  <c r="BM298" s="18"/>
      <c r="BN298" s="18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"/>
      <c r="DK298" s="18"/>
      <c r="DL298" s="18"/>
      <c r="DM298" s="18"/>
      <c r="DN298" s="18"/>
      <c r="DO298" s="18"/>
      <c r="DP298" s="18"/>
      <c r="DQ298" s="18"/>
      <c r="DR298" s="18"/>
      <c r="DS298" s="18"/>
      <c r="DT298" s="18"/>
      <c r="DU298" s="18"/>
      <c r="DV298" s="18"/>
      <c r="DW298" s="18"/>
      <c r="DX298" s="18"/>
      <c r="DY298" s="18"/>
      <c r="DZ298" s="18"/>
      <c r="EA298" s="18"/>
      <c r="EB298" s="18"/>
      <c r="EC298" s="18"/>
      <c r="ED298" s="18"/>
      <c r="EE298" s="18"/>
      <c r="EF298" s="18"/>
      <c r="EG298" s="18"/>
      <c r="EH298" s="18"/>
      <c r="EI298" s="18"/>
      <c r="EJ298" s="18"/>
      <c r="EK298" s="18"/>
      <c r="EL298" s="18"/>
      <c r="EM298" s="18"/>
      <c r="EN298" s="18"/>
      <c r="EO298" s="18"/>
      <c r="EP298" s="18"/>
      <c r="EQ298" s="18"/>
      <c r="ER298" s="18"/>
      <c r="ES298" s="355">
        <f t="shared" si="838"/>
        <v>293</v>
      </c>
      <c r="ET298"/>
      <c r="EU298"/>
      <c r="EV298"/>
      <c r="EW298"/>
      <c r="EX298"/>
      <c r="EY298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</row>
    <row r="299" spans="1:257" s="4" customFormat="1" ht="12.75" hidden="1" customHeight="1" outlineLevel="2">
      <c r="A299" s="15"/>
      <c r="B299" s="5" t="s">
        <v>65</v>
      </c>
      <c r="C299" s="18"/>
      <c r="D299" s="18"/>
      <c r="E299" s="88">
        <f t="shared" ref="E299:AF299" si="952">E258-E269</f>
        <v>104.08499999999999</v>
      </c>
      <c r="F299" s="88">
        <f t="shared" si="952"/>
        <v>76.238</v>
      </c>
      <c r="G299" s="88">
        <f t="shared" si="952"/>
        <v>50.038000000000011</v>
      </c>
      <c r="H299" s="88">
        <f t="shared" si="952"/>
        <v>51.802999999999983</v>
      </c>
      <c r="I299" s="88">
        <f t="shared" si="952"/>
        <v>62.837000000000018</v>
      </c>
      <c r="J299" s="88">
        <f t="shared" si="952"/>
        <v>58.861000000000004</v>
      </c>
      <c r="K299" s="88">
        <f t="shared" si="952"/>
        <v>88.72</v>
      </c>
      <c r="L299" s="88">
        <f t="shared" si="952"/>
        <v>186.25</v>
      </c>
      <c r="M299" s="88">
        <f t="shared" si="952"/>
        <v>223.97999999999996</v>
      </c>
      <c r="N299" s="88">
        <f t="shared" si="952"/>
        <v>105.85199999999998</v>
      </c>
      <c r="O299" s="88">
        <f t="shared" si="952"/>
        <v>110.84800000000001</v>
      </c>
      <c r="P299" s="88">
        <f t="shared" si="952"/>
        <v>185.42699999999999</v>
      </c>
      <c r="Q299" s="88">
        <f t="shared" si="952"/>
        <v>410.31600000000003</v>
      </c>
      <c r="R299" s="88">
        <f t="shared" si="952"/>
        <v>164.14300000000003</v>
      </c>
      <c r="S299" s="88">
        <f t="shared" si="952"/>
        <v>272.35199999999998</v>
      </c>
      <c r="T299" s="88">
        <f t="shared" si="952"/>
        <v>381.68999999999994</v>
      </c>
      <c r="U299" s="88">
        <f t="shared" si="952"/>
        <v>221.02600000000001</v>
      </c>
      <c r="V299" s="88">
        <f t="shared" si="952"/>
        <v>420.16600000000005</v>
      </c>
      <c r="W299" s="88">
        <f t="shared" si="952"/>
        <v>539.58400000000006</v>
      </c>
      <c r="X299" s="88">
        <f t="shared" si="952"/>
        <v>514.06400000000008</v>
      </c>
      <c r="Y299" s="88">
        <f t="shared" si="952"/>
        <v>805.9380000000001</v>
      </c>
      <c r="Z299" s="88">
        <f t="shared" si="952"/>
        <v>769.83999999999992</v>
      </c>
      <c r="AA299" s="88">
        <f t="shared" si="952"/>
        <v>1087.779</v>
      </c>
      <c r="AB299" s="88">
        <f t="shared" si="952"/>
        <v>1238.6760000000004</v>
      </c>
      <c r="AC299" s="88">
        <f t="shared" si="952"/>
        <v>890.88200000000006</v>
      </c>
      <c r="AD299" s="88">
        <f t="shared" si="952"/>
        <v>636.94478600425509</v>
      </c>
      <c r="AE299" s="88">
        <f t="shared" si="952"/>
        <v>755.55662808734246</v>
      </c>
      <c r="AF299" s="88">
        <f t="shared" si="952"/>
        <v>935.00093439175134</v>
      </c>
      <c r="AG299" s="17"/>
      <c r="AH299" s="18"/>
      <c r="AI299" s="18"/>
      <c r="AJ299" s="18"/>
      <c r="AK299" s="18"/>
      <c r="AL299" s="18">
        <f t="shared" ref="AL299:BQ299" si="953">AL258-AL269</f>
        <v>110.658</v>
      </c>
      <c r="AM299" s="18">
        <f t="shared" si="953"/>
        <v>115.66700000000002</v>
      </c>
      <c r="AN299" s="18">
        <f t="shared" si="953"/>
        <v>93.866000000000014</v>
      </c>
      <c r="AO299" s="18">
        <f t="shared" si="953"/>
        <v>76.238</v>
      </c>
      <c r="AP299" s="18">
        <f t="shared" si="953"/>
        <v>66.05</v>
      </c>
      <c r="AQ299" s="18">
        <f t="shared" si="953"/>
        <v>58.246000000000002</v>
      </c>
      <c r="AR299" s="18">
        <f t="shared" si="953"/>
        <v>43.427999999999997</v>
      </c>
      <c r="AS299" s="18">
        <f t="shared" si="953"/>
        <v>50.038000000000011</v>
      </c>
      <c r="AT299" s="18">
        <f t="shared" si="953"/>
        <v>38.786000000000001</v>
      </c>
      <c r="AU299" s="18">
        <f t="shared" si="953"/>
        <v>48.755999999999993</v>
      </c>
      <c r="AV299" s="18">
        <f t="shared" si="953"/>
        <v>51.846999999999994</v>
      </c>
      <c r="AW299" s="18">
        <f t="shared" si="953"/>
        <v>51.802999999999983</v>
      </c>
      <c r="AX299" s="18">
        <f t="shared" si="953"/>
        <v>55.811999999999983</v>
      </c>
      <c r="AY299" s="18">
        <f t="shared" si="953"/>
        <v>70.01600000000002</v>
      </c>
      <c r="AZ299" s="18">
        <f t="shared" si="953"/>
        <v>81.486000000000004</v>
      </c>
      <c r="BA299" s="18">
        <f t="shared" si="953"/>
        <v>62.837000000000018</v>
      </c>
      <c r="BB299" s="18">
        <f t="shared" si="953"/>
        <v>89.500000000000028</v>
      </c>
      <c r="BC299" s="18">
        <f t="shared" si="953"/>
        <v>86.115000000000009</v>
      </c>
      <c r="BD299" s="18">
        <f t="shared" si="953"/>
        <v>74.108000000000004</v>
      </c>
      <c r="BE299" s="18">
        <f t="shared" si="953"/>
        <v>58.861000000000004</v>
      </c>
      <c r="BF299" s="18">
        <f t="shared" si="953"/>
        <v>50.728000000000037</v>
      </c>
      <c r="BG299" s="18">
        <f t="shared" si="953"/>
        <v>57.690999999999988</v>
      </c>
      <c r="BH299" s="18">
        <f t="shared" si="953"/>
        <v>78.978999999999999</v>
      </c>
      <c r="BI299" s="18">
        <f t="shared" si="953"/>
        <v>88.72</v>
      </c>
      <c r="BJ299" s="18">
        <f t="shared" si="953"/>
        <v>108.90299999999998</v>
      </c>
      <c r="BK299" s="18">
        <f t="shared" si="953"/>
        <v>136.09300000000002</v>
      </c>
      <c r="BL299" s="18">
        <f t="shared" si="953"/>
        <v>166.53200000000001</v>
      </c>
      <c r="BM299" s="18">
        <f t="shared" si="953"/>
        <v>186.25</v>
      </c>
      <c r="BN299" s="18">
        <f t="shared" si="953"/>
        <v>206.57299999999998</v>
      </c>
      <c r="BO299" s="18">
        <f t="shared" si="953"/>
        <v>238.63</v>
      </c>
      <c r="BP299" s="18">
        <f t="shared" si="953"/>
        <v>237.83699999999999</v>
      </c>
      <c r="BQ299" s="18">
        <f t="shared" si="953"/>
        <v>223.97999999999996</v>
      </c>
      <c r="BR299" s="18">
        <f t="shared" ref="BR299:CW299" si="954">BR258-BR269</f>
        <v>187.76400000000007</v>
      </c>
      <c r="BS299" s="18">
        <f t="shared" si="954"/>
        <v>146.98899999999998</v>
      </c>
      <c r="BT299" s="18">
        <f t="shared" si="954"/>
        <v>132.74099999999999</v>
      </c>
      <c r="BU299" s="18">
        <f t="shared" si="954"/>
        <v>105.85199999999998</v>
      </c>
      <c r="BV299" s="18">
        <f t="shared" si="954"/>
        <v>161.79399999999998</v>
      </c>
      <c r="BW299" s="18">
        <f t="shared" si="954"/>
        <v>105.13600000000001</v>
      </c>
      <c r="BX299" s="18">
        <f t="shared" si="954"/>
        <v>91.833000000000027</v>
      </c>
      <c r="BY299" s="18">
        <f t="shared" si="954"/>
        <v>110.84800000000001</v>
      </c>
      <c r="BZ299" s="18">
        <f t="shared" si="954"/>
        <v>116.86399999999998</v>
      </c>
      <c r="CA299" s="18">
        <f t="shared" si="954"/>
        <v>136.82799999999997</v>
      </c>
      <c r="CB299" s="18">
        <f t="shared" si="954"/>
        <v>142.541</v>
      </c>
      <c r="CC299" s="18">
        <f t="shared" si="954"/>
        <v>185.42699999999999</v>
      </c>
      <c r="CD299" s="18">
        <f t="shared" si="954"/>
        <v>293.89700000000005</v>
      </c>
      <c r="CE299" s="18">
        <f t="shared" si="954"/>
        <v>337.21100000000001</v>
      </c>
      <c r="CF299" s="18">
        <f t="shared" si="954"/>
        <v>369.69899999999996</v>
      </c>
      <c r="CG299" s="18">
        <f t="shared" si="954"/>
        <v>410.31600000000003</v>
      </c>
      <c r="CH299" s="18">
        <f t="shared" si="954"/>
        <v>431.024</v>
      </c>
      <c r="CI299" s="18">
        <f t="shared" si="954"/>
        <v>412.54400000000004</v>
      </c>
      <c r="CJ299" s="18">
        <f t="shared" si="954"/>
        <v>372.99099999999999</v>
      </c>
      <c r="CK299" s="18">
        <f t="shared" si="954"/>
        <v>164.14300000000003</v>
      </c>
      <c r="CL299" s="18">
        <f t="shared" si="954"/>
        <v>176.39699999999999</v>
      </c>
      <c r="CM299" s="18">
        <f t="shared" si="954"/>
        <v>216.28999999999994</v>
      </c>
      <c r="CN299" s="18">
        <f t="shared" si="954"/>
        <v>209.61700000000002</v>
      </c>
      <c r="CO299" s="18">
        <f t="shared" si="954"/>
        <v>272.35199999999998</v>
      </c>
      <c r="CP299" s="18">
        <f t="shared" si="954"/>
        <v>310.08300000000003</v>
      </c>
      <c r="CQ299" s="18">
        <f t="shared" si="954"/>
        <v>332.98900000000003</v>
      </c>
      <c r="CR299" s="18">
        <f t="shared" si="954"/>
        <v>339.291</v>
      </c>
      <c r="CS299" s="18">
        <f t="shared" si="954"/>
        <v>381.68999999999994</v>
      </c>
      <c r="CT299" s="18">
        <f t="shared" si="954"/>
        <v>356.26799999999992</v>
      </c>
      <c r="CU299" s="18">
        <f t="shared" si="954"/>
        <v>276.29799999999994</v>
      </c>
      <c r="CV299" s="18">
        <f t="shared" si="954"/>
        <v>233.28200000000004</v>
      </c>
      <c r="CW299" s="18">
        <f t="shared" si="954"/>
        <v>221.02600000000001</v>
      </c>
      <c r="CX299" s="18">
        <f t="shared" ref="CX299:DZ299" si="955">CX258-CX269</f>
        <v>260.149</v>
      </c>
      <c r="CY299" s="18">
        <f t="shared" si="955"/>
        <v>367.43700000000001</v>
      </c>
      <c r="CZ299" s="18">
        <f t="shared" si="955"/>
        <v>338.27200000000005</v>
      </c>
      <c r="DA299" s="18">
        <f t="shared" si="955"/>
        <v>420.16600000000005</v>
      </c>
      <c r="DB299" s="18">
        <f t="shared" si="955"/>
        <v>498.60399999999998</v>
      </c>
      <c r="DC299" s="18">
        <f t="shared" si="955"/>
        <v>587.83899999999994</v>
      </c>
      <c r="DD299" s="18">
        <f t="shared" si="955"/>
        <v>620.70000000000005</v>
      </c>
      <c r="DE299" s="18">
        <f t="shared" si="955"/>
        <v>539.58400000000006</v>
      </c>
      <c r="DF299" s="18">
        <f t="shared" si="955"/>
        <v>574.57900000000018</v>
      </c>
      <c r="DG299" s="18">
        <f t="shared" si="955"/>
        <v>613.63599999999985</v>
      </c>
      <c r="DH299" s="18">
        <f t="shared" si="955"/>
        <v>528.98800000000006</v>
      </c>
      <c r="DI299" s="18">
        <f t="shared" si="955"/>
        <v>514.06400000000008</v>
      </c>
      <c r="DJ299" s="18">
        <f t="shared" si="955"/>
        <v>552.19899999999984</v>
      </c>
      <c r="DK299" s="18">
        <f t="shared" si="955"/>
        <v>627.43900000000008</v>
      </c>
      <c r="DL299" s="18">
        <f t="shared" si="955"/>
        <v>847.63599999999997</v>
      </c>
      <c r="DM299" s="18">
        <f t="shared" si="955"/>
        <v>805.9380000000001</v>
      </c>
      <c r="DN299" s="18">
        <f t="shared" si="955"/>
        <v>912.55300000000022</v>
      </c>
      <c r="DO299" s="18">
        <f t="shared" si="955"/>
        <v>950.49599999999987</v>
      </c>
      <c r="DP299" s="18">
        <f t="shared" si="955"/>
        <v>948.3100000000004</v>
      </c>
      <c r="DQ299" s="18">
        <f t="shared" si="955"/>
        <v>769.83999999999992</v>
      </c>
      <c r="DR299" s="18">
        <f t="shared" si="955"/>
        <v>762.53599999999972</v>
      </c>
      <c r="DS299" s="18">
        <f t="shared" si="955"/>
        <v>1177.2240000000002</v>
      </c>
      <c r="DT299" s="18">
        <f t="shared" si="955"/>
        <v>1155.1880000000001</v>
      </c>
      <c r="DU299" s="18">
        <f t="shared" si="955"/>
        <v>1087.779</v>
      </c>
      <c r="DV299" s="18">
        <f t="shared" si="955"/>
        <v>1067.8860000000002</v>
      </c>
      <c r="DW299" s="18">
        <f t="shared" si="955"/>
        <v>1089.0489999999998</v>
      </c>
      <c r="DX299" s="18">
        <f t="shared" si="955"/>
        <v>1211.0630000000001</v>
      </c>
      <c r="DY299" s="18">
        <f t="shared" si="955"/>
        <v>1238.6760000000004</v>
      </c>
      <c r="DZ299" s="18">
        <f t="shared" si="955"/>
        <v>1158.6550000000002</v>
      </c>
      <c r="EA299" s="18">
        <f t="shared" ref="EA299:EB299" si="956">EA258-EA269</f>
        <v>1062.4700000000003</v>
      </c>
      <c r="EB299" s="18">
        <f t="shared" si="956"/>
        <v>916.45900000000017</v>
      </c>
      <c r="EC299" s="18">
        <f t="shared" ref="EC299" si="957">EC258-EC269</f>
        <v>890.88200000000006</v>
      </c>
      <c r="ED299" s="18">
        <f t="shared" ref="ED299:EP299" si="958">ED258-ED269</f>
        <v>810.58400000000006</v>
      </c>
      <c r="EE299" s="18">
        <f t="shared" si="958"/>
        <v>739.80386120299931</v>
      </c>
      <c r="EF299" s="18">
        <f t="shared" si="958"/>
        <v>678.84075843434994</v>
      </c>
      <c r="EG299" s="18">
        <f t="shared" si="958"/>
        <v>636.94478600425509</v>
      </c>
      <c r="EH299" s="18">
        <f t="shared" si="958"/>
        <v>653.32630232459815</v>
      </c>
      <c r="EI299" s="18">
        <f t="shared" si="958"/>
        <v>678.56943726365921</v>
      </c>
      <c r="EJ299" s="18">
        <f t="shared" si="958"/>
        <v>714.39922589580397</v>
      </c>
      <c r="EK299" s="18">
        <f t="shared" si="958"/>
        <v>755.55662808734246</v>
      </c>
      <c r="EL299" s="18">
        <f t="shared" si="958"/>
        <v>804.75077386515613</v>
      </c>
      <c r="EM299" s="18">
        <f t="shared" si="958"/>
        <v>849.57710727079689</v>
      </c>
      <c r="EN299" s="18">
        <f t="shared" si="958"/>
        <v>892.27435892014114</v>
      </c>
      <c r="EO299" s="18">
        <f t="shared" si="958"/>
        <v>935.00093439175134</v>
      </c>
      <c r="EP299" s="18">
        <f t="shared" si="958"/>
        <v>975.56639269908692</v>
      </c>
      <c r="EQ299" s="18"/>
      <c r="ER299" s="18"/>
      <c r="ES299" s="355">
        <f t="shared" si="838"/>
        <v>294</v>
      </c>
      <c r="ET299"/>
      <c r="EU299"/>
      <c r="EV299"/>
      <c r="EW299"/>
      <c r="EX299"/>
      <c r="EY299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</row>
    <row r="300" spans="1:257" s="4" customFormat="1" ht="12.75" hidden="1" customHeight="1" outlineLevel="2">
      <c r="A300" s="15"/>
      <c r="B300" s="5" t="s">
        <v>64</v>
      </c>
      <c r="C300" s="18"/>
      <c r="D300" s="18"/>
      <c r="E300" s="88">
        <f t="shared" ref="E300:AF300" si="959">SUM(E253:E257)-SUM(E265:E267)</f>
        <v>48.10799999999999</v>
      </c>
      <c r="F300" s="88">
        <f t="shared" si="959"/>
        <v>46.79099999999999</v>
      </c>
      <c r="G300" s="88">
        <f t="shared" si="959"/>
        <v>30.495000000000005</v>
      </c>
      <c r="H300" s="88">
        <f t="shared" si="959"/>
        <v>34.910999999999987</v>
      </c>
      <c r="I300" s="88">
        <f t="shared" si="959"/>
        <v>34.873999999999995</v>
      </c>
      <c r="J300" s="88">
        <f t="shared" si="959"/>
        <v>34.385000000000005</v>
      </c>
      <c r="K300" s="88">
        <f t="shared" si="959"/>
        <v>66.961999999999989</v>
      </c>
      <c r="L300" s="88">
        <f t="shared" si="959"/>
        <v>78.163000000000011</v>
      </c>
      <c r="M300" s="88">
        <f t="shared" si="959"/>
        <v>95.154000000000011</v>
      </c>
      <c r="N300" s="88">
        <f t="shared" si="959"/>
        <v>58.968999999999994</v>
      </c>
      <c r="O300" s="88">
        <f t="shared" si="959"/>
        <v>72.658999999999992</v>
      </c>
      <c r="P300" s="88">
        <f t="shared" si="959"/>
        <v>120.131</v>
      </c>
      <c r="Q300" s="88">
        <f t="shared" si="959"/>
        <v>121.56399999999999</v>
      </c>
      <c r="R300" s="88">
        <f t="shared" si="959"/>
        <v>155.28999999999996</v>
      </c>
      <c r="S300" s="88">
        <f t="shared" si="959"/>
        <v>183.13700000000003</v>
      </c>
      <c r="T300" s="88">
        <f t="shared" si="959"/>
        <v>285.17700000000002</v>
      </c>
      <c r="U300" s="88">
        <f t="shared" si="959"/>
        <v>172.03999999999996</v>
      </c>
      <c r="V300" s="88">
        <f t="shared" si="959"/>
        <v>365.13799999999998</v>
      </c>
      <c r="W300" s="88">
        <f t="shared" si="959"/>
        <v>295.31700000000001</v>
      </c>
      <c r="X300" s="88">
        <f t="shared" si="959"/>
        <v>463.09800000000007</v>
      </c>
      <c r="Y300" s="88">
        <f t="shared" si="959"/>
        <v>476.28</v>
      </c>
      <c r="Z300" s="88">
        <f t="shared" si="959"/>
        <v>452.14800000000008</v>
      </c>
      <c r="AA300" s="88">
        <f t="shared" si="959"/>
        <v>366.72999999999996</v>
      </c>
      <c r="AB300" s="88">
        <f t="shared" si="959"/>
        <v>292.91599999999994</v>
      </c>
      <c r="AC300" s="88">
        <f t="shared" si="959"/>
        <v>325.09000000000009</v>
      </c>
      <c r="AD300" s="88">
        <f t="shared" si="959"/>
        <v>431.51601394057673</v>
      </c>
      <c r="AE300" s="88">
        <f t="shared" si="959"/>
        <v>489.05804901049282</v>
      </c>
      <c r="AF300" s="88">
        <f t="shared" si="959"/>
        <v>502.82775980417955</v>
      </c>
      <c r="AG300" s="17"/>
      <c r="AH300" s="18"/>
      <c r="AI300" s="18"/>
      <c r="AJ300" s="18"/>
      <c r="AK300" s="18"/>
      <c r="AL300" s="18">
        <f t="shared" ref="AL300:BQ300" si="960">SUM(AL253:AL257)-SUM(AL265:AL267)</f>
        <v>58.263000000000005</v>
      </c>
      <c r="AM300" s="18">
        <f t="shared" si="960"/>
        <v>49.21</v>
      </c>
      <c r="AN300" s="18">
        <f t="shared" si="960"/>
        <v>50.38600000000001</v>
      </c>
      <c r="AO300" s="18">
        <f t="shared" si="960"/>
        <v>46.79099999999999</v>
      </c>
      <c r="AP300" s="18">
        <f t="shared" si="960"/>
        <v>50.616</v>
      </c>
      <c r="AQ300" s="18">
        <f t="shared" si="960"/>
        <v>41.624999999999993</v>
      </c>
      <c r="AR300" s="18">
        <f t="shared" si="960"/>
        <v>26.197000000000003</v>
      </c>
      <c r="AS300" s="18">
        <f t="shared" si="960"/>
        <v>30.495000000000005</v>
      </c>
      <c r="AT300" s="18">
        <f t="shared" si="960"/>
        <v>30.180000000000007</v>
      </c>
      <c r="AU300" s="18">
        <f t="shared" si="960"/>
        <v>35.618999999999993</v>
      </c>
      <c r="AV300" s="18">
        <f t="shared" si="960"/>
        <v>46.015000000000001</v>
      </c>
      <c r="AW300" s="18">
        <f t="shared" si="960"/>
        <v>34.910999999999987</v>
      </c>
      <c r="AX300" s="18">
        <f t="shared" si="960"/>
        <v>28.317999999999998</v>
      </c>
      <c r="AY300" s="18">
        <f t="shared" si="960"/>
        <v>50.539000000000001</v>
      </c>
      <c r="AZ300" s="18">
        <f t="shared" si="960"/>
        <v>51.249999999999986</v>
      </c>
      <c r="BA300" s="18">
        <f t="shared" si="960"/>
        <v>34.873999999999995</v>
      </c>
      <c r="BB300" s="18">
        <f t="shared" si="960"/>
        <v>39.086000000000013</v>
      </c>
      <c r="BC300" s="18">
        <f t="shared" si="960"/>
        <v>50.475999999999999</v>
      </c>
      <c r="BD300" s="18">
        <f t="shared" si="960"/>
        <v>43.405000000000001</v>
      </c>
      <c r="BE300" s="18">
        <f t="shared" si="960"/>
        <v>34.385000000000005</v>
      </c>
      <c r="BF300" s="18">
        <f t="shared" si="960"/>
        <v>22.838000000000022</v>
      </c>
      <c r="BG300" s="18">
        <f t="shared" si="960"/>
        <v>36.984999999999971</v>
      </c>
      <c r="BH300" s="18">
        <f t="shared" si="960"/>
        <v>51.923999999999992</v>
      </c>
      <c r="BI300" s="18">
        <f t="shared" si="960"/>
        <v>66.961999999999989</v>
      </c>
      <c r="BJ300" s="18">
        <f t="shared" si="960"/>
        <v>70.358999999999995</v>
      </c>
      <c r="BK300" s="18">
        <f t="shared" si="960"/>
        <v>67.121000000000009</v>
      </c>
      <c r="BL300" s="18">
        <f t="shared" si="960"/>
        <v>77.832999999999998</v>
      </c>
      <c r="BM300" s="18">
        <f t="shared" si="960"/>
        <v>78.163000000000011</v>
      </c>
      <c r="BN300" s="18">
        <f t="shared" si="960"/>
        <v>80.035000000000011</v>
      </c>
      <c r="BO300" s="18">
        <f t="shared" si="960"/>
        <v>91.989000000000004</v>
      </c>
      <c r="BP300" s="18">
        <f t="shared" si="960"/>
        <v>69.962999999999965</v>
      </c>
      <c r="BQ300" s="18">
        <f t="shared" si="960"/>
        <v>95.154000000000011</v>
      </c>
      <c r="BR300" s="18">
        <f t="shared" ref="BR300:CW300" si="961">SUM(BR253:BR257)-SUM(BR265:BR267)</f>
        <v>110.04</v>
      </c>
      <c r="BS300" s="18">
        <f t="shared" si="961"/>
        <v>102.08999999999999</v>
      </c>
      <c r="BT300" s="18">
        <f t="shared" si="961"/>
        <v>84.540999999999997</v>
      </c>
      <c r="BU300" s="18">
        <f t="shared" si="961"/>
        <v>58.968999999999994</v>
      </c>
      <c r="BV300" s="18">
        <f t="shared" si="961"/>
        <v>60.562999999999974</v>
      </c>
      <c r="BW300" s="18">
        <f t="shared" si="961"/>
        <v>61.888000000000019</v>
      </c>
      <c r="BX300" s="18">
        <f t="shared" si="961"/>
        <v>64.860000000000014</v>
      </c>
      <c r="BY300" s="18">
        <f t="shared" si="961"/>
        <v>72.658999999999992</v>
      </c>
      <c r="BZ300" s="18">
        <f t="shared" si="961"/>
        <v>81.367000000000019</v>
      </c>
      <c r="CA300" s="18">
        <f t="shared" si="961"/>
        <v>106.27</v>
      </c>
      <c r="CB300" s="18">
        <f t="shared" si="961"/>
        <v>118.09399999999999</v>
      </c>
      <c r="CC300" s="18">
        <f t="shared" si="961"/>
        <v>120.131</v>
      </c>
      <c r="CD300" s="18">
        <f t="shared" si="961"/>
        <v>116.373</v>
      </c>
      <c r="CE300" s="18">
        <f t="shared" si="961"/>
        <v>128.75799999999998</v>
      </c>
      <c r="CF300" s="18">
        <f t="shared" si="961"/>
        <v>133.41399999999999</v>
      </c>
      <c r="CG300" s="18">
        <f t="shared" si="961"/>
        <v>121.56399999999999</v>
      </c>
      <c r="CH300" s="18">
        <f t="shared" si="961"/>
        <v>129.446</v>
      </c>
      <c r="CI300" s="18">
        <f t="shared" si="961"/>
        <v>217.38900000000001</v>
      </c>
      <c r="CJ300" s="18">
        <f t="shared" si="961"/>
        <v>258.89</v>
      </c>
      <c r="CK300" s="18">
        <f t="shared" si="961"/>
        <v>155.28999999999996</v>
      </c>
      <c r="CL300" s="18">
        <f t="shared" si="961"/>
        <v>128.30900000000003</v>
      </c>
      <c r="CM300" s="18">
        <f t="shared" si="961"/>
        <v>152.14999999999995</v>
      </c>
      <c r="CN300" s="18">
        <f t="shared" si="961"/>
        <v>164.05500000000001</v>
      </c>
      <c r="CO300" s="18">
        <f t="shared" si="961"/>
        <v>183.13700000000003</v>
      </c>
      <c r="CP300" s="18">
        <f t="shared" si="961"/>
        <v>212.57600000000002</v>
      </c>
      <c r="CQ300" s="18">
        <f t="shared" si="961"/>
        <v>242.25300000000004</v>
      </c>
      <c r="CR300" s="18">
        <f t="shared" si="961"/>
        <v>240.27299999999997</v>
      </c>
      <c r="CS300" s="18">
        <f t="shared" si="961"/>
        <v>285.17700000000002</v>
      </c>
      <c r="CT300" s="18">
        <f t="shared" si="961"/>
        <v>243.24399999999991</v>
      </c>
      <c r="CU300" s="18">
        <f t="shared" si="961"/>
        <v>267.42</v>
      </c>
      <c r="CV300" s="18">
        <f t="shared" si="961"/>
        <v>209.07700000000003</v>
      </c>
      <c r="CW300" s="18">
        <f t="shared" si="961"/>
        <v>172.03999999999996</v>
      </c>
      <c r="CX300" s="18">
        <f t="shared" ref="CX300:DZ300" si="962">SUM(CX253:CX257)-SUM(CX265:CX267)</f>
        <v>199.58</v>
      </c>
      <c r="CY300" s="18">
        <f t="shared" si="962"/>
        <v>241.72499999999997</v>
      </c>
      <c r="CZ300" s="18">
        <f t="shared" si="962"/>
        <v>260.55500000000006</v>
      </c>
      <c r="DA300" s="18">
        <f t="shared" si="962"/>
        <v>365.13799999999998</v>
      </c>
      <c r="DB300" s="18">
        <f t="shared" si="962"/>
        <v>330.69800000000004</v>
      </c>
      <c r="DC300" s="18">
        <f t="shared" si="962"/>
        <v>353.03600000000006</v>
      </c>
      <c r="DD300" s="18">
        <f t="shared" si="962"/>
        <v>337.80500000000001</v>
      </c>
      <c r="DE300" s="18">
        <f t="shared" si="962"/>
        <v>295.31700000000001</v>
      </c>
      <c r="DF300" s="18">
        <f t="shared" si="962"/>
        <v>346.89100000000008</v>
      </c>
      <c r="DG300" s="18">
        <f t="shared" si="962"/>
        <v>409.4489999999999</v>
      </c>
      <c r="DH300" s="18">
        <f t="shared" si="962"/>
        <v>500.27800000000002</v>
      </c>
      <c r="DI300" s="18">
        <f t="shared" si="962"/>
        <v>463.09800000000007</v>
      </c>
      <c r="DJ300" s="18">
        <f t="shared" si="962"/>
        <v>356.25799999999992</v>
      </c>
      <c r="DK300" s="18">
        <f t="shared" si="962"/>
        <v>498.09300000000007</v>
      </c>
      <c r="DL300" s="18">
        <f t="shared" si="962"/>
        <v>411.12500000000011</v>
      </c>
      <c r="DM300" s="18">
        <f t="shared" si="962"/>
        <v>476.28</v>
      </c>
      <c r="DN300" s="18">
        <f t="shared" si="962"/>
        <v>449.38799999999998</v>
      </c>
      <c r="DO300" s="18">
        <f t="shared" si="962"/>
        <v>483.85799999999995</v>
      </c>
      <c r="DP300" s="18">
        <f t="shared" si="962"/>
        <v>516.55799999999999</v>
      </c>
      <c r="DQ300" s="18">
        <f t="shared" si="962"/>
        <v>452.14800000000008</v>
      </c>
      <c r="DR300" s="18">
        <f t="shared" si="962"/>
        <v>555.07799999999997</v>
      </c>
      <c r="DS300" s="18">
        <f t="shared" si="962"/>
        <v>500.61299999999994</v>
      </c>
      <c r="DT300" s="18">
        <f t="shared" si="962"/>
        <v>426.82100000000003</v>
      </c>
      <c r="DU300" s="18">
        <f t="shared" si="962"/>
        <v>366.72999999999996</v>
      </c>
      <c r="DV300" s="18">
        <f t="shared" si="962"/>
        <v>221.37948066213403</v>
      </c>
      <c r="DW300" s="18">
        <f t="shared" si="962"/>
        <v>184.73599999999999</v>
      </c>
      <c r="DX300" s="18">
        <f t="shared" si="962"/>
        <v>293.73800000000006</v>
      </c>
      <c r="DY300" s="18">
        <f t="shared" si="962"/>
        <v>292.91599999999994</v>
      </c>
      <c r="DZ300" s="18">
        <f t="shared" si="962"/>
        <v>287.56899999999996</v>
      </c>
      <c r="EA300" s="18">
        <f t="shared" ref="EA300:EB300" si="963">SUM(EA253:EA257)-SUM(EA265:EA267)</f>
        <v>272.75200000000001</v>
      </c>
      <c r="EB300" s="18">
        <f t="shared" si="963"/>
        <v>303.858</v>
      </c>
      <c r="EC300" s="18">
        <f t="shared" ref="EC300" si="964">SUM(EC253:EC257)-SUM(EC265:EC267)</f>
        <v>325.09000000000009</v>
      </c>
      <c r="ED300" s="18">
        <f t="shared" ref="ED300:EP300" si="965">SUM(ED253:ED257)-SUM(ED265:ED267)</f>
        <v>384.47299999999996</v>
      </c>
      <c r="EE300" s="18">
        <f t="shared" si="965"/>
        <v>393.82551460009881</v>
      </c>
      <c r="EF300" s="18">
        <f t="shared" si="965"/>
        <v>412.35566254739092</v>
      </c>
      <c r="EG300" s="18">
        <f t="shared" si="965"/>
        <v>431.51601394057673</v>
      </c>
      <c r="EH300" s="18">
        <f t="shared" si="965"/>
        <v>449.23106822501063</v>
      </c>
      <c r="EI300" s="18">
        <f t="shared" si="965"/>
        <v>473.41987885893877</v>
      </c>
      <c r="EJ300" s="18">
        <f t="shared" si="965"/>
        <v>481.8124216660683</v>
      </c>
      <c r="EK300" s="18">
        <f t="shared" si="965"/>
        <v>489.05804901049282</v>
      </c>
      <c r="EL300" s="18">
        <f t="shared" si="965"/>
        <v>507.67402143591619</v>
      </c>
      <c r="EM300" s="18">
        <f t="shared" si="965"/>
        <v>508.96150145816375</v>
      </c>
      <c r="EN300" s="18">
        <f t="shared" si="965"/>
        <v>507.33879792214498</v>
      </c>
      <c r="EO300" s="18">
        <f t="shared" si="965"/>
        <v>502.82775980417955</v>
      </c>
      <c r="EP300" s="18">
        <f t="shared" si="965"/>
        <v>501.21270738275507</v>
      </c>
      <c r="EQ300" s="18"/>
      <c r="ER300" s="18"/>
      <c r="ES300" s="355">
        <f t="shared" si="838"/>
        <v>295</v>
      </c>
      <c r="ET300"/>
      <c r="EU300"/>
      <c r="EV300"/>
      <c r="EW300"/>
      <c r="EX300"/>
      <c r="EY300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</row>
    <row r="301" spans="1:257" s="4" customFormat="1" ht="12.75" hidden="1" customHeight="1" outlineLevel="2">
      <c r="A301" s="15"/>
      <c r="B301" s="5" t="s">
        <v>63</v>
      </c>
      <c r="C301" s="86"/>
      <c r="D301" s="86"/>
      <c r="E301" s="86">
        <f t="shared" ref="E301:AF301" si="966">E258/E269</f>
        <v>3.2425345800835954</v>
      </c>
      <c r="F301" s="86">
        <f t="shared" si="966"/>
        <v>2.632470396779512</v>
      </c>
      <c r="G301" s="86">
        <f t="shared" si="966"/>
        <v>1.7432747582477981</v>
      </c>
      <c r="H301" s="86">
        <f t="shared" si="966"/>
        <v>1.8279868936306238</v>
      </c>
      <c r="I301" s="86">
        <f t="shared" si="966"/>
        <v>1.6602814000651489</v>
      </c>
      <c r="J301" s="86">
        <f t="shared" si="966"/>
        <v>1.4690717541678622</v>
      </c>
      <c r="K301" s="86">
        <f t="shared" si="966"/>
        <v>2.2338673787271919</v>
      </c>
      <c r="L301" s="86">
        <f t="shared" si="966"/>
        <v>3.3607625421451566</v>
      </c>
      <c r="M301" s="86">
        <f t="shared" si="966"/>
        <v>3.9309081392305676</v>
      </c>
      <c r="N301" s="86">
        <f t="shared" si="966"/>
        <v>2.4520363790998503</v>
      </c>
      <c r="O301" s="86">
        <f t="shared" si="966"/>
        <v>2.2508519713827893</v>
      </c>
      <c r="P301" s="86">
        <f t="shared" si="966"/>
        <v>4.0954543178137985</v>
      </c>
      <c r="Q301" s="86">
        <f t="shared" si="966"/>
        <v>5.5855097730244418</v>
      </c>
      <c r="R301" s="86">
        <f t="shared" si="966"/>
        <v>1.6204658511876864</v>
      </c>
      <c r="S301" s="86">
        <f t="shared" si="966"/>
        <v>2.2018427973805448</v>
      </c>
      <c r="T301" s="86">
        <f t="shared" si="966"/>
        <v>2.2354146369883185</v>
      </c>
      <c r="U301" s="86">
        <f t="shared" si="966"/>
        <v>1.7321020450073865</v>
      </c>
      <c r="V301" s="86">
        <f t="shared" si="966"/>
        <v>2.8060935874620658</v>
      </c>
      <c r="W301" s="86">
        <f t="shared" si="966"/>
        <v>2.2948078967386483</v>
      </c>
      <c r="X301" s="86">
        <f t="shared" si="966"/>
        <v>2.3486688144735601</v>
      </c>
      <c r="Y301" s="86">
        <f t="shared" si="966"/>
        <v>2.7819723927804669</v>
      </c>
      <c r="Z301" s="86">
        <f t="shared" si="966"/>
        <v>2.5168483979145897</v>
      </c>
      <c r="AA301" s="86">
        <f t="shared" si="966"/>
        <v>4.0970736957190201</v>
      </c>
      <c r="AB301" s="86">
        <f t="shared" si="966"/>
        <v>4.708499745516602</v>
      </c>
      <c r="AC301" s="86">
        <f t="shared" si="966"/>
        <v>3.5868780579874273</v>
      </c>
      <c r="AD301" s="86">
        <f t="shared" si="966"/>
        <v>2.609031035424219</v>
      </c>
      <c r="AE301" s="86">
        <f t="shared" si="966"/>
        <v>2.7061631863827658</v>
      </c>
      <c r="AF301" s="86">
        <f t="shared" si="966"/>
        <v>3.0482768222515935</v>
      </c>
      <c r="AG301" s="17"/>
      <c r="AH301" s="86"/>
      <c r="AI301" s="86"/>
      <c r="AJ301" s="86"/>
      <c r="AK301" s="86"/>
      <c r="AL301" s="86">
        <f t="shared" ref="AL301:BQ301" si="967">AL258/AL269</f>
        <v>3.493532831583217</v>
      </c>
      <c r="AM301" s="86">
        <f t="shared" si="967"/>
        <v>3.4743192076496889</v>
      </c>
      <c r="AN301" s="86">
        <f t="shared" si="967"/>
        <v>3.2448999115107746</v>
      </c>
      <c r="AO301" s="86">
        <f t="shared" si="967"/>
        <v>2.632470396779512</v>
      </c>
      <c r="AP301" s="86">
        <f t="shared" si="967"/>
        <v>2.4620918649695627</v>
      </c>
      <c r="AQ301" s="86">
        <f t="shared" si="967"/>
        <v>2.2847059861484849</v>
      </c>
      <c r="AR301" s="86">
        <f t="shared" si="967"/>
        <v>1.6214831563582244</v>
      </c>
      <c r="AS301" s="86">
        <f t="shared" si="967"/>
        <v>1.7432747582477981</v>
      </c>
      <c r="AT301" s="86">
        <f t="shared" si="967"/>
        <v>1.5288086603223079</v>
      </c>
      <c r="AU301" s="86">
        <f t="shared" si="967"/>
        <v>1.8127354559093181</v>
      </c>
      <c r="AV301" s="86">
        <f t="shared" si="967"/>
        <v>1.7747840640784243</v>
      </c>
      <c r="AW301" s="86">
        <f t="shared" si="967"/>
        <v>1.8279868936306238</v>
      </c>
      <c r="AX301" s="86">
        <f t="shared" si="967"/>
        <v>1.665696564885496</v>
      </c>
      <c r="AY301" s="86">
        <f t="shared" si="967"/>
        <v>2.0516544752692374</v>
      </c>
      <c r="AZ301" s="86">
        <f t="shared" si="967"/>
        <v>2.2433207708387375</v>
      </c>
      <c r="BA301" s="86">
        <f t="shared" si="967"/>
        <v>1.6602814000651489</v>
      </c>
      <c r="BB301" s="86">
        <f t="shared" si="967"/>
        <v>1.7987790728807813</v>
      </c>
      <c r="BC301" s="86">
        <f t="shared" si="967"/>
        <v>1.7974497166351817</v>
      </c>
      <c r="BD301" s="86">
        <f t="shared" si="967"/>
        <v>1.6335641617508763</v>
      </c>
      <c r="BE301" s="86">
        <f t="shared" si="967"/>
        <v>1.4690717541678622</v>
      </c>
      <c r="BF301" s="86">
        <f t="shared" si="967"/>
        <v>1.3446078597873716</v>
      </c>
      <c r="BG301" s="86">
        <f t="shared" si="967"/>
        <v>1.4638770735002049</v>
      </c>
      <c r="BH301" s="86">
        <f t="shared" si="967"/>
        <v>1.8264686800192544</v>
      </c>
      <c r="BI301" s="86">
        <f t="shared" si="967"/>
        <v>2.2338673787271919</v>
      </c>
      <c r="BJ301" s="86">
        <f t="shared" si="967"/>
        <v>2.561020010320509</v>
      </c>
      <c r="BK301" s="86">
        <f t="shared" si="967"/>
        <v>3.0548232700699072</v>
      </c>
      <c r="BL301" s="86">
        <f t="shared" si="967"/>
        <v>3.5339622641509436</v>
      </c>
      <c r="BM301" s="86">
        <f t="shared" si="967"/>
        <v>3.3607625421451566</v>
      </c>
      <c r="BN301" s="86">
        <f t="shared" si="967"/>
        <v>3.2007457518776969</v>
      </c>
      <c r="BO301" s="86">
        <f t="shared" si="967"/>
        <v>3.9361173314959275</v>
      </c>
      <c r="BP301" s="86">
        <f t="shared" si="967"/>
        <v>3.1501333453871534</v>
      </c>
      <c r="BQ301" s="86">
        <f t="shared" si="967"/>
        <v>3.9309081392305676</v>
      </c>
      <c r="BR301" s="86">
        <f t="shared" ref="BR301:CW301" si="968">BR258/BR269</f>
        <v>3.3518418778260712</v>
      </c>
      <c r="BS301" s="86">
        <f t="shared" si="968"/>
        <v>2.9320320715036803</v>
      </c>
      <c r="BT301" s="86">
        <f t="shared" si="968"/>
        <v>2.5811346825009229</v>
      </c>
      <c r="BU301" s="86">
        <f t="shared" si="968"/>
        <v>2.4520363790998503</v>
      </c>
      <c r="BV301" s="86">
        <f t="shared" si="968"/>
        <v>3.1170020673592758</v>
      </c>
      <c r="BW301" s="86">
        <f t="shared" si="968"/>
        <v>2.4863363257227684</v>
      </c>
      <c r="BX301" s="86">
        <f t="shared" si="968"/>
        <v>2.1056357528985425</v>
      </c>
      <c r="BY301" s="86">
        <f t="shared" si="968"/>
        <v>2.2508519713827893</v>
      </c>
      <c r="BZ301" s="86">
        <f t="shared" si="968"/>
        <v>2.3209300222671834</v>
      </c>
      <c r="CA301" s="86">
        <f t="shared" si="968"/>
        <v>2.7995870214249075</v>
      </c>
      <c r="CB301" s="86">
        <f t="shared" si="968"/>
        <v>3.6018728095794392</v>
      </c>
      <c r="CC301" s="86">
        <f t="shared" si="968"/>
        <v>4.0954543178137985</v>
      </c>
      <c r="CD301" s="86">
        <f t="shared" si="968"/>
        <v>6.0374858592437706</v>
      </c>
      <c r="CE301" s="86">
        <f t="shared" si="968"/>
        <v>7.0517758116329565</v>
      </c>
      <c r="CF301" s="86">
        <f t="shared" si="968"/>
        <v>6.6370303732617701</v>
      </c>
      <c r="CG301" s="86">
        <f t="shared" si="968"/>
        <v>5.5855097730244418</v>
      </c>
      <c r="CH301" s="86">
        <f t="shared" si="968"/>
        <v>4.7084670515456821</v>
      </c>
      <c r="CI301" s="86">
        <f t="shared" si="968"/>
        <v>4.5683184416977332</v>
      </c>
      <c r="CJ301" s="86">
        <f t="shared" si="968"/>
        <v>3.7353001569352169</v>
      </c>
      <c r="CK301" s="86">
        <f t="shared" si="968"/>
        <v>1.6204658511876864</v>
      </c>
      <c r="CL301" s="86">
        <f t="shared" si="968"/>
        <v>1.5960808034386742</v>
      </c>
      <c r="CM301" s="86">
        <f t="shared" si="968"/>
        <v>1.8730805870860443</v>
      </c>
      <c r="CN301" s="86">
        <f t="shared" si="968"/>
        <v>1.8252312901066887</v>
      </c>
      <c r="CO301" s="86">
        <f t="shared" si="968"/>
        <v>2.2018427973805448</v>
      </c>
      <c r="CP301" s="86">
        <f t="shared" si="968"/>
        <v>2.3411952473842881</v>
      </c>
      <c r="CQ301" s="86">
        <f t="shared" si="968"/>
        <v>2.5781768374755925</v>
      </c>
      <c r="CR301" s="86">
        <f t="shared" si="968"/>
        <v>2.2468982903847001</v>
      </c>
      <c r="CS301" s="86">
        <f t="shared" si="968"/>
        <v>2.2354146369883185</v>
      </c>
      <c r="CT301" s="86">
        <f t="shared" si="968"/>
        <v>1.9894326983694972</v>
      </c>
      <c r="CU301" s="86">
        <f t="shared" si="968"/>
        <v>1.644697482324941</v>
      </c>
      <c r="CV301" s="86">
        <f t="shared" si="968"/>
        <v>1.6501872951459342</v>
      </c>
      <c r="CW301" s="86">
        <f t="shared" si="968"/>
        <v>1.7321020450073865</v>
      </c>
      <c r="CX301" s="86">
        <f t="shared" ref="CX301:DZ301" si="969">CX258/CX269</f>
        <v>1.8120850203061056</v>
      </c>
      <c r="CY301" s="86">
        <f t="shared" si="969"/>
        <v>3.0085878436367413</v>
      </c>
      <c r="CZ301" s="86">
        <f t="shared" si="969"/>
        <v>2.6033520082662651</v>
      </c>
      <c r="DA301" s="86">
        <f t="shared" si="969"/>
        <v>2.8060935874620658</v>
      </c>
      <c r="DB301" s="86">
        <f t="shared" si="969"/>
        <v>3.3539042583325465</v>
      </c>
      <c r="DC301" s="87">
        <f t="shared" si="969"/>
        <v>3.7246556167380458</v>
      </c>
      <c r="DD301" s="87">
        <f t="shared" si="969"/>
        <v>3.3699071051395717</v>
      </c>
      <c r="DE301" s="87">
        <f t="shared" si="969"/>
        <v>2.2948078967386483</v>
      </c>
      <c r="DF301" s="87">
        <f t="shared" si="969"/>
        <v>2.3398165787958001</v>
      </c>
      <c r="DG301" s="87">
        <f t="shared" si="969"/>
        <v>2.5908680818409011</v>
      </c>
      <c r="DH301" s="87">
        <f t="shared" si="969"/>
        <v>2.2790185425627856</v>
      </c>
      <c r="DI301" s="87">
        <f t="shared" si="969"/>
        <v>2.3486688144735601</v>
      </c>
      <c r="DJ301" s="87">
        <f t="shared" si="969"/>
        <v>2.2925008133734983</v>
      </c>
      <c r="DK301" s="87">
        <f t="shared" si="969"/>
        <v>3.0603046592039722</v>
      </c>
      <c r="DL301" s="87">
        <f t="shared" si="969"/>
        <v>2.958249201809386</v>
      </c>
      <c r="DM301" s="87">
        <f t="shared" si="969"/>
        <v>2.7819723927804669</v>
      </c>
      <c r="DN301" s="87">
        <f t="shared" si="969"/>
        <v>2.9061676870599102</v>
      </c>
      <c r="DO301" s="87">
        <f t="shared" si="969"/>
        <v>3.1676670741274555</v>
      </c>
      <c r="DP301" s="87">
        <f t="shared" si="969"/>
        <v>2.888646136013751</v>
      </c>
      <c r="DQ301" s="87">
        <f t="shared" si="969"/>
        <v>2.5168483979145897</v>
      </c>
      <c r="DR301" s="87">
        <f t="shared" si="969"/>
        <v>2.7041586211828643</v>
      </c>
      <c r="DS301" s="87">
        <f t="shared" si="969"/>
        <v>4.0096869447391628</v>
      </c>
      <c r="DT301" s="87">
        <f t="shared" si="969"/>
        <v>4.333847037399388</v>
      </c>
      <c r="DU301" s="87">
        <f t="shared" si="969"/>
        <v>4.0970736957190201</v>
      </c>
      <c r="DV301" s="87">
        <f t="shared" si="969"/>
        <v>3.6123094987646471</v>
      </c>
      <c r="DW301" s="87">
        <f t="shared" si="969"/>
        <v>3.9328491253016198</v>
      </c>
      <c r="DX301" s="87">
        <f t="shared" si="969"/>
        <v>4.7079902880814677</v>
      </c>
      <c r="DY301" s="87">
        <f t="shared" si="969"/>
        <v>4.708499745516602</v>
      </c>
      <c r="DZ301" s="87">
        <f t="shared" si="969"/>
        <v>5.0423650166766691</v>
      </c>
      <c r="EA301" s="87">
        <f t="shared" ref="EA301:EB301" si="970">EA258/EA269</f>
        <v>4.5249173072520792</v>
      </c>
      <c r="EB301" s="87">
        <f t="shared" si="970"/>
        <v>3.7444726274148104</v>
      </c>
      <c r="EC301" s="87">
        <f t="shared" ref="EC301" si="971">EC258/EC269</f>
        <v>3.5868780579874273</v>
      </c>
      <c r="ED301" s="87">
        <f t="shared" ref="ED301:EP301" si="972">ED258/ED269</f>
        <v>3.2784445781168308</v>
      </c>
      <c r="EE301" s="86">
        <f t="shared" si="972"/>
        <v>3.0673308802078467</v>
      </c>
      <c r="EF301" s="86">
        <f t="shared" si="972"/>
        <v>2.7973215970645828</v>
      </c>
      <c r="EG301" s="86">
        <f t="shared" si="972"/>
        <v>2.609031035424219</v>
      </c>
      <c r="EH301" s="86">
        <f t="shared" si="972"/>
        <v>2.594721821701738</v>
      </c>
      <c r="EI301" s="86">
        <f t="shared" si="972"/>
        <v>2.620882030270244</v>
      </c>
      <c r="EJ301" s="86">
        <f t="shared" si="972"/>
        <v>2.6575673696470474</v>
      </c>
      <c r="EK301" s="86">
        <f t="shared" si="972"/>
        <v>2.7061631863827658</v>
      </c>
      <c r="EL301" s="86">
        <f t="shared" si="972"/>
        <v>2.7516387924838872</v>
      </c>
      <c r="EM301" s="86">
        <f t="shared" si="972"/>
        <v>2.864151290770939</v>
      </c>
      <c r="EN301" s="86">
        <f t="shared" si="972"/>
        <v>2.9620170996322757</v>
      </c>
      <c r="EO301" s="86">
        <f t="shared" si="972"/>
        <v>3.0482768222515935</v>
      </c>
      <c r="EP301" s="86">
        <f t="shared" si="972"/>
        <v>3.141747553554795</v>
      </c>
      <c r="EQ301" s="18"/>
      <c r="ER301" s="18"/>
      <c r="ES301" s="355">
        <f t="shared" si="838"/>
        <v>296</v>
      </c>
      <c r="ET301"/>
      <c r="EU301"/>
      <c r="EV301"/>
      <c r="EW301"/>
      <c r="EX301"/>
      <c r="EY30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</row>
    <row r="302" spans="1:257" s="4" customFormat="1" ht="12.75" hidden="1" customHeight="1" outlineLevel="2">
      <c r="A302" s="15"/>
      <c r="B302" s="5" t="s">
        <v>62</v>
      </c>
      <c r="C302" s="85"/>
      <c r="D302" s="85"/>
      <c r="E302" s="84">
        <f t="shared" ref="E302:AF302" si="973">E15/AVERAGE(E253:E253)</f>
        <v>5.4355208240831194</v>
      </c>
      <c r="F302" s="84">
        <f t="shared" si="973"/>
        <v>5.3875486251398232</v>
      </c>
      <c r="G302" s="84">
        <f t="shared" si="973"/>
        <v>5.1876950590875621</v>
      </c>
      <c r="H302" s="84">
        <f t="shared" si="973"/>
        <v>5.1406718497094497</v>
      </c>
      <c r="I302" s="84">
        <f t="shared" si="973"/>
        <v>5.1310779456315796</v>
      </c>
      <c r="J302" s="84">
        <f t="shared" si="973"/>
        <v>4.9586414841492532</v>
      </c>
      <c r="K302" s="84">
        <f t="shared" si="973"/>
        <v>5.5880840980742583</v>
      </c>
      <c r="L302" s="84">
        <f t="shared" si="973"/>
        <v>5.6187001781862511</v>
      </c>
      <c r="M302" s="84">
        <f t="shared" si="973"/>
        <v>6.5739173632999872</v>
      </c>
      <c r="N302" s="84">
        <f t="shared" si="973"/>
        <v>5.6519588786661483</v>
      </c>
      <c r="O302" s="84">
        <f t="shared" si="973"/>
        <v>5.5696798700158094</v>
      </c>
      <c r="P302" s="84">
        <f t="shared" si="973"/>
        <v>4.4202848523960325</v>
      </c>
      <c r="Q302" s="84">
        <f t="shared" si="973"/>
        <v>4.9231213801753508</v>
      </c>
      <c r="R302" s="84">
        <f t="shared" si="973"/>
        <v>4.2310944835376665</v>
      </c>
      <c r="S302" s="84">
        <f t="shared" si="973"/>
        <v>4.7956647509409409</v>
      </c>
      <c r="T302" s="84">
        <f t="shared" si="973"/>
        <v>4.4001680951876807</v>
      </c>
      <c r="U302" s="84">
        <f t="shared" si="973"/>
        <v>7.6746950848899873</v>
      </c>
      <c r="V302" s="84">
        <f t="shared" si="973"/>
        <v>4.1120331950207474</v>
      </c>
      <c r="W302" s="84">
        <f t="shared" si="973"/>
        <v>5.5237199808919959</v>
      </c>
      <c r="X302" s="84">
        <f t="shared" si="973"/>
        <v>5.0795453263474455</v>
      </c>
      <c r="Y302" s="84">
        <f t="shared" si="973"/>
        <v>5.4249531717678856</v>
      </c>
      <c r="Z302" s="84">
        <f t="shared" si="973"/>
        <v>5.2605382082601873</v>
      </c>
      <c r="AA302" s="84">
        <f t="shared" si="973"/>
        <v>6.5507783168352089</v>
      </c>
      <c r="AB302" s="84">
        <f t="shared" si="973"/>
        <v>3.7457048903294257</v>
      </c>
      <c r="AC302" s="84">
        <f t="shared" si="973"/>
        <v>3.70196652091709</v>
      </c>
      <c r="AD302" s="84">
        <f t="shared" si="973"/>
        <v>3.8839531287459375</v>
      </c>
      <c r="AE302" s="84">
        <f t="shared" si="973"/>
        <v>4.0017101228847212</v>
      </c>
      <c r="AF302" s="84">
        <f t="shared" si="973"/>
        <v>4.1836036754636723</v>
      </c>
      <c r="AG302" s="17"/>
      <c r="AH302" s="84"/>
      <c r="AI302" s="84"/>
      <c r="AJ302" s="84"/>
      <c r="AK302" s="84"/>
      <c r="AL302" s="84">
        <f t="shared" ref="AL302:BQ302" si="974">4*AL15/AVERAGE(AG253:AL253)</f>
        <v>5.4865462462156005</v>
      </c>
      <c r="AM302" s="84">
        <f t="shared" si="974"/>
        <v>5.8649537338351392</v>
      </c>
      <c r="AN302" s="84">
        <f t="shared" si="974"/>
        <v>5.3175983436853009</v>
      </c>
      <c r="AO302" s="84">
        <f t="shared" si="974"/>
        <v>5.3913627685209597</v>
      </c>
      <c r="AP302" s="84">
        <f t="shared" si="974"/>
        <v>5.3612011602115679</v>
      </c>
      <c r="AQ302" s="84">
        <f t="shared" si="974"/>
        <v>5.2605816943958841</v>
      </c>
      <c r="AR302" s="84">
        <f t="shared" si="974"/>
        <v>5.2903545919250421</v>
      </c>
      <c r="AS302" s="84">
        <f t="shared" si="974"/>
        <v>4.5131943618154331</v>
      </c>
      <c r="AT302" s="84">
        <f t="shared" si="974"/>
        <v>5.8854409640450323</v>
      </c>
      <c r="AU302" s="84">
        <f t="shared" si="974"/>
        <v>6.2404864218313909</v>
      </c>
      <c r="AV302" s="84">
        <f t="shared" si="974"/>
        <v>6.3497549364320758</v>
      </c>
      <c r="AW302" s="84">
        <f t="shared" si="974"/>
        <v>6.3905201289893929</v>
      </c>
      <c r="AX302" s="84">
        <f t="shared" si="974"/>
        <v>6.5889812968050272</v>
      </c>
      <c r="AY302" s="84">
        <f t="shared" si="974"/>
        <v>6.9003126360362499</v>
      </c>
      <c r="AZ302" s="84">
        <f t="shared" si="974"/>
        <v>6.2158828000016797</v>
      </c>
      <c r="BA302" s="84">
        <f t="shared" si="974"/>
        <v>6.3820471575973974</v>
      </c>
      <c r="BB302" s="84">
        <f t="shared" si="974"/>
        <v>6.3269107292792812</v>
      </c>
      <c r="BC302" s="84">
        <f t="shared" si="974"/>
        <v>5.7092314553292702</v>
      </c>
      <c r="BD302" s="84">
        <f t="shared" si="974"/>
        <v>5.8905628782623252</v>
      </c>
      <c r="BE302" s="84">
        <f t="shared" si="974"/>
        <v>5.5732085149727499</v>
      </c>
      <c r="BF302" s="84">
        <f t="shared" si="974"/>
        <v>4.9661228335847536</v>
      </c>
      <c r="BG302" s="84">
        <f t="shared" si="974"/>
        <v>5.2626598225190673</v>
      </c>
      <c r="BH302" s="84">
        <f t="shared" si="974"/>
        <v>4.5075680206636966</v>
      </c>
      <c r="BI302" s="84">
        <f t="shared" si="974"/>
        <v>4.7016071503503856</v>
      </c>
      <c r="BJ302" s="84">
        <f t="shared" si="974"/>
        <v>5.0431017198100667</v>
      </c>
      <c r="BK302" s="84">
        <f t="shared" si="974"/>
        <v>5.4740923499285215</v>
      </c>
      <c r="BL302" s="84">
        <f t="shared" si="974"/>
        <v>6.0139144053248197</v>
      </c>
      <c r="BM302" s="84">
        <f t="shared" si="974"/>
        <v>7.0529769769634463</v>
      </c>
      <c r="BN302" s="84">
        <f t="shared" si="974"/>
        <v>7.3594823420660092</v>
      </c>
      <c r="BO302" s="84">
        <f t="shared" si="974"/>
        <v>8.1977215751040422</v>
      </c>
      <c r="BP302" s="84">
        <f t="shared" si="974"/>
        <v>7.5176006165262645</v>
      </c>
      <c r="BQ302" s="84">
        <f t="shared" si="974"/>
        <v>4.9865015627528297</v>
      </c>
      <c r="BR302" s="84">
        <f t="shared" ref="BR302:CW302" si="975">4*BR15/AVERAGE(BM253:BR253)</f>
        <v>4.627738647797722</v>
      </c>
      <c r="BS302" s="84">
        <f t="shared" si="975"/>
        <v>4.1261941592159719</v>
      </c>
      <c r="BT302" s="84">
        <f t="shared" si="975"/>
        <v>4.0057793171697185</v>
      </c>
      <c r="BU302" s="84">
        <f t="shared" si="975"/>
        <v>4.0657952129483581</v>
      </c>
      <c r="BV302" s="84">
        <f t="shared" si="975"/>
        <v>3.9815498590286542</v>
      </c>
      <c r="BW302" s="84">
        <f t="shared" si="975"/>
        <v>4.622979664217775</v>
      </c>
      <c r="BX302" s="84">
        <f t="shared" si="975"/>
        <v>5.2504061237371715</v>
      </c>
      <c r="BY302" s="84">
        <f t="shared" si="975"/>
        <v>5.4286186277732265</v>
      </c>
      <c r="BZ302" s="84">
        <f t="shared" si="975"/>
        <v>5.8115518621913482</v>
      </c>
      <c r="CA302" s="84">
        <f t="shared" si="975"/>
        <v>6.0873580830167793</v>
      </c>
      <c r="CB302" s="84">
        <f t="shared" si="975"/>
        <v>6.0872127769191131</v>
      </c>
      <c r="CC302" s="84">
        <f t="shared" si="975"/>
        <v>6.2936959659360641</v>
      </c>
      <c r="CD302" s="84">
        <f t="shared" si="975"/>
        <v>6.5275853532074315</v>
      </c>
      <c r="CE302" s="84">
        <f t="shared" si="975"/>
        <v>6.5037941721865931</v>
      </c>
      <c r="CF302" s="84">
        <f t="shared" si="975"/>
        <v>6.6755293038377044</v>
      </c>
      <c r="CG302" s="84">
        <f t="shared" si="975"/>
        <v>6.9419273539997963</v>
      </c>
      <c r="CH302" s="84">
        <f t="shared" si="975"/>
        <v>6.8823899957218844</v>
      </c>
      <c r="CI302" s="84">
        <f t="shared" si="975"/>
        <v>7.3414188032929477</v>
      </c>
      <c r="CJ302" s="84">
        <f t="shared" si="975"/>
        <v>7.1897592985512961</v>
      </c>
      <c r="CK302" s="84">
        <f t="shared" si="975"/>
        <v>7.0364242523288123</v>
      </c>
      <c r="CL302" s="84">
        <f t="shared" si="975"/>
        <v>6.6141136546966708</v>
      </c>
      <c r="CM302" s="84">
        <f t="shared" si="975"/>
        <v>5.7909813210322483</v>
      </c>
      <c r="CN302" s="84">
        <f t="shared" si="975"/>
        <v>6.0257142090881182</v>
      </c>
      <c r="CO302" s="84">
        <f t="shared" si="975"/>
        <v>5.9128884679013449</v>
      </c>
      <c r="CP302" s="84">
        <f t="shared" si="975"/>
        <v>5.6227369712802053</v>
      </c>
      <c r="CQ302" s="84">
        <f t="shared" si="975"/>
        <v>5.6247051564408874</v>
      </c>
      <c r="CR302" s="84">
        <f t="shared" si="975"/>
        <v>6.0046196719113611</v>
      </c>
      <c r="CS302" s="84">
        <f t="shared" si="975"/>
        <v>6.2351844194895243</v>
      </c>
      <c r="CT302" s="84">
        <f t="shared" si="975"/>
        <v>6.2719678770048599</v>
      </c>
      <c r="CU302" s="84">
        <f t="shared" si="975"/>
        <v>4.9789354570922066</v>
      </c>
      <c r="CV302" s="84">
        <f t="shared" si="975"/>
        <v>3.7798644328563284</v>
      </c>
      <c r="CW302" s="84">
        <f t="shared" si="975"/>
        <v>3.7029593148517792</v>
      </c>
      <c r="CX302" s="84">
        <f t="shared" ref="CX302:EC302" si="976">4*CX15/AVERAGE(CS253:CX253)</f>
        <v>4.3196616376865613</v>
      </c>
      <c r="CY302" s="84">
        <f t="shared" si="976"/>
        <v>5.1546935581716351</v>
      </c>
      <c r="CZ302" s="84">
        <f t="shared" si="976"/>
        <v>6.0367286025605544</v>
      </c>
      <c r="DA302" s="84">
        <f t="shared" si="976"/>
        <v>6.9926731830995319</v>
      </c>
      <c r="DB302" s="84">
        <f t="shared" si="976"/>
        <v>7.0966581866570131</v>
      </c>
      <c r="DC302" s="84">
        <f t="shared" si="976"/>
        <v>6.6013395868014566</v>
      </c>
      <c r="DD302" s="84">
        <f t="shared" si="976"/>
        <v>6.5194578547753581</v>
      </c>
      <c r="DE302" s="84">
        <f t="shared" si="976"/>
        <v>6.6134789256120339</v>
      </c>
      <c r="DF302" s="84">
        <f t="shared" si="976"/>
        <v>6.503749194064766</v>
      </c>
      <c r="DG302" s="84">
        <f t="shared" si="976"/>
        <v>6.7029636279550591</v>
      </c>
      <c r="DH302" s="84">
        <f t="shared" si="976"/>
        <v>6.6719862130379974</v>
      </c>
      <c r="DI302" s="84">
        <f t="shared" si="976"/>
        <v>6.347440295237968</v>
      </c>
      <c r="DJ302" s="84">
        <f t="shared" si="976"/>
        <v>6.1946377005147379</v>
      </c>
      <c r="DK302" s="84">
        <f t="shared" si="976"/>
        <v>5.891761222124968</v>
      </c>
      <c r="DL302" s="84">
        <f t="shared" si="976"/>
        <v>5.6932675109511832</v>
      </c>
      <c r="DM302" s="84">
        <f t="shared" si="976"/>
        <v>5.5733604375817345</v>
      </c>
      <c r="DN302" s="84">
        <f t="shared" si="976"/>
        <v>5.7374131096951704</v>
      </c>
      <c r="DO302" s="84">
        <f t="shared" si="976"/>
        <v>5.8242104485460615</v>
      </c>
      <c r="DP302" s="84">
        <f t="shared" si="976"/>
        <v>6.0018123564889443</v>
      </c>
      <c r="DQ302" s="84">
        <f t="shared" si="976"/>
        <v>6.0475466172649259</v>
      </c>
      <c r="DR302" s="84">
        <f t="shared" si="976"/>
        <v>6.1689717584600032</v>
      </c>
      <c r="DS302" s="84">
        <f t="shared" si="976"/>
        <v>4.8399121217363295</v>
      </c>
      <c r="DT302" s="84">
        <f t="shared" si="976"/>
        <v>3.5547793296952537</v>
      </c>
      <c r="DU302" s="84">
        <f t="shared" si="976"/>
        <v>3.3872284773461923</v>
      </c>
      <c r="DV302" s="84">
        <f t="shared" si="976"/>
        <v>3.2621731370122364</v>
      </c>
      <c r="DW302" s="84">
        <f t="shared" si="976"/>
        <v>2.8668938244135598</v>
      </c>
      <c r="DX302" s="84">
        <f t="shared" si="976"/>
        <v>2.61829271617085</v>
      </c>
      <c r="DY302" s="84">
        <f t="shared" si="976"/>
        <v>3.0565912507656048</v>
      </c>
      <c r="DZ302" s="84">
        <f t="shared" si="976"/>
        <v>3.8609918435971355</v>
      </c>
      <c r="EA302" s="84">
        <f t="shared" si="976"/>
        <v>4.5562124858266868</v>
      </c>
      <c r="EB302" s="84">
        <f t="shared" si="976"/>
        <v>5.3517531995239596</v>
      </c>
      <c r="EC302" s="84">
        <f t="shared" si="976"/>
        <v>5.4669347780014137</v>
      </c>
      <c r="ED302" s="84">
        <f t="shared" ref="ED302:EP302" si="977">4*ED15/AVERAGE(DY253:ED253)</f>
        <v>5.3726522885764512</v>
      </c>
      <c r="EE302" s="84">
        <f t="shared" si="977"/>
        <v>4.9966039873258632</v>
      </c>
      <c r="EF302" s="84">
        <f t="shared" si="977"/>
        <v>4.8695562554627054</v>
      </c>
      <c r="EG302" s="84">
        <f t="shared" si="977"/>
        <v>4.7625160843623817</v>
      </c>
      <c r="EH302" s="84">
        <f t="shared" si="977"/>
        <v>4.6865924324746464</v>
      </c>
      <c r="EI302" s="84">
        <f t="shared" si="977"/>
        <v>4.5500650868744072</v>
      </c>
      <c r="EJ302" s="84">
        <f t="shared" si="977"/>
        <v>4.5320693064568411</v>
      </c>
      <c r="EK302" s="84">
        <f t="shared" si="977"/>
        <v>4.5010575863660494</v>
      </c>
      <c r="EL302" s="84">
        <f t="shared" si="977"/>
        <v>4.5103364317922612</v>
      </c>
      <c r="EM302" s="84">
        <f t="shared" si="977"/>
        <v>4.3355441097909022</v>
      </c>
      <c r="EN302" s="84">
        <f t="shared" si="977"/>
        <v>4.2394549780256945</v>
      </c>
      <c r="EO302" s="84">
        <f t="shared" si="977"/>
        <v>4.2192120051860256</v>
      </c>
      <c r="EP302" s="84">
        <f t="shared" si="977"/>
        <v>4.1753260668772416</v>
      </c>
      <c r="EQ302" s="18"/>
      <c r="ER302" s="18"/>
      <c r="ES302" s="355">
        <f t="shared" si="838"/>
        <v>297</v>
      </c>
      <c r="ET302"/>
      <c r="EU302"/>
      <c r="EV302"/>
      <c r="EW302"/>
      <c r="EX302"/>
      <c r="EY302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</row>
    <row r="303" spans="1:257" s="4" customFormat="1" ht="12.75" hidden="1" customHeight="1" outlineLevel="2">
      <c r="A303" s="15"/>
      <c r="B303" s="5" t="s">
        <v>61</v>
      </c>
      <c r="C303" s="18"/>
      <c r="D303" s="18"/>
      <c r="E303" s="18">
        <f t="shared" ref="E303:AF303" si="978">E253/(E15/E3)</f>
        <v>67.150878786591591</v>
      </c>
      <c r="F303" s="18">
        <f t="shared" si="978"/>
        <v>67.748808483473709</v>
      </c>
      <c r="G303" s="18">
        <f t="shared" si="978"/>
        <v>70.358800168990285</v>
      </c>
      <c r="H303" s="18">
        <f t="shared" si="978"/>
        <v>71.196919527296089</v>
      </c>
      <c r="I303" s="18">
        <f t="shared" si="978"/>
        <v>71.135150131708343</v>
      </c>
      <c r="J303" s="18">
        <f t="shared" si="978"/>
        <v>73.60887072936319</v>
      </c>
      <c r="K303" s="18">
        <f t="shared" si="978"/>
        <v>65.317556714256455</v>
      </c>
      <c r="L303" s="18">
        <f t="shared" si="978"/>
        <v>65.139620978698829</v>
      </c>
      <c r="M303" s="18">
        <f t="shared" si="978"/>
        <v>55.522450287810827</v>
      </c>
      <c r="N303" s="18">
        <f t="shared" si="978"/>
        <v>64.57937996996526</v>
      </c>
      <c r="O303" s="18">
        <f t="shared" si="978"/>
        <v>65.533389443972467</v>
      </c>
      <c r="P303" s="18">
        <f t="shared" si="978"/>
        <v>82.800093709256842</v>
      </c>
      <c r="Q303" s="18">
        <f t="shared" si="978"/>
        <v>74.139955490392452</v>
      </c>
      <c r="R303" s="18">
        <f t="shared" si="978"/>
        <v>86.266095314141822</v>
      </c>
      <c r="S303" s="18">
        <f t="shared" si="978"/>
        <v>76.110407827900104</v>
      </c>
      <c r="T303" s="18">
        <f t="shared" si="978"/>
        <v>83.178640470640701</v>
      </c>
      <c r="U303" s="18">
        <f t="shared" si="978"/>
        <v>47.55889269381079</v>
      </c>
      <c r="V303" s="18">
        <f t="shared" si="978"/>
        <v>88.763874873864779</v>
      </c>
      <c r="W303" s="18">
        <f t="shared" si="978"/>
        <v>66.078657365440549</v>
      </c>
      <c r="X303" s="18">
        <f t="shared" si="978"/>
        <v>72.053693093665146</v>
      </c>
      <c r="Y303" s="18">
        <f t="shared" si="978"/>
        <v>67.281686761740957</v>
      </c>
      <c r="Z303" s="18">
        <f t="shared" si="978"/>
        <v>69.384535488568588</v>
      </c>
      <c r="AA303" s="18">
        <f t="shared" si="978"/>
        <v>55.718569969306735</v>
      </c>
      <c r="AB303" s="18">
        <f t="shared" si="978"/>
        <v>97.711915571600528</v>
      </c>
      <c r="AC303" s="18">
        <f t="shared" si="978"/>
        <v>98.596245519145953</v>
      </c>
      <c r="AD303" s="18">
        <f t="shared" si="978"/>
        <v>93.976417299827787</v>
      </c>
      <c r="AE303" s="18">
        <f t="shared" si="978"/>
        <v>91.211004493469332</v>
      </c>
      <c r="AF303" s="18">
        <f t="shared" si="978"/>
        <v>87.245357905358162</v>
      </c>
      <c r="AG303" s="17"/>
      <c r="AH303" s="18"/>
      <c r="AI303" s="18"/>
      <c r="AJ303" s="18"/>
      <c r="AK303" s="18"/>
      <c r="AL303" s="18">
        <f t="shared" ref="AL303:BQ303" si="979">AL253/(AL15/AL3)</f>
        <v>69.912653142205244</v>
      </c>
      <c r="AM303" s="18">
        <f t="shared" si="979"/>
        <v>61.59902268437569</v>
      </c>
      <c r="AN303" s="18">
        <f t="shared" si="979"/>
        <v>65.127381508591597</v>
      </c>
      <c r="AO303" s="18">
        <f t="shared" si="979"/>
        <v>70.070114314052134</v>
      </c>
      <c r="AP303" s="18">
        <f t="shared" si="979"/>
        <v>70.179059257844813</v>
      </c>
      <c r="AQ303" s="18">
        <f t="shared" si="979"/>
        <v>61.33939481533065</v>
      </c>
      <c r="AR303" s="18">
        <f t="shared" si="979"/>
        <v>72.296965176082608</v>
      </c>
      <c r="AS303" s="18">
        <f t="shared" si="979"/>
        <v>80.976696811629978</v>
      </c>
      <c r="AT303" s="18">
        <f t="shared" si="979"/>
        <v>70.006876002750403</v>
      </c>
      <c r="AU303" s="18">
        <f t="shared" si="979"/>
        <v>63.209006399676277</v>
      </c>
      <c r="AV303" s="18">
        <f t="shared" si="979"/>
        <v>68.997973962407983</v>
      </c>
      <c r="AW303" s="18">
        <f t="shared" si="979"/>
        <v>65.050731707317055</v>
      </c>
      <c r="AX303" s="18">
        <f t="shared" si="979"/>
        <v>67.414594863183879</v>
      </c>
      <c r="AY303" s="18">
        <f t="shared" si="979"/>
        <v>59.673785873230706</v>
      </c>
      <c r="AZ303" s="18">
        <f t="shared" si="979"/>
        <v>64.819694722080371</v>
      </c>
      <c r="BA303" s="18">
        <f t="shared" si="979"/>
        <v>66.982325169666538</v>
      </c>
      <c r="BB303" s="18">
        <f t="shared" si="979"/>
        <v>71.805734428777626</v>
      </c>
      <c r="BC303" s="18">
        <f t="shared" si="979"/>
        <v>77.131627160528893</v>
      </c>
      <c r="BD303" s="18">
        <f t="shared" si="979"/>
        <v>71.310197398344414</v>
      </c>
      <c r="BE303" s="18">
        <f t="shared" si="979"/>
        <v>71.698879250135406</v>
      </c>
      <c r="BF303" s="18">
        <f t="shared" si="979"/>
        <v>75.458229837634534</v>
      </c>
      <c r="BG303" s="18">
        <f t="shared" si="979"/>
        <v>65.694940340945962</v>
      </c>
      <c r="BH303" s="18">
        <f t="shared" si="979"/>
        <v>69.217830512669778</v>
      </c>
      <c r="BI303" s="18">
        <f t="shared" si="979"/>
        <v>70.097584112364004</v>
      </c>
      <c r="BJ303" s="18">
        <f t="shared" si="979"/>
        <v>65.817625042531475</v>
      </c>
      <c r="BK303" s="18">
        <f t="shared" si="979"/>
        <v>58.962051040708488</v>
      </c>
      <c r="BL303" s="18">
        <f t="shared" si="979"/>
        <v>60.575520833333336</v>
      </c>
      <c r="BM303" s="18">
        <f t="shared" si="979"/>
        <v>56.402743679819693</v>
      </c>
      <c r="BN303" s="18">
        <f t="shared" si="979"/>
        <v>60.743912979319944</v>
      </c>
      <c r="BO303" s="18">
        <f t="shared" si="979"/>
        <v>49.944062847036562</v>
      </c>
      <c r="BP303" s="18">
        <f t="shared" si="979"/>
        <v>57.681464720354882</v>
      </c>
      <c r="BQ303" s="18">
        <f t="shared" si="979"/>
        <v>73.378767591200983</v>
      </c>
      <c r="BR303" s="18">
        <f t="shared" ref="BR303:CW303" si="980">BR253/(BR15/BR3)</f>
        <v>86.840421950398394</v>
      </c>
      <c r="BS303" s="18">
        <f t="shared" si="980"/>
        <v>88.13486117906065</v>
      </c>
      <c r="BT303" s="18">
        <f t="shared" si="980"/>
        <v>87.958393612395739</v>
      </c>
      <c r="BU303" s="18">
        <f t="shared" si="980"/>
        <v>68.980446452427799</v>
      </c>
      <c r="BV303" s="18">
        <f t="shared" si="980"/>
        <v>68.563322192988693</v>
      </c>
      <c r="BW303" s="18">
        <f t="shared" si="980"/>
        <v>64.501948843845398</v>
      </c>
      <c r="BX303" s="18">
        <f t="shared" si="980"/>
        <v>71.611528124610956</v>
      </c>
      <c r="BY303" s="18">
        <f t="shared" si="980"/>
        <v>63.096005722245231</v>
      </c>
      <c r="BZ303" s="18">
        <f t="shared" si="980"/>
        <v>61.389974157127646</v>
      </c>
      <c r="CA303" s="18">
        <f t="shared" si="980"/>
        <v>64.886746280344553</v>
      </c>
      <c r="CB303" s="18">
        <f t="shared" si="980"/>
        <v>63.006398494153323</v>
      </c>
      <c r="CC303" s="18">
        <f t="shared" si="980"/>
        <v>74.725747860643139</v>
      </c>
      <c r="CD303" s="18">
        <f t="shared" si="980"/>
        <v>65.33733305091053</v>
      </c>
      <c r="CE303" s="18">
        <f t="shared" si="980"/>
        <v>64.634995955783225</v>
      </c>
      <c r="CF303" s="18">
        <f t="shared" si="980"/>
        <v>66.196777040026618</v>
      </c>
      <c r="CG303" s="18">
        <f t="shared" si="980"/>
        <v>64.162908966167834</v>
      </c>
      <c r="CH303" s="18">
        <f t="shared" si="980"/>
        <v>67.209626137484918</v>
      </c>
      <c r="CI303" s="18">
        <f t="shared" si="980"/>
        <v>59.862393838324806</v>
      </c>
      <c r="CJ303" s="18">
        <f t="shared" si="980"/>
        <v>68.521466810091411</v>
      </c>
      <c r="CK303" s="18">
        <f t="shared" si="980"/>
        <v>74.225591487155754</v>
      </c>
      <c r="CL303" s="18">
        <f t="shared" si="980"/>
        <v>78.369250438018724</v>
      </c>
      <c r="CM303" s="18">
        <f t="shared" si="980"/>
        <v>73.559978096076634</v>
      </c>
      <c r="CN303" s="18">
        <f t="shared" si="980"/>
        <v>69.241816489980394</v>
      </c>
      <c r="CO303" s="18">
        <f t="shared" si="980"/>
        <v>69.559278138342734</v>
      </c>
      <c r="CP303" s="18">
        <f t="shared" si="980"/>
        <v>73.68090692698992</v>
      </c>
      <c r="CQ303" s="18">
        <f t="shared" si="980"/>
        <v>69.406607071978115</v>
      </c>
      <c r="CR303" s="18">
        <f t="shared" si="980"/>
        <v>69.074676996155134</v>
      </c>
      <c r="CS303" s="18">
        <f t="shared" si="980"/>
        <v>72.94714751447188</v>
      </c>
      <c r="CT303" s="18">
        <f t="shared" si="980"/>
        <v>67.930741927105871</v>
      </c>
      <c r="CU303" s="18">
        <f t="shared" si="980"/>
        <v>79.742283298097263</v>
      </c>
      <c r="CV303" s="18">
        <f t="shared" si="980"/>
        <v>75.056043964545708</v>
      </c>
      <c r="CW303" s="18">
        <f t="shared" si="980"/>
        <v>62.682535607108434</v>
      </c>
      <c r="CX303" s="18">
        <f t="shared" ref="CX303:DZ303" si="981">CX253/(CX15/CX3)</f>
        <v>62.241499788667049</v>
      </c>
      <c r="CY303" s="18">
        <f t="shared" si="981"/>
        <v>59.078355790550908</v>
      </c>
      <c r="CZ303" s="18">
        <f t="shared" si="981"/>
        <v>63.065802757228212</v>
      </c>
      <c r="DA303" s="18">
        <f t="shared" si="981"/>
        <v>75.327132498564282</v>
      </c>
      <c r="DB303" s="18">
        <f t="shared" si="981"/>
        <v>63.804285603775057</v>
      </c>
      <c r="DC303" s="18">
        <f t="shared" si="981"/>
        <v>64.503330542714664</v>
      </c>
      <c r="DD303" s="18">
        <f t="shared" si="981"/>
        <v>62.760111474239061</v>
      </c>
      <c r="DE303" s="18">
        <f t="shared" si="981"/>
        <v>60.463245860512508</v>
      </c>
      <c r="DF303" s="18">
        <f t="shared" si="981"/>
        <v>62.212031865113815</v>
      </c>
      <c r="DG303" s="18">
        <f t="shared" si="981"/>
        <v>60.416312329379132</v>
      </c>
      <c r="DH303" s="18">
        <f t="shared" si="981"/>
        <v>67.085366285062562</v>
      </c>
      <c r="DI303" s="18">
        <f t="shared" si="981"/>
        <v>68.82294830169981</v>
      </c>
      <c r="DJ303" s="18">
        <f t="shared" si="981"/>
        <v>63.198775237635161</v>
      </c>
      <c r="DK303" s="18">
        <f t="shared" si="981"/>
        <v>64.763016978226403</v>
      </c>
      <c r="DL303" s="18">
        <f t="shared" si="981"/>
        <v>67.411398755291913</v>
      </c>
      <c r="DM303" s="18">
        <f t="shared" si="981"/>
        <v>67.410544367362007</v>
      </c>
      <c r="DN303" s="18">
        <f t="shared" si="981"/>
        <v>65.944915938101957</v>
      </c>
      <c r="DO303" s="18">
        <f t="shared" si="981"/>
        <v>62.869749168933197</v>
      </c>
      <c r="DP303" s="18">
        <f t="shared" si="981"/>
        <v>67.458768999051571</v>
      </c>
      <c r="DQ303" s="18">
        <f t="shared" si="981"/>
        <v>65.865162562256486</v>
      </c>
      <c r="DR303" s="18">
        <f t="shared" si="981"/>
        <v>65.363049966862903</v>
      </c>
      <c r="DS303" s="18">
        <f t="shared" si="981"/>
        <v>69.183847775218581</v>
      </c>
      <c r="DT303" s="18">
        <f t="shared" si="981"/>
        <v>77.557894318269703</v>
      </c>
      <c r="DU303" s="18">
        <f t="shared" si="981"/>
        <v>78.981078855378669</v>
      </c>
      <c r="DV303" s="18">
        <f t="shared" si="981"/>
        <v>74.946047007889419</v>
      </c>
      <c r="DW303" s="18">
        <f t="shared" si="981"/>
        <v>83.920125782429878</v>
      </c>
      <c r="DX303" s="18">
        <f t="shared" si="981"/>
        <v>111.88266031992293</v>
      </c>
      <c r="DY303" s="18">
        <f t="shared" si="981"/>
        <v>114.31848123080314</v>
      </c>
      <c r="DZ303" s="18">
        <f t="shared" si="981"/>
        <v>84.663745780074564</v>
      </c>
      <c r="EA303" s="18">
        <f t="shared" ref="EA303:EB303" si="982">EA253/(EA15/EA3)</f>
        <v>77.880480068153659</v>
      </c>
      <c r="EB303" s="18">
        <f t="shared" si="982"/>
        <v>82.895144560392254</v>
      </c>
      <c r="EC303" s="18">
        <f t="shared" ref="EC303:ED303" si="983">EC253/(EC15/EC3)</f>
        <v>83.169088303556549</v>
      </c>
      <c r="ED303" s="18">
        <f t="shared" si="983"/>
        <v>87.967436101836327</v>
      </c>
      <c r="EE303" s="57">
        <f t="shared" ref="EE303:EP303" si="984">ED303</f>
        <v>87.967436101836327</v>
      </c>
      <c r="EF303" s="57">
        <f t="shared" si="984"/>
        <v>87.967436101836327</v>
      </c>
      <c r="EG303" s="57">
        <f t="shared" si="984"/>
        <v>87.967436101836327</v>
      </c>
      <c r="EH303" s="57">
        <f t="shared" si="984"/>
        <v>87.967436101836327</v>
      </c>
      <c r="EI303" s="57">
        <f t="shared" si="984"/>
        <v>87.967436101836327</v>
      </c>
      <c r="EJ303" s="57">
        <f t="shared" si="984"/>
        <v>87.967436101836327</v>
      </c>
      <c r="EK303" s="57">
        <f t="shared" si="984"/>
        <v>87.967436101836327</v>
      </c>
      <c r="EL303" s="57">
        <f t="shared" si="984"/>
        <v>87.967436101836327</v>
      </c>
      <c r="EM303" s="57">
        <f t="shared" si="984"/>
        <v>87.967436101836327</v>
      </c>
      <c r="EN303" s="57">
        <f t="shared" si="984"/>
        <v>87.967436101836327</v>
      </c>
      <c r="EO303" s="57">
        <f t="shared" si="984"/>
        <v>87.967436101836327</v>
      </c>
      <c r="EP303" s="57">
        <f t="shared" si="984"/>
        <v>87.967436101836327</v>
      </c>
      <c r="EQ303" s="18"/>
      <c r="ER303" s="18"/>
      <c r="ES303" s="355">
        <f t="shared" si="838"/>
        <v>298</v>
      </c>
      <c r="ET303"/>
      <c r="EU303"/>
      <c r="EV303"/>
      <c r="EW303"/>
      <c r="EX303"/>
      <c r="EY303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</row>
    <row r="304" spans="1:257" s="4" customFormat="1" ht="12.75" hidden="1" customHeight="1" outlineLevel="2">
      <c r="A304" s="15"/>
      <c r="B304" s="5" t="s">
        <v>60</v>
      </c>
      <c r="C304" s="18"/>
      <c r="D304" s="18"/>
      <c r="E304" s="83">
        <f t="shared" ref="E304:AF304" si="985">-E22/AVERAGE(D254:E254)</f>
        <v>11.042502550153008</v>
      </c>
      <c r="F304" s="83">
        <f t="shared" si="985"/>
        <v>11.046660283118966</v>
      </c>
      <c r="G304" s="83">
        <f t="shared" si="985"/>
        <v>9.349122110901698</v>
      </c>
      <c r="H304" s="83">
        <f t="shared" si="985"/>
        <v>12.668800353161902</v>
      </c>
      <c r="I304" s="83">
        <f t="shared" si="985"/>
        <v>15.106089620834927</v>
      </c>
      <c r="J304" s="83">
        <f t="shared" si="985"/>
        <v>15.367051509769093</v>
      </c>
      <c r="K304" s="83">
        <f t="shared" si="985"/>
        <v>13.138689017158219</v>
      </c>
      <c r="L304" s="83">
        <f t="shared" si="985"/>
        <v>12.481362607069016</v>
      </c>
      <c r="M304" s="83">
        <f t="shared" si="985"/>
        <v>15.85863970214238</v>
      </c>
      <c r="N304" s="83">
        <f t="shared" si="985"/>
        <v>16.182658909343523</v>
      </c>
      <c r="O304" s="83">
        <f t="shared" si="985"/>
        <v>15.342198739010747</v>
      </c>
      <c r="P304" s="83">
        <f t="shared" si="985"/>
        <v>19.26778754122558</v>
      </c>
      <c r="Q304" s="83">
        <f t="shared" si="985"/>
        <v>22.982557725622346</v>
      </c>
      <c r="R304" s="83">
        <f t="shared" si="985"/>
        <v>27.868191583470246</v>
      </c>
      <c r="S304" s="83">
        <f t="shared" si="985"/>
        <v>31.178954981016094</v>
      </c>
      <c r="T304" s="83">
        <f t="shared" si="985"/>
        <v>34.916890252719185</v>
      </c>
      <c r="U304" s="83">
        <f t="shared" si="985"/>
        <v>25.997044499556676</v>
      </c>
      <c r="V304" s="83">
        <f t="shared" si="985"/>
        <v>24.494887943262412</v>
      </c>
      <c r="W304" s="83">
        <f t="shared" si="985"/>
        <v>29.220787453097365</v>
      </c>
      <c r="X304" s="83">
        <f t="shared" si="985"/>
        <v>26.28709154252763</v>
      </c>
      <c r="Y304" s="83">
        <f t="shared" si="985"/>
        <v>22.103732335975852</v>
      </c>
      <c r="Z304" s="83">
        <f t="shared" si="985"/>
        <v>20.603176718416048</v>
      </c>
      <c r="AA304" s="83">
        <f t="shared" si="985"/>
        <v>14.505366642550111</v>
      </c>
      <c r="AB304" s="83">
        <f t="shared" si="985"/>
        <v>6.798416519794193</v>
      </c>
      <c r="AC304" s="83">
        <f t="shared" si="985"/>
        <v>9.5434712020464278</v>
      </c>
      <c r="AD304" s="83">
        <f t="shared" si="985"/>
        <v>10.734467540518551</v>
      </c>
      <c r="AE304" s="83">
        <f t="shared" si="985"/>
        <v>10.756968710795327</v>
      </c>
      <c r="AF304" s="83">
        <f t="shared" si="985"/>
        <v>10.871123095460298</v>
      </c>
      <c r="AG304" s="17"/>
      <c r="AH304" s="18"/>
      <c r="AI304" s="18"/>
      <c r="AJ304" s="18"/>
      <c r="AK304" s="18"/>
      <c r="AL304" s="83">
        <f t="shared" ref="AL304:BQ304" si="986">-4*AL22/AVERAGE(AK254:AL254)</f>
        <v>11.074241552248623</v>
      </c>
      <c r="AM304" s="83">
        <f t="shared" si="986"/>
        <v>12.009256057664174</v>
      </c>
      <c r="AN304" s="83">
        <f t="shared" si="986"/>
        <v>10.471554547745024</v>
      </c>
      <c r="AO304" s="83">
        <f t="shared" si="986"/>
        <v>10.40280460756958</v>
      </c>
      <c r="AP304" s="83">
        <f t="shared" si="986"/>
        <v>9.6957313468132913</v>
      </c>
      <c r="AQ304" s="83">
        <f t="shared" si="986"/>
        <v>8.9881088657867068</v>
      </c>
      <c r="AR304" s="83">
        <f t="shared" si="986"/>
        <v>9.5606614112670627</v>
      </c>
      <c r="AS304" s="83">
        <f t="shared" si="986"/>
        <v>8.0020293237278715</v>
      </c>
      <c r="AT304" s="83">
        <f t="shared" si="986"/>
        <v>10.36345948049421</v>
      </c>
      <c r="AU304" s="83">
        <f t="shared" si="986"/>
        <v>10.204011434680549</v>
      </c>
      <c r="AV304" s="83">
        <f t="shared" si="986"/>
        <v>10.819341328764516</v>
      </c>
      <c r="AW304" s="83">
        <f t="shared" si="986"/>
        <v>13.709859677975542</v>
      </c>
      <c r="AX304" s="83">
        <f t="shared" si="986"/>
        <v>15.144871718907389</v>
      </c>
      <c r="AY304" s="83">
        <f t="shared" si="986"/>
        <v>16.216739124175856</v>
      </c>
      <c r="AZ304" s="83">
        <f t="shared" si="986"/>
        <v>14.746649858869311</v>
      </c>
      <c r="BA304" s="83">
        <f t="shared" si="986"/>
        <v>15.592007532168633</v>
      </c>
      <c r="BB304" s="83">
        <f t="shared" si="986"/>
        <v>15.074148888998375</v>
      </c>
      <c r="BC304" s="83">
        <f t="shared" si="986"/>
        <v>15.102203665042914</v>
      </c>
      <c r="BD304" s="83">
        <f t="shared" si="986"/>
        <v>16.206153778384685</v>
      </c>
      <c r="BE304" s="83">
        <f t="shared" si="986"/>
        <v>15.822401282657395</v>
      </c>
      <c r="BF304" s="83">
        <f t="shared" si="986"/>
        <v>13.22780291315885</v>
      </c>
      <c r="BG304" s="83">
        <f t="shared" si="986"/>
        <v>14.406463316564118</v>
      </c>
      <c r="BH304" s="83">
        <f t="shared" si="986"/>
        <v>11.163015561263032</v>
      </c>
      <c r="BI304" s="83">
        <f t="shared" si="986"/>
        <v>11.69982575024201</v>
      </c>
      <c r="BJ304" s="83">
        <f t="shared" si="986"/>
        <v>12.368488953394614</v>
      </c>
      <c r="BK304" s="83">
        <f t="shared" si="986"/>
        <v>12.342489200423833</v>
      </c>
      <c r="BL304" s="83">
        <f t="shared" si="986"/>
        <v>12.424075230059804</v>
      </c>
      <c r="BM304" s="83">
        <f t="shared" si="986"/>
        <v>13.816615287329066</v>
      </c>
      <c r="BN304" s="83">
        <f t="shared" si="986"/>
        <v>14.802817455632944</v>
      </c>
      <c r="BO304" s="83">
        <f t="shared" si="986"/>
        <v>16.132585031451278</v>
      </c>
      <c r="BP304" s="83">
        <f t="shared" si="986"/>
        <v>15.203694202154953</v>
      </c>
      <c r="BQ304" s="83">
        <f t="shared" si="986"/>
        <v>11.447860691005115</v>
      </c>
      <c r="BR304" s="83">
        <f t="shared" ref="BR304:CW304" si="987">-4*BR22/AVERAGE(BQ254:BR254)</f>
        <v>15.930099178002775</v>
      </c>
      <c r="BS304" s="83">
        <f t="shared" si="987"/>
        <v>14.96968882575394</v>
      </c>
      <c r="BT304" s="83">
        <f t="shared" si="987"/>
        <v>13.639754754846907</v>
      </c>
      <c r="BU304" s="83">
        <f t="shared" si="987"/>
        <v>13.98168772107125</v>
      </c>
      <c r="BV304" s="83">
        <f t="shared" si="987"/>
        <v>14.563683323975296</v>
      </c>
      <c r="BW304" s="83">
        <f t="shared" si="987"/>
        <v>15.837371104815864</v>
      </c>
      <c r="BX304" s="83">
        <f t="shared" si="987"/>
        <v>16.163971760419042</v>
      </c>
      <c r="BY304" s="83">
        <f t="shared" si="987"/>
        <v>15.953803121898403</v>
      </c>
      <c r="BZ304" s="83">
        <f t="shared" si="987"/>
        <v>16.820572607223731</v>
      </c>
      <c r="CA304" s="83">
        <f t="shared" si="987"/>
        <v>19.176830661002242</v>
      </c>
      <c r="CB304" s="83">
        <f t="shared" si="987"/>
        <v>19.882657625841688</v>
      </c>
      <c r="CC304" s="83">
        <f t="shared" si="987"/>
        <v>21.818409156487448</v>
      </c>
      <c r="CD304" s="83">
        <f t="shared" si="987"/>
        <v>21.847853302894173</v>
      </c>
      <c r="CE304" s="83">
        <f t="shared" si="987"/>
        <v>22.487533808704203</v>
      </c>
      <c r="CF304" s="83">
        <f t="shared" si="987"/>
        <v>23.778598869503508</v>
      </c>
      <c r="CG304" s="83">
        <f t="shared" si="987"/>
        <v>26.496318292653484</v>
      </c>
      <c r="CH304" s="83">
        <f t="shared" si="987"/>
        <v>26.175048288380534</v>
      </c>
      <c r="CI304" s="83">
        <f t="shared" si="987"/>
        <v>27.475632460847663</v>
      </c>
      <c r="CJ304" s="83">
        <f t="shared" si="987"/>
        <v>27.98224571110056</v>
      </c>
      <c r="CK304" s="83">
        <f t="shared" si="987"/>
        <v>30.784357895152844</v>
      </c>
      <c r="CL304" s="83">
        <f t="shared" si="987"/>
        <v>30.344685948998801</v>
      </c>
      <c r="CM304" s="83">
        <f t="shared" si="987"/>
        <v>30.424008999561458</v>
      </c>
      <c r="CN304" s="83">
        <f t="shared" si="987"/>
        <v>33.665913308711389</v>
      </c>
      <c r="CO304" s="83">
        <f t="shared" si="987"/>
        <v>32.574735415254679</v>
      </c>
      <c r="CP304" s="83">
        <f t="shared" si="987"/>
        <v>32.305110289080694</v>
      </c>
      <c r="CQ304" s="83">
        <f t="shared" si="987"/>
        <v>32.37917954929398</v>
      </c>
      <c r="CR304" s="83">
        <f t="shared" si="987"/>
        <v>33.548142369874114</v>
      </c>
      <c r="CS304" s="83">
        <f t="shared" si="987"/>
        <v>39.735910615900771</v>
      </c>
      <c r="CT304" s="83">
        <f t="shared" si="987"/>
        <v>35.255739626058698</v>
      </c>
      <c r="CU304" s="83">
        <f t="shared" si="987"/>
        <v>25.17481982574191</v>
      </c>
      <c r="CV304" s="83">
        <f t="shared" si="987"/>
        <v>20.177564102564101</v>
      </c>
      <c r="CW304" s="83">
        <f t="shared" si="987"/>
        <v>17.431820192903285</v>
      </c>
      <c r="CX304" s="83">
        <f t="shared" ref="CX304:DZ304" si="988">-4*CX22/AVERAGE(CW254:CX254)</f>
        <v>18.679195986519275</v>
      </c>
      <c r="CY304" s="83">
        <f t="shared" si="988"/>
        <v>21.833409194355941</v>
      </c>
      <c r="CZ304" s="83">
        <f t="shared" si="988"/>
        <v>25.552953282108067</v>
      </c>
      <c r="DA304" s="83">
        <f t="shared" si="988"/>
        <v>30.303473828345236</v>
      </c>
      <c r="DB304" s="83">
        <f t="shared" si="988"/>
        <v>30.291260353807679</v>
      </c>
      <c r="DC304" s="83">
        <f t="shared" si="988"/>
        <v>30.358253261463947</v>
      </c>
      <c r="DD304" s="83">
        <f t="shared" si="988"/>
        <v>30.564366675813158</v>
      </c>
      <c r="DE304" s="83">
        <f t="shared" si="988"/>
        <v>30.734702568768267</v>
      </c>
      <c r="DF304" s="83">
        <f t="shared" si="988"/>
        <v>27.606968247524577</v>
      </c>
      <c r="DG304" s="83">
        <f t="shared" si="988"/>
        <v>29.801806893456455</v>
      </c>
      <c r="DH304" s="83">
        <f t="shared" si="988"/>
        <v>28.153744623717088</v>
      </c>
      <c r="DI304" s="83">
        <f t="shared" si="988"/>
        <v>23.986433952652884</v>
      </c>
      <c r="DJ304" s="83">
        <f t="shared" si="988"/>
        <v>23.740159031825431</v>
      </c>
      <c r="DK304" s="83">
        <f t="shared" si="988"/>
        <v>22.904331111455594</v>
      </c>
      <c r="DL304" s="83">
        <f t="shared" si="988"/>
        <v>21.309424668214117</v>
      </c>
      <c r="DM304" s="83">
        <f t="shared" si="988"/>
        <v>21.57490367735905</v>
      </c>
      <c r="DN304" s="83">
        <f t="shared" si="988"/>
        <v>20.367151626468171</v>
      </c>
      <c r="DO304" s="83">
        <f t="shared" si="988"/>
        <v>19.482948205554766</v>
      </c>
      <c r="DP304" s="83">
        <f t="shared" si="988"/>
        <v>20.001611032662233</v>
      </c>
      <c r="DQ304" s="83">
        <f t="shared" si="988"/>
        <v>20.347515894790838</v>
      </c>
      <c r="DR304" s="83">
        <f t="shared" si="988"/>
        <v>20.431603491019015</v>
      </c>
      <c r="DS304" s="83">
        <f t="shared" si="988"/>
        <v>15.974268428621267</v>
      </c>
      <c r="DT304" s="83">
        <f t="shared" si="988"/>
        <v>11.142637611590345</v>
      </c>
      <c r="DU304" s="83">
        <f t="shared" si="988"/>
        <v>10.240968919539513</v>
      </c>
      <c r="DV304" s="83">
        <f t="shared" si="988"/>
        <v>8.3804493477776774</v>
      </c>
      <c r="DW304" s="83">
        <f t="shared" si="988"/>
        <v>6.8482585999509507</v>
      </c>
      <c r="DX304" s="83">
        <f t="shared" si="988"/>
        <v>5.6151995482218968</v>
      </c>
      <c r="DY304" s="83">
        <f t="shared" si="988"/>
        <v>6.0240036965364725</v>
      </c>
      <c r="DZ304" s="83">
        <f t="shared" si="988"/>
        <v>7.8690848099294355</v>
      </c>
      <c r="EA304" s="83">
        <f t="shared" ref="EA304:EC304" si="989">-4*EA22/AVERAGE(DZ254:EA254)</f>
        <v>9.2125340916585525</v>
      </c>
      <c r="EB304" s="83">
        <f t="shared" si="989"/>
        <v>9.9958679215941828</v>
      </c>
      <c r="EC304" s="83">
        <f t="shared" si="989"/>
        <v>10.662893177604344</v>
      </c>
      <c r="ED304" s="83">
        <f t="shared" ref="ED304:EP304" si="990">-4*ED22/AVERAGE(EC254:ED254)</f>
        <v>10.803431425779131</v>
      </c>
      <c r="EE304" s="83">
        <f t="shared" si="990"/>
        <v>10.653582705840128</v>
      </c>
      <c r="EF304" s="83">
        <f t="shared" si="990"/>
        <v>10.826654220851768</v>
      </c>
      <c r="EG304" s="83">
        <f t="shared" si="990"/>
        <v>10.837877755152386</v>
      </c>
      <c r="EH304" s="83">
        <f t="shared" si="990"/>
        <v>10.850550633638131</v>
      </c>
      <c r="EI304" s="83">
        <f t="shared" si="990"/>
        <v>10.608285415178623</v>
      </c>
      <c r="EJ304" s="83">
        <f t="shared" si="990"/>
        <v>10.726942670677994</v>
      </c>
      <c r="EK304" s="83">
        <f t="shared" si="990"/>
        <v>10.842651205200738</v>
      </c>
      <c r="EL304" s="83">
        <f t="shared" si="990"/>
        <v>10.921888536373947</v>
      </c>
      <c r="EM304" s="83">
        <f t="shared" si="990"/>
        <v>10.623295216999049</v>
      </c>
      <c r="EN304" s="83">
        <f t="shared" si="990"/>
        <v>10.614844434036181</v>
      </c>
      <c r="EO304" s="83">
        <f t="shared" si="990"/>
        <v>10.722936704324081</v>
      </c>
      <c r="EP304" s="83">
        <f t="shared" si="990"/>
        <v>10.731491267477869</v>
      </c>
      <c r="EQ304" s="18"/>
      <c r="ER304" s="18"/>
      <c r="ES304" s="355">
        <f t="shared" si="838"/>
        <v>299</v>
      </c>
      <c r="ET304"/>
      <c r="EU304"/>
      <c r="EV304"/>
      <c r="EW304"/>
      <c r="EX304"/>
      <c r="EY304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</row>
    <row r="305" spans="1:257" s="4" customFormat="1" ht="12.75" hidden="1" customHeight="1" outlineLevel="2">
      <c r="A305" s="15"/>
      <c r="B305" s="5" t="s">
        <v>59</v>
      </c>
      <c r="C305" s="18"/>
      <c r="D305" s="18"/>
      <c r="E305" s="18">
        <f t="shared" ref="E305:AF305" si="991">E254/(-E22/E3)</f>
        <v>33.05410149033132</v>
      </c>
      <c r="F305" s="18">
        <f t="shared" si="991"/>
        <v>35.905368111813409</v>
      </c>
      <c r="G305" s="18">
        <f t="shared" si="991"/>
        <v>37.428102304015454</v>
      </c>
      <c r="H305" s="18">
        <f t="shared" si="991"/>
        <v>26.965685762074013</v>
      </c>
      <c r="I305" s="18">
        <f t="shared" si="991"/>
        <v>25.963023463023461</v>
      </c>
      <c r="J305" s="18">
        <f t="shared" si="991"/>
        <v>26.790742228361069</v>
      </c>
      <c r="K305" s="18">
        <f t="shared" si="991"/>
        <v>27.663030722474652</v>
      </c>
      <c r="L305" s="18">
        <f t="shared" si="991"/>
        <v>29.561036559777619</v>
      </c>
      <c r="M305" s="18">
        <f t="shared" si="991"/>
        <v>22.058237156624774</v>
      </c>
      <c r="N305" s="18">
        <f t="shared" si="991"/>
        <v>22.044797823561449</v>
      </c>
      <c r="O305" s="18">
        <f t="shared" si="991"/>
        <v>23.802212208822787</v>
      </c>
      <c r="P305" s="18">
        <f t="shared" si="991"/>
        <v>18.247603635005603</v>
      </c>
      <c r="Q305" s="18">
        <f t="shared" si="991"/>
        <v>16.06515278864839</v>
      </c>
      <c r="R305" s="18">
        <f t="shared" si="991"/>
        <v>14.435851158544233</v>
      </c>
      <c r="S305" s="18">
        <f t="shared" si="991"/>
        <v>12.337344912288025</v>
      </c>
      <c r="T305" s="18">
        <f t="shared" si="991"/>
        <v>11.147738127446704</v>
      </c>
      <c r="U305" s="18">
        <f t="shared" si="991"/>
        <v>16.137379171535393</v>
      </c>
      <c r="V305" s="18">
        <f t="shared" si="991"/>
        <v>14.677700300007597</v>
      </c>
      <c r="W305" s="18">
        <f t="shared" si="991"/>
        <v>13.896547163526536</v>
      </c>
      <c r="X305" s="18">
        <f t="shared" si="991"/>
        <v>16.470846781795021</v>
      </c>
      <c r="Y305" s="18">
        <f t="shared" si="991"/>
        <v>17.506827622238728</v>
      </c>
      <c r="Z305" s="18">
        <f t="shared" si="991"/>
        <v>19.293364585116166</v>
      </c>
      <c r="AA305" s="18">
        <f t="shared" si="991"/>
        <v>27.571356143749163</v>
      </c>
      <c r="AB305" s="18">
        <f t="shared" si="991"/>
        <v>52.899135339705126</v>
      </c>
      <c r="AC305" s="18">
        <f t="shared" si="991"/>
        <v>40.129468934920673</v>
      </c>
      <c r="AD305" s="18">
        <f t="shared" si="991"/>
        <v>35.752949557789577</v>
      </c>
      <c r="AE305" s="18">
        <f t="shared" si="991"/>
        <v>35.377665419782495</v>
      </c>
      <c r="AF305" s="18">
        <f t="shared" si="991"/>
        <v>34.175681554479205</v>
      </c>
      <c r="AG305" s="17"/>
      <c r="AH305" s="18"/>
      <c r="AI305" s="18"/>
      <c r="AJ305" s="18"/>
      <c r="AK305" s="18"/>
      <c r="AL305" s="18">
        <f t="shared" ref="AL305:BQ305" si="992">AL254/(-AL22/AL3)</f>
        <v>34.320365860901582</v>
      </c>
      <c r="AM305" s="18">
        <f t="shared" si="992"/>
        <v>29.90591612183065</v>
      </c>
      <c r="AN305" s="18">
        <f t="shared" si="992"/>
        <v>36.671850939328614</v>
      </c>
      <c r="AO305" s="18">
        <f t="shared" si="992"/>
        <v>35.424850985786335</v>
      </c>
      <c r="AP305" s="18">
        <f t="shared" si="992"/>
        <v>38.219637839525447</v>
      </c>
      <c r="AQ305" s="18">
        <f t="shared" si="992"/>
        <v>40.263453381019708</v>
      </c>
      <c r="AR305" s="18">
        <f t="shared" si="992"/>
        <v>36.771503267973856</v>
      </c>
      <c r="AS305" s="18">
        <f t="shared" si="992"/>
        <v>45.097078514911729</v>
      </c>
      <c r="AT305" s="18">
        <f t="shared" si="992"/>
        <v>37.63220246700336</v>
      </c>
      <c r="AU305" s="18">
        <f t="shared" si="992"/>
        <v>35.218746014103239</v>
      </c>
      <c r="AV305" s="18">
        <f t="shared" si="992"/>
        <v>33.278389696308544</v>
      </c>
      <c r="AW305" s="18">
        <f t="shared" si="992"/>
        <v>24.08723647958394</v>
      </c>
      <c r="AX305" s="18">
        <f t="shared" si="992"/>
        <v>24.24394366197183</v>
      </c>
      <c r="AY305" s="18">
        <f t="shared" si="992"/>
        <v>22.873577911287228</v>
      </c>
      <c r="AZ305" s="18">
        <f t="shared" si="992"/>
        <v>25.159102059020295</v>
      </c>
      <c r="BA305" s="18">
        <f t="shared" si="992"/>
        <v>24.245028313786534</v>
      </c>
      <c r="BB305" s="18">
        <f t="shared" si="992"/>
        <v>25.204078964570531</v>
      </c>
      <c r="BC305" s="18">
        <f t="shared" si="992"/>
        <v>24.501118183382076</v>
      </c>
      <c r="BD305" s="18">
        <f t="shared" si="992"/>
        <v>23.001304688179527</v>
      </c>
      <c r="BE305" s="18">
        <f t="shared" si="992"/>
        <v>24.287472198549136</v>
      </c>
      <c r="BF305" s="18">
        <f t="shared" si="992"/>
        <v>28.659847137876092</v>
      </c>
      <c r="BG305" s="18">
        <f t="shared" si="992"/>
        <v>24.758388634451816</v>
      </c>
      <c r="BH305" s="18">
        <f t="shared" si="992"/>
        <v>32.591665764400169</v>
      </c>
      <c r="BI305" s="18">
        <f t="shared" si="992"/>
        <v>30.676410236043274</v>
      </c>
      <c r="BJ305" s="18">
        <f t="shared" si="992"/>
        <v>29.293609919553564</v>
      </c>
      <c r="BK305" s="18">
        <f t="shared" si="992"/>
        <v>29.632239318496996</v>
      </c>
      <c r="BL305" s="18">
        <f t="shared" si="992"/>
        <v>29.505030859395262</v>
      </c>
      <c r="BM305" s="18">
        <f t="shared" si="992"/>
        <v>26.94618808425918</v>
      </c>
      <c r="BN305" s="18">
        <f t="shared" si="992"/>
        <v>24.679157008272547</v>
      </c>
      <c r="BO305" s="18">
        <f t="shared" si="992"/>
        <v>23.42541746049535</v>
      </c>
      <c r="BP305" s="18">
        <f t="shared" si="992"/>
        <v>25.059395248380131</v>
      </c>
      <c r="BQ305" s="18">
        <f t="shared" si="992"/>
        <v>27.962576782119445</v>
      </c>
      <c r="BR305" s="18">
        <f t="shared" ref="BR305:CW305" si="993">BR254/(-BR22/BR3)</f>
        <v>23.670590192571645</v>
      </c>
      <c r="BS305" s="18">
        <f t="shared" si="993"/>
        <v>25.251187459605855</v>
      </c>
      <c r="BT305" s="18">
        <f t="shared" si="993"/>
        <v>26.497527051251591</v>
      </c>
      <c r="BU305" s="18">
        <f t="shared" si="993"/>
        <v>23.951195818106118</v>
      </c>
      <c r="BV305" s="18">
        <f t="shared" si="993"/>
        <v>24.986281089617055</v>
      </c>
      <c r="BW305" s="18">
        <f t="shared" si="993"/>
        <v>22.781014962279489</v>
      </c>
      <c r="BX305" s="18">
        <f t="shared" si="993"/>
        <v>22.359208746618577</v>
      </c>
      <c r="BY305" s="18">
        <f t="shared" si="993"/>
        <v>23.448511446927881</v>
      </c>
      <c r="BZ305" s="18">
        <f t="shared" si="993"/>
        <v>21.650867446497688</v>
      </c>
      <c r="CA305" s="18">
        <f t="shared" si="993"/>
        <v>18.826031443544544</v>
      </c>
      <c r="CB305" s="18">
        <f t="shared" si="993"/>
        <v>17.897936757545327</v>
      </c>
      <c r="CC305" s="18">
        <f t="shared" si="993"/>
        <v>16.892446858220996</v>
      </c>
      <c r="CD305" s="18">
        <f t="shared" si="993"/>
        <v>16.46542983496926</v>
      </c>
      <c r="CE305" s="18">
        <f t="shared" si="993"/>
        <v>16.342666701655865</v>
      </c>
      <c r="CF305" s="18">
        <f t="shared" si="993"/>
        <v>15.064032271342718</v>
      </c>
      <c r="CG305" s="18">
        <f t="shared" si="993"/>
        <v>14.292766131148497</v>
      </c>
      <c r="CH305" s="18">
        <f t="shared" si="993"/>
        <v>14.172067484138951</v>
      </c>
      <c r="CI305" s="18">
        <f t="shared" si="993"/>
        <v>13.773788265306122</v>
      </c>
      <c r="CJ305" s="18">
        <f t="shared" si="993"/>
        <v>13.127752627944449</v>
      </c>
      <c r="CK305" s="18">
        <f t="shared" si="993"/>
        <v>12.361121096036724</v>
      </c>
      <c r="CL305" s="18">
        <f t="shared" si="993"/>
        <v>12.186597281755878</v>
      </c>
      <c r="CM305" s="18">
        <f t="shared" si="993"/>
        <v>11.743191480827852</v>
      </c>
      <c r="CN305" s="18">
        <f t="shared" si="993"/>
        <v>11.283562929811156</v>
      </c>
      <c r="CO305" s="18">
        <f t="shared" si="993"/>
        <v>11.44375304089524</v>
      </c>
      <c r="CP305" s="18">
        <f t="shared" si="993"/>
        <v>11.411285226573931</v>
      </c>
      <c r="CQ305" s="18">
        <f t="shared" si="993"/>
        <v>12.003595082651463</v>
      </c>
      <c r="CR305" s="18">
        <f t="shared" si="993"/>
        <v>10.581395348837209</v>
      </c>
      <c r="CS305" s="18">
        <f t="shared" si="993"/>
        <v>9.4347425986459896</v>
      </c>
      <c r="CT305" s="18">
        <f t="shared" si="993"/>
        <v>11.674587825750617</v>
      </c>
      <c r="CU305" s="18">
        <f t="shared" si="993"/>
        <v>14.245482236587236</v>
      </c>
      <c r="CV305" s="18">
        <f t="shared" si="993"/>
        <v>18.867903548622806</v>
      </c>
      <c r="CW305" s="18">
        <f t="shared" si="993"/>
        <v>20.886186084052042</v>
      </c>
      <c r="CX305" s="18">
        <f t="shared" ref="CX305:DZ305" si="994">CX254/(-CX22/CX3)</f>
        <v>20.057265636386713</v>
      </c>
      <c r="CY305" s="18">
        <f t="shared" si="994"/>
        <v>16.405222529305252</v>
      </c>
      <c r="CZ305" s="18">
        <f t="shared" si="994"/>
        <v>13.862712416355315</v>
      </c>
      <c r="DA305" s="18">
        <f t="shared" si="994"/>
        <v>12.129429704919229</v>
      </c>
      <c r="DB305" s="18">
        <f t="shared" si="994"/>
        <v>12.199172236597324</v>
      </c>
      <c r="DC305" s="18">
        <f t="shared" si="994"/>
        <v>12.133519978590693</v>
      </c>
      <c r="DD305" s="18">
        <f t="shared" si="994"/>
        <v>12.294899064119422</v>
      </c>
      <c r="DE305" s="18">
        <f t="shared" si="994"/>
        <v>12.610363010195726</v>
      </c>
      <c r="DF305" s="18">
        <f t="shared" si="994"/>
        <v>13.85933632030115</v>
      </c>
      <c r="DG305" s="18">
        <f t="shared" si="994"/>
        <v>12.468117481169454</v>
      </c>
      <c r="DH305" s="18">
        <f t="shared" si="994"/>
        <v>13.812557793656438</v>
      </c>
      <c r="DI305" s="18">
        <f t="shared" si="994"/>
        <v>16.201468697955672</v>
      </c>
      <c r="DJ305" s="18">
        <f t="shared" si="994"/>
        <v>15.478793928087201</v>
      </c>
      <c r="DK305" s="18">
        <f t="shared" si="994"/>
        <v>16.12443880390785</v>
      </c>
      <c r="DL305" s="18">
        <f t="shared" si="994"/>
        <v>17.471176744495441</v>
      </c>
      <c r="DM305" s="18">
        <f t="shared" si="994"/>
        <v>17.278508781199147</v>
      </c>
      <c r="DN305" s="18">
        <f t="shared" si="994"/>
        <v>18.890112393681651</v>
      </c>
      <c r="DO305" s="18">
        <f t="shared" si="994"/>
        <v>18.711427482521707</v>
      </c>
      <c r="DP305" s="18">
        <f t="shared" si="994"/>
        <v>18.765563165831779</v>
      </c>
      <c r="DQ305" s="18">
        <f t="shared" si="994"/>
        <v>18.08497977641186</v>
      </c>
      <c r="DR305" s="18">
        <f t="shared" si="994"/>
        <v>18.38745099171302</v>
      </c>
      <c r="DS305" s="18">
        <f t="shared" si="994"/>
        <v>23.830263696178367</v>
      </c>
      <c r="DT305" s="18">
        <f t="shared" si="994"/>
        <v>33.178113003668216</v>
      </c>
      <c r="DU305" s="18">
        <f t="shared" si="994"/>
        <v>36.005703479852365</v>
      </c>
      <c r="DV305" s="18">
        <f t="shared" si="994"/>
        <v>43.656632257294589</v>
      </c>
      <c r="DW305" s="18">
        <f t="shared" si="994"/>
        <v>53.650220320408181</v>
      </c>
      <c r="DX305" s="18">
        <f t="shared" si="994"/>
        <v>64.632491113988934</v>
      </c>
      <c r="DY305" s="18">
        <f t="shared" si="994"/>
        <v>59.988803425687472</v>
      </c>
      <c r="DZ305" s="18">
        <f t="shared" si="994"/>
        <v>47.093418013875564</v>
      </c>
      <c r="EA305" s="18">
        <f t="shared" ref="EA305:EB305" si="995">EA254/(-EA22/EA3)</f>
        <v>39.925714805494067</v>
      </c>
      <c r="EB305" s="18">
        <f t="shared" si="995"/>
        <v>37.321641187330158</v>
      </c>
      <c r="EC305" s="18">
        <f t="shared" ref="EC305:ED305" si="996">EC254/(-EC22/EC3)</f>
        <v>34.362067369727725</v>
      </c>
      <c r="ED305" s="18">
        <f t="shared" si="996"/>
        <v>34.292830281733558</v>
      </c>
      <c r="EE305" s="57">
        <f t="shared" ref="EE305" si="997">ED305</f>
        <v>34.292830281733558</v>
      </c>
      <c r="EF305" s="57">
        <f t="shared" ref="EF305" si="998">EE305</f>
        <v>34.292830281733558</v>
      </c>
      <c r="EG305" s="57">
        <f t="shared" ref="EG305" si="999">EF305</f>
        <v>34.292830281733558</v>
      </c>
      <c r="EH305" s="57">
        <f t="shared" ref="EH305" si="1000">EG305</f>
        <v>34.292830281733558</v>
      </c>
      <c r="EI305" s="57">
        <f t="shared" ref="EI305" si="1001">EH305</f>
        <v>34.292830281733558</v>
      </c>
      <c r="EJ305" s="57">
        <f t="shared" ref="EJ305" si="1002">EI305</f>
        <v>34.292830281733558</v>
      </c>
      <c r="EK305" s="57">
        <f t="shared" ref="EK305" si="1003">EJ305</f>
        <v>34.292830281733558</v>
      </c>
      <c r="EL305" s="57">
        <f t="shared" ref="EL305" si="1004">EK305</f>
        <v>34.292830281733558</v>
      </c>
      <c r="EM305" s="57">
        <f t="shared" ref="EM305" si="1005">EL305</f>
        <v>34.292830281733558</v>
      </c>
      <c r="EN305" s="57">
        <f t="shared" ref="EN305" si="1006">EM305</f>
        <v>34.292830281733558</v>
      </c>
      <c r="EO305" s="57">
        <f t="shared" ref="EO305" si="1007">EN305</f>
        <v>34.292830281733558</v>
      </c>
      <c r="EP305" s="57">
        <f t="shared" ref="EP305" si="1008">EO305</f>
        <v>34.292830281733558</v>
      </c>
      <c r="EQ305" s="18"/>
      <c r="ER305" s="18"/>
      <c r="ES305" s="355">
        <f t="shared" si="838"/>
        <v>300</v>
      </c>
      <c r="ET305"/>
      <c r="EU305"/>
      <c r="EV305"/>
      <c r="EW305"/>
      <c r="EX305"/>
      <c r="EY305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</row>
    <row r="306" spans="1:257" s="4" customFormat="1" ht="12.75" hidden="1" customHeight="1" outlineLevel="2">
      <c r="A306" s="15"/>
      <c r="B306" s="5" t="s">
        <v>58</v>
      </c>
      <c r="C306" s="18"/>
      <c r="D306" s="18"/>
      <c r="E306" s="83">
        <f t="shared" ref="E306:AF306" si="1009">-E22/AVERAGE(D265:E265)</f>
        <v>8.174861553952006</v>
      </c>
      <c r="F306" s="83">
        <f t="shared" si="1009"/>
        <v>9.1834082743486594</v>
      </c>
      <c r="G306" s="83">
        <f t="shared" si="1009"/>
        <v>7.8365726401563185</v>
      </c>
      <c r="H306" s="83">
        <f t="shared" si="1009"/>
        <v>8.9884895466290811</v>
      </c>
      <c r="I306" s="83">
        <f t="shared" si="1009"/>
        <v>8.0890073831009008</v>
      </c>
      <c r="J306" s="83">
        <f t="shared" si="1009"/>
        <v>8.1915898358443897</v>
      </c>
      <c r="K306" s="83">
        <f t="shared" si="1009"/>
        <v>9.8387980164310544</v>
      </c>
      <c r="L306" s="83">
        <f t="shared" si="1009"/>
        <v>10.931928323819049</v>
      </c>
      <c r="M306" s="83">
        <f t="shared" si="1009"/>
        <v>10.110749354675523</v>
      </c>
      <c r="N306" s="83">
        <f t="shared" si="1009"/>
        <v>8.6821183568408653</v>
      </c>
      <c r="O306" s="83">
        <f t="shared" si="1009"/>
        <v>9.7781959674566696</v>
      </c>
      <c r="P306" s="83">
        <f t="shared" si="1009"/>
        <v>14.493459630130809</v>
      </c>
      <c r="Q306" s="83">
        <f t="shared" si="1009"/>
        <v>13.29099991765707</v>
      </c>
      <c r="R306" s="83">
        <f t="shared" si="1009"/>
        <v>7.2064116250190642</v>
      </c>
      <c r="S306" s="83">
        <f t="shared" si="1009"/>
        <v>6.5494443727070415</v>
      </c>
      <c r="T306" s="83">
        <f t="shared" si="1009"/>
        <v>7.8063123412845226</v>
      </c>
      <c r="U306" s="83">
        <f t="shared" si="1009"/>
        <v>9.0289866068041533</v>
      </c>
      <c r="V306" s="83">
        <f t="shared" si="1009"/>
        <v>14.318960942475059</v>
      </c>
      <c r="W306" s="83">
        <f t="shared" si="1009"/>
        <v>15.50039590858308</v>
      </c>
      <c r="X306" s="83">
        <f t="shared" si="1009"/>
        <v>13.298109939530221</v>
      </c>
      <c r="Y306" s="83">
        <f t="shared" si="1009"/>
        <v>12.197327838472148</v>
      </c>
      <c r="Z306" s="83">
        <f t="shared" si="1009"/>
        <v>12.315259949143716</v>
      </c>
      <c r="AA306" s="83">
        <f t="shared" si="1009"/>
        <v>11.643042342049977</v>
      </c>
      <c r="AB306" s="83">
        <f t="shared" si="1009"/>
        <v>8.3461887098182661</v>
      </c>
      <c r="AC306" s="83">
        <f t="shared" si="1009"/>
        <v>10.802399826877302</v>
      </c>
      <c r="AD306" s="83">
        <f t="shared" si="1009"/>
        <v>11.314983002395612</v>
      </c>
      <c r="AE306" s="83">
        <f t="shared" si="1009"/>
        <v>11.784904288267022</v>
      </c>
      <c r="AF306" s="83">
        <f t="shared" si="1009"/>
        <v>11.909967262189463</v>
      </c>
      <c r="AG306" s="17"/>
      <c r="AH306" s="18"/>
      <c r="AI306" s="18"/>
      <c r="AJ306" s="18"/>
      <c r="AK306" s="18"/>
      <c r="AL306" s="83">
        <f t="shared" ref="AL306:BQ306" si="1010">-4*AL22/AVERAGE(AK265:AL265)</f>
        <v>8.7807040417209929</v>
      </c>
      <c r="AM306" s="83">
        <f t="shared" si="1010"/>
        <v>9.5131262905060883</v>
      </c>
      <c r="AN306" s="83">
        <f t="shared" si="1010"/>
        <v>9.3476676712698481</v>
      </c>
      <c r="AO306" s="83">
        <f t="shared" si="1010"/>
        <v>10.428171842501614</v>
      </c>
      <c r="AP306" s="83">
        <f t="shared" si="1010"/>
        <v>8.3856742549753527</v>
      </c>
      <c r="AQ306" s="83">
        <f t="shared" si="1010"/>
        <v>7.118808400407068</v>
      </c>
      <c r="AR306" s="83">
        <f t="shared" si="1010"/>
        <v>7.2431310427705249</v>
      </c>
      <c r="AS306" s="83">
        <f t="shared" si="1010"/>
        <v>5.9990871748060268</v>
      </c>
      <c r="AT306" s="83">
        <f t="shared" si="1010"/>
        <v>8.4469025671523443</v>
      </c>
      <c r="AU306" s="83">
        <f t="shared" si="1010"/>
        <v>8.72529263300145</v>
      </c>
      <c r="AV306" s="83">
        <f t="shared" si="1010"/>
        <v>8.7346217389633836</v>
      </c>
      <c r="AW306" s="83">
        <f t="shared" si="1010"/>
        <v>9.8748184944593032</v>
      </c>
      <c r="AX306" s="83">
        <f t="shared" si="1010"/>
        <v>9.2665772396041035</v>
      </c>
      <c r="AY306" s="83">
        <f t="shared" si="1010"/>
        <v>10.011482199036633</v>
      </c>
      <c r="AZ306" s="83">
        <f t="shared" si="1010"/>
        <v>9.7644710578842311</v>
      </c>
      <c r="BA306" s="83">
        <f t="shared" si="1010"/>
        <v>8.3927078200886882</v>
      </c>
      <c r="BB306" s="83">
        <f t="shared" si="1010"/>
        <v>7.228397613844427</v>
      </c>
      <c r="BC306" s="83">
        <f t="shared" si="1010"/>
        <v>7.8874768302581684</v>
      </c>
      <c r="BD306" s="83">
        <f t="shared" si="1010"/>
        <v>9.0231155039425115</v>
      </c>
      <c r="BE306" s="83">
        <f t="shared" si="1010"/>
        <v>9.2887966404402142</v>
      </c>
      <c r="BF306" s="83">
        <f t="shared" si="1010"/>
        <v>9.2446199618427549</v>
      </c>
      <c r="BG306" s="83">
        <f t="shared" si="1010"/>
        <v>12.895324505750207</v>
      </c>
      <c r="BH306" s="83">
        <f t="shared" si="1010"/>
        <v>11.558545170121237</v>
      </c>
      <c r="BI306" s="83">
        <f t="shared" si="1010"/>
        <v>12.035611145412172</v>
      </c>
      <c r="BJ306" s="83">
        <f t="shared" si="1010"/>
        <v>11.918262693757042</v>
      </c>
      <c r="BK306" s="83">
        <f t="shared" si="1010"/>
        <v>11.659448326307484</v>
      </c>
      <c r="BL306" s="83">
        <f t="shared" si="1010"/>
        <v>11.567587836064344</v>
      </c>
      <c r="BM306" s="83">
        <f t="shared" si="1010"/>
        <v>11.761927191979005</v>
      </c>
      <c r="BN306" s="83">
        <f t="shared" si="1010"/>
        <v>11.757403384850996</v>
      </c>
      <c r="BO306" s="83">
        <f t="shared" si="1010"/>
        <v>13.431089090281914</v>
      </c>
      <c r="BP306" s="83">
        <f t="shared" si="1010"/>
        <v>11.143061283327276</v>
      </c>
      <c r="BQ306" s="83">
        <f t="shared" si="1010"/>
        <v>6.7001999459605512</v>
      </c>
      <c r="BR306" s="83">
        <f t="shared" ref="BR306:CW306" si="1011">-4*BR22/AVERAGE(BQ265:BR265)</f>
        <v>10.449219068314546</v>
      </c>
      <c r="BS306" s="83">
        <f t="shared" si="1011"/>
        <v>13.485093726222591</v>
      </c>
      <c r="BT306" s="83">
        <f t="shared" si="1011"/>
        <v>12.591630689737226</v>
      </c>
      <c r="BU306" s="83">
        <f t="shared" si="1011"/>
        <v>9.7611582259725971</v>
      </c>
      <c r="BV306" s="83">
        <f t="shared" si="1011"/>
        <v>7.6163450357650415</v>
      </c>
      <c r="BW306" s="83">
        <f t="shared" si="1011"/>
        <v>8.3074655254398468</v>
      </c>
      <c r="BX306" s="83">
        <f t="shared" si="1011"/>
        <v>8.8624728416951761</v>
      </c>
      <c r="BY306" s="83">
        <f t="shared" si="1011"/>
        <v>10.148715741139332</v>
      </c>
      <c r="BZ306" s="83">
        <f t="shared" si="1011"/>
        <v>12.506009234718542</v>
      </c>
      <c r="CA306" s="83">
        <f t="shared" si="1011"/>
        <v>15.78462521855201</v>
      </c>
      <c r="CB306" s="83">
        <f t="shared" si="1011"/>
        <v>17.678005484498964</v>
      </c>
      <c r="CC306" s="83">
        <f t="shared" si="1011"/>
        <v>17.135648594036219</v>
      </c>
      <c r="CD306" s="83">
        <f t="shared" si="1011"/>
        <v>17.907406289611878</v>
      </c>
      <c r="CE306" s="83">
        <f t="shared" si="1011"/>
        <v>19.800558574552383</v>
      </c>
      <c r="CF306" s="83">
        <f t="shared" si="1011"/>
        <v>18.079592178459137</v>
      </c>
      <c r="CG306" s="83">
        <f t="shared" si="1011"/>
        <v>14.810520491747972</v>
      </c>
      <c r="CH306" s="83">
        <f t="shared" si="1011"/>
        <v>12.474690563861408</v>
      </c>
      <c r="CI306" s="83">
        <f t="shared" si="1011"/>
        <v>11.371382986438466</v>
      </c>
      <c r="CJ306" s="83">
        <f t="shared" si="1011"/>
        <v>10.61635101900152</v>
      </c>
      <c r="CK306" s="83">
        <f t="shared" si="1011"/>
        <v>7.7345275094081085</v>
      </c>
      <c r="CL306" s="83">
        <f t="shared" si="1011"/>
        <v>6.252345017279076</v>
      </c>
      <c r="CM306" s="83">
        <f t="shared" si="1011"/>
        <v>6.8458066619759395</v>
      </c>
      <c r="CN306" s="83">
        <f t="shared" si="1011"/>
        <v>7.5386457428993463</v>
      </c>
      <c r="CO306" s="83">
        <f t="shared" si="1011"/>
        <v>7.4683666354563023</v>
      </c>
      <c r="CP306" s="83">
        <f t="shared" si="1011"/>
        <v>8.1086332295947319</v>
      </c>
      <c r="CQ306" s="83">
        <f t="shared" si="1011"/>
        <v>9.2793349928064135</v>
      </c>
      <c r="CR306" s="83">
        <f t="shared" si="1011"/>
        <v>8.2017470384109146</v>
      </c>
      <c r="CS306" s="83">
        <f t="shared" si="1011"/>
        <v>8.3179021294417073</v>
      </c>
      <c r="CT306" s="83">
        <f t="shared" si="1011"/>
        <v>7.8158967652034255</v>
      </c>
      <c r="CU306" s="83">
        <f t="shared" si="1011"/>
        <v>6.0960738121009701</v>
      </c>
      <c r="CV306" s="83">
        <f t="shared" si="1011"/>
        <v>6.4974234594204079</v>
      </c>
      <c r="CW306" s="83">
        <f t="shared" si="1011"/>
        <v>8.7138860321357097</v>
      </c>
      <c r="CX306" s="83">
        <f t="shared" ref="CX306:DZ306" si="1012">-4*CX22/AVERAGE(CW265:CX265)</f>
        <v>13.169947135813745</v>
      </c>
      <c r="CY306" s="83">
        <f t="shared" si="1012"/>
        <v>17.522557077625574</v>
      </c>
      <c r="CZ306" s="83">
        <f t="shared" si="1012"/>
        <v>20.744967357056598</v>
      </c>
      <c r="DA306" s="83">
        <f t="shared" si="1012"/>
        <v>19.555687564509064</v>
      </c>
      <c r="DB306" s="83">
        <f t="shared" si="1012"/>
        <v>19.058111921930376</v>
      </c>
      <c r="DC306" s="83">
        <f t="shared" si="1012"/>
        <v>21.068581209290794</v>
      </c>
      <c r="DD306" s="83">
        <f t="shared" si="1012"/>
        <v>19.915389905102458</v>
      </c>
      <c r="DE306" s="83">
        <f t="shared" si="1012"/>
        <v>17.823174154150109</v>
      </c>
      <c r="DF306" s="83">
        <f t="shared" si="1012"/>
        <v>13.836697864510535</v>
      </c>
      <c r="DG306" s="83">
        <f t="shared" si="1012"/>
        <v>16.280785873528306</v>
      </c>
      <c r="DH306" s="83">
        <f t="shared" si="1012"/>
        <v>19.862144256189058</v>
      </c>
      <c r="DI306" s="83">
        <f t="shared" si="1012"/>
        <v>14.414177827006345</v>
      </c>
      <c r="DJ306" s="83">
        <f t="shared" si="1012"/>
        <v>13.990058919815864</v>
      </c>
      <c r="DK306" s="83">
        <f t="shared" si="1012"/>
        <v>18.26798413499105</v>
      </c>
      <c r="DL306" s="83">
        <f t="shared" si="1012"/>
        <v>15.76846761011512</v>
      </c>
      <c r="DM306" s="83">
        <f t="shared" si="1012"/>
        <v>13.590395358522541</v>
      </c>
      <c r="DN306" s="83">
        <f t="shared" si="1012"/>
        <v>13.797059690252446</v>
      </c>
      <c r="DO306" s="83">
        <f t="shared" si="1012"/>
        <v>14.452522668271943</v>
      </c>
      <c r="DP306" s="83">
        <f t="shared" si="1012"/>
        <v>15.005358651017852</v>
      </c>
      <c r="DQ306" s="83">
        <f t="shared" si="1012"/>
        <v>13.45146487382827</v>
      </c>
      <c r="DR306" s="83">
        <f t="shared" si="1012"/>
        <v>12.654780422230912</v>
      </c>
      <c r="DS306" s="83">
        <f t="shared" si="1012"/>
        <v>11.019708322694067</v>
      </c>
      <c r="DT306" s="83">
        <f t="shared" si="1012"/>
        <v>9.3453759097537556</v>
      </c>
      <c r="DU306" s="83">
        <f t="shared" si="1012"/>
        <v>10.992739395255962</v>
      </c>
      <c r="DV306" s="83">
        <f t="shared" si="1012"/>
        <v>8.9548849386357894</v>
      </c>
      <c r="DW306" s="83">
        <f t="shared" si="1012"/>
        <v>7.9863071338096931</v>
      </c>
      <c r="DX306" s="83">
        <f t="shared" si="1012"/>
        <v>7.8842550603109771</v>
      </c>
      <c r="DY306" s="83">
        <f t="shared" si="1012"/>
        <v>8.1085829656484911</v>
      </c>
      <c r="DZ306" s="83">
        <f t="shared" si="1012"/>
        <v>9.5164392929585624</v>
      </c>
      <c r="EA306" s="83">
        <f t="shared" ref="EA306:EC306" si="1013">-4*EA22/AVERAGE(DZ265:EA265)</f>
        <v>9.9459359843185862</v>
      </c>
      <c r="EB306" s="83">
        <f t="shared" si="1013"/>
        <v>10.213693903647824</v>
      </c>
      <c r="EC306" s="83">
        <f t="shared" si="1013"/>
        <v>10.771267510647503</v>
      </c>
      <c r="ED306" s="83">
        <f t="shared" ref="ED306:EP306" si="1014">-4*ED22/AVERAGE(EC265:ED265)</f>
        <v>11.367377096631682</v>
      </c>
      <c r="EE306" s="83">
        <f t="shared" si="1014"/>
        <v>11.671638720066516</v>
      </c>
      <c r="EF306" s="83">
        <f t="shared" si="1014"/>
        <v>11.861248943380698</v>
      </c>
      <c r="EG306" s="83">
        <f t="shared" si="1014"/>
        <v>11.873544998251255</v>
      </c>
      <c r="EH306" s="83">
        <f t="shared" si="1014"/>
        <v>11.88742889658978</v>
      </c>
      <c r="EI306" s="83">
        <f t="shared" si="1014"/>
        <v>11.6220128217939</v>
      </c>
      <c r="EJ306" s="83">
        <f t="shared" si="1014"/>
        <v>11.752008960740104</v>
      </c>
      <c r="EK306" s="83">
        <f t="shared" si="1014"/>
        <v>11.878774599029793</v>
      </c>
      <c r="EL306" s="83">
        <f t="shared" si="1014"/>
        <v>11.965583846973114</v>
      </c>
      <c r="EM306" s="83">
        <f t="shared" si="1014"/>
        <v>11.638456959784376</v>
      </c>
      <c r="EN306" s="83">
        <f t="shared" si="1014"/>
        <v>11.629198620278531</v>
      </c>
      <c r="EO306" s="83">
        <f t="shared" si="1014"/>
        <v>11.747620184372696</v>
      </c>
      <c r="EP306" s="83">
        <f t="shared" si="1014"/>
        <v>11.756992221301108</v>
      </c>
      <c r="EQ306" s="18"/>
      <c r="ER306" s="18"/>
      <c r="ES306" s="355">
        <f t="shared" si="838"/>
        <v>301</v>
      </c>
      <c r="ET306"/>
      <c r="EU306"/>
      <c r="EV306"/>
      <c r="EW306"/>
      <c r="EX306"/>
      <c r="EY306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</row>
    <row r="307" spans="1:257" s="4" customFormat="1" ht="12.75" hidden="1" customHeight="1" outlineLevel="2">
      <c r="A307" s="15"/>
      <c r="B307" s="5" t="s">
        <v>57</v>
      </c>
      <c r="C307" s="18"/>
      <c r="D307" s="18"/>
      <c r="E307" s="18">
        <f t="shared" ref="E307:AF307" si="1015">365/E306</f>
        <v>44.649074188118405</v>
      </c>
      <c r="F307" s="18">
        <f t="shared" si="1015"/>
        <v>39.745592169687995</v>
      </c>
      <c r="G307" s="18">
        <f t="shared" si="1015"/>
        <v>46.576483975872293</v>
      </c>
      <c r="H307" s="18">
        <f t="shared" si="1015"/>
        <v>40.607490068994359</v>
      </c>
      <c r="I307" s="18">
        <f t="shared" si="1015"/>
        <v>45.122965366867817</v>
      </c>
      <c r="J307" s="18">
        <f t="shared" si="1015"/>
        <v>44.557895025804328</v>
      </c>
      <c r="K307" s="18">
        <f t="shared" si="1015"/>
        <v>37.098027562964532</v>
      </c>
      <c r="L307" s="18">
        <f t="shared" si="1015"/>
        <v>33.38843698825935</v>
      </c>
      <c r="M307" s="18">
        <f t="shared" si="1015"/>
        <v>36.100192695530794</v>
      </c>
      <c r="N307" s="18">
        <f t="shared" si="1015"/>
        <v>42.040431263230488</v>
      </c>
      <c r="O307" s="18">
        <f t="shared" si="1015"/>
        <v>37.327948960603344</v>
      </c>
      <c r="P307" s="18">
        <f t="shared" si="1015"/>
        <v>25.183773185609358</v>
      </c>
      <c r="Q307" s="18">
        <f t="shared" si="1015"/>
        <v>27.462192631202875</v>
      </c>
      <c r="R307" s="18">
        <f t="shared" si="1015"/>
        <v>50.649341030257126</v>
      </c>
      <c r="S307" s="18">
        <f t="shared" si="1015"/>
        <v>55.729918330329568</v>
      </c>
      <c r="T307" s="18">
        <f t="shared" si="1015"/>
        <v>46.757032519651851</v>
      </c>
      <c r="U307" s="18">
        <f t="shared" si="1015"/>
        <v>40.425356232662885</v>
      </c>
      <c r="V307" s="18">
        <f t="shared" si="1015"/>
        <v>25.490676416141483</v>
      </c>
      <c r="W307" s="18">
        <f t="shared" si="1015"/>
        <v>23.547785627713385</v>
      </c>
      <c r="X307" s="18">
        <f t="shared" si="1015"/>
        <v>27.447509582921548</v>
      </c>
      <c r="Y307" s="18">
        <f t="shared" si="1015"/>
        <v>29.924587158241074</v>
      </c>
      <c r="Z307" s="18">
        <f t="shared" si="1015"/>
        <v>29.638026440958608</v>
      </c>
      <c r="AA307" s="18">
        <f t="shared" si="1015"/>
        <v>31.349194589954131</v>
      </c>
      <c r="AB307" s="18">
        <f t="shared" si="1015"/>
        <v>43.732536213879555</v>
      </c>
      <c r="AC307" s="18">
        <f t="shared" si="1015"/>
        <v>33.788788218322424</v>
      </c>
      <c r="AD307" s="18">
        <f t="shared" si="1015"/>
        <v>32.258112974868993</v>
      </c>
      <c r="AE307" s="18">
        <f t="shared" si="1015"/>
        <v>30.971825572091557</v>
      </c>
      <c r="AF307" s="18">
        <f t="shared" si="1015"/>
        <v>30.646599773516119</v>
      </c>
      <c r="AG307" s="17"/>
      <c r="AH307" s="18"/>
      <c r="AI307" s="18"/>
      <c r="AJ307" s="18"/>
      <c r="AK307" s="18"/>
      <c r="AL307" s="18">
        <f t="shared" ref="AL307:BQ307" si="1016">AL265/(-AL22/AL3)</f>
        <v>40.40561461859793</v>
      </c>
      <c r="AM307" s="18">
        <f t="shared" si="1016"/>
        <v>40.309360548556846</v>
      </c>
      <c r="AN307" s="18">
        <f t="shared" si="1016"/>
        <v>33.603018170619038</v>
      </c>
      <c r="AO307" s="18">
        <f t="shared" si="1016"/>
        <v>38.208895002292522</v>
      </c>
      <c r="AP307" s="18">
        <f t="shared" si="1016"/>
        <v>47.116609428660631</v>
      </c>
      <c r="AQ307" s="18">
        <f t="shared" si="1016"/>
        <v>52.023413457539711</v>
      </c>
      <c r="AR307" s="18">
        <f t="shared" si="1016"/>
        <v>49.635032679738558</v>
      </c>
      <c r="AS307" s="18">
        <f t="shared" si="1016"/>
        <v>59.406167579630733</v>
      </c>
      <c r="AT307" s="18">
        <f t="shared" si="1016"/>
        <v>43.15258246812985</v>
      </c>
      <c r="AU307" s="18">
        <f t="shared" si="1016"/>
        <v>42.010458993094147</v>
      </c>
      <c r="AV307" s="18">
        <f t="shared" si="1016"/>
        <v>42.779638948516734</v>
      </c>
      <c r="AW307" s="18">
        <f t="shared" si="1016"/>
        <v>36.486146797511068</v>
      </c>
      <c r="AX307" s="18">
        <f t="shared" si="1016"/>
        <v>42.53596244131456</v>
      </c>
      <c r="AY307" s="18">
        <f t="shared" si="1016"/>
        <v>34.151859900294006</v>
      </c>
      <c r="AZ307" s="18">
        <f t="shared" si="1016"/>
        <v>38.411699992566717</v>
      </c>
      <c r="BA307" s="18">
        <f t="shared" si="1016"/>
        <v>52.643031587987444</v>
      </c>
      <c r="BB307" s="18">
        <f t="shared" si="1016"/>
        <v>50.532043404366583</v>
      </c>
      <c r="BC307" s="18">
        <f t="shared" si="1016"/>
        <v>44.821950799931187</v>
      </c>
      <c r="BD307" s="18">
        <f t="shared" si="1016"/>
        <v>40.581749586848751</v>
      </c>
      <c r="BE307" s="18">
        <f t="shared" si="1016"/>
        <v>40.016337899353566</v>
      </c>
      <c r="BF307" s="18">
        <f t="shared" si="1016"/>
        <v>35.160412866280268</v>
      </c>
      <c r="BG307" s="18">
        <f t="shared" si="1016"/>
        <v>24.894849985979999</v>
      </c>
      <c r="BH307" s="18">
        <f t="shared" si="1016"/>
        <v>30.180205175400602</v>
      </c>
      <c r="BI307" s="18">
        <f t="shared" si="1016"/>
        <v>31.306088407005848</v>
      </c>
      <c r="BJ307" s="18">
        <f t="shared" si="1016"/>
        <v>30.921365894363532</v>
      </c>
      <c r="BK307" s="18">
        <f t="shared" si="1016"/>
        <v>31.456686257676811</v>
      </c>
      <c r="BL307" s="18">
        <f t="shared" si="1016"/>
        <v>32.052473938073753</v>
      </c>
      <c r="BM307" s="18">
        <f t="shared" si="1016"/>
        <v>33.979061066169322</v>
      </c>
      <c r="BN307" s="18">
        <f t="shared" si="1016"/>
        <v>31.022095570252855</v>
      </c>
      <c r="BO307" s="18">
        <f t="shared" si="1016"/>
        <v>26.952258209122494</v>
      </c>
      <c r="BP307" s="18">
        <f t="shared" si="1016"/>
        <v>39.072183225341973</v>
      </c>
      <c r="BQ307" s="18">
        <f t="shared" si="1016"/>
        <v>53.204046869354251</v>
      </c>
      <c r="BR307" s="18">
        <f t="shared" ref="BR307:CW307" si="1017">BR265/(-BR22/BR3)</f>
        <v>27.565944349706776</v>
      </c>
      <c r="BS307" s="18">
        <f t="shared" si="1017"/>
        <v>26.786626588836342</v>
      </c>
      <c r="BT307" s="18">
        <f t="shared" si="1017"/>
        <v>29.306084101855248</v>
      </c>
      <c r="BU307" s="18">
        <f t="shared" si="1017"/>
        <v>43.670953416292733</v>
      </c>
      <c r="BV307" s="18">
        <f t="shared" si="1017"/>
        <v>50.047473351756814</v>
      </c>
      <c r="BW307" s="18">
        <f t="shared" si="1017"/>
        <v>41.238881320618646</v>
      </c>
      <c r="BX307" s="18">
        <f t="shared" si="1017"/>
        <v>41.089495040577098</v>
      </c>
      <c r="BY307" s="18">
        <f t="shared" si="1017"/>
        <v>30.833861189032664</v>
      </c>
      <c r="BZ307" s="18">
        <f t="shared" si="1017"/>
        <v>29.784412620893352</v>
      </c>
      <c r="CA307" s="18">
        <f t="shared" si="1017"/>
        <v>19.795426393520721</v>
      </c>
      <c r="CB307" s="18">
        <f t="shared" si="1017"/>
        <v>21.50045470908092</v>
      </c>
      <c r="CC307" s="18">
        <f t="shared" si="1017"/>
        <v>22.721176480960654</v>
      </c>
      <c r="CD307" s="18">
        <f t="shared" si="1017"/>
        <v>17.935749469672455</v>
      </c>
      <c r="CE307" s="18">
        <f t="shared" si="1017"/>
        <v>19.287794893326687</v>
      </c>
      <c r="CF307" s="18">
        <f t="shared" si="1017"/>
        <v>21.912068823577837</v>
      </c>
      <c r="CG307" s="18">
        <f t="shared" si="1017"/>
        <v>30.079657112867014</v>
      </c>
      <c r="CH307" s="18">
        <f t="shared" si="1017"/>
        <v>29.648923155708555</v>
      </c>
      <c r="CI307" s="18">
        <f t="shared" si="1017"/>
        <v>37.309821428571425</v>
      </c>
      <c r="CJ307" s="18">
        <f t="shared" si="1017"/>
        <v>33.661014348193049</v>
      </c>
      <c r="CK307" s="18">
        <f t="shared" si="1017"/>
        <v>65.5496102455607</v>
      </c>
      <c r="CL307" s="18">
        <f t="shared" si="1017"/>
        <v>53.720284558347991</v>
      </c>
      <c r="CM307" s="18">
        <f t="shared" si="1017"/>
        <v>52.61852238087598</v>
      </c>
      <c r="CN307" s="18">
        <f t="shared" si="1017"/>
        <v>50.234860823054255</v>
      </c>
      <c r="CO307" s="18">
        <f t="shared" si="1017"/>
        <v>48.906780022705348</v>
      </c>
      <c r="CP307" s="18">
        <f t="shared" si="1017"/>
        <v>42.169511652070653</v>
      </c>
      <c r="CQ307" s="18">
        <f t="shared" si="1017"/>
        <v>39.725919246489575</v>
      </c>
      <c r="CR307" s="18">
        <f t="shared" si="1017"/>
        <v>51.964011117271156</v>
      </c>
      <c r="CS307" s="18">
        <f t="shared" si="1017"/>
        <v>43.855960588080372</v>
      </c>
      <c r="CT307" s="18">
        <f t="shared" si="1017"/>
        <v>51.395542232751545</v>
      </c>
      <c r="CU307" s="18">
        <f t="shared" si="1017"/>
        <v>54.915265824515558</v>
      </c>
      <c r="CV307" s="18">
        <f t="shared" si="1017"/>
        <v>45.694316485052582</v>
      </c>
      <c r="CW307" s="18">
        <f t="shared" si="1017"/>
        <v>32.792661817185035</v>
      </c>
      <c r="CX307" s="18">
        <f t="shared" ref="CX307:DZ307" si="1018">CX265/(-CX22/CX3)</f>
        <v>25.512132510237759</v>
      </c>
      <c r="CY307" s="18">
        <f t="shared" si="1018"/>
        <v>20.011197941484799</v>
      </c>
      <c r="CZ307" s="18">
        <f t="shared" si="1018"/>
        <v>17.250561132840538</v>
      </c>
      <c r="DA307" s="18">
        <f t="shared" si="1018"/>
        <v>22.506600890649398</v>
      </c>
      <c r="DB307" s="18">
        <f t="shared" si="1018"/>
        <v>16.169952067287589</v>
      </c>
      <c r="DC307" s="18">
        <f t="shared" si="1018"/>
        <v>18.820547054896643</v>
      </c>
      <c r="DD307" s="18">
        <f t="shared" si="1018"/>
        <v>18.68002165674066</v>
      </c>
      <c r="DE307" s="18">
        <f t="shared" si="1018"/>
        <v>24.070642000750762</v>
      </c>
      <c r="DF307" s="18">
        <f t="shared" si="1018"/>
        <v>28.758116982753329</v>
      </c>
      <c r="DG307" s="18">
        <f t="shared" si="1018"/>
        <v>19.898433316674399</v>
      </c>
      <c r="DH307" s="18">
        <f t="shared" si="1018"/>
        <v>17.428745406145257</v>
      </c>
      <c r="DI307" s="18">
        <f t="shared" si="1018"/>
        <v>32.786703477259771</v>
      </c>
      <c r="DJ307" s="18">
        <f t="shared" si="1018"/>
        <v>21.194025758721359</v>
      </c>
      <c r="DK307" s="18">
        <f t="shared" si="1018"/>
        <v>18.449398683666246</v>
      </c>
      <c r="DL307" s="18">
        <f t="shared" si="1018"/>
        <v>27.069165613428233</v>
      </c>
      <c r="DM307" s="18">
        <f t="shared" si="1018"/>
        <v>28.072084028995917</v>
      </c>
      <c r="DN307" s="18">
        <f t="shared" si="1018"/>
        <v>25.32460847846632</v>
      </c>
      <c r="DO307" s="18">
        <f t="shared" si="1018"/>
        <v>25.359926858780387</v>
      </c>
      <c r="DP307" s="18">
        <f t="shared" si="1018"/>
        <v>24.619712405310931</v>
      </c>
      <c r="DQ307" s="18">
        <f t="shared" si="1018"/>
        <v>30.986407824474799</v>
      </c>
      <c r="DR307" s="18">
        <f t="shared" si="1018"/>
        <v>27.94411837407058</v>
      </c>
      <c r="DS307" s="18">
        <f t="shared" si="1018"/>
        <v>33.054857157467694</v>
      </c>
      <c r="DT307" s="18">
        <f t="shared" si="1018"/>
        <v>33.295333693519488</v>
      </c>
      <c r="DU307" s="18">
        <f t="shared" si="1018"/>
        <v>30.964082670055511</v>
      </c>
      <c r="DV307" s="18">
        <f t="shared" si="1018"/>
        <v>44.207320240836545</v>
      </c>
      <c r="DW307" s="18">
        <f t="shared" si="1018"/>
        <v>37.83766319398655</v>
      </c>
      <c r="DX307" s="18">
        <f t="shared" si="1018"/>
        <v>46.482638525335467</v>
      </c>
      <c r="DY307" s="18">
        <f t="shared" si="1018"/>
        <v>46.042643076500696</v>
      </c>
      <c r="DZ307" s="18">
        <f t="shared" si="1018"/>
        <v>41.698378834671409</v>
      </c>
      <c r="EA307" s="18">
        <f t="shared" ref="EA307:EB307" si="1019">EA265/(-EA22/EA3)</f>
        <v>38.542190958430609</v>
      </c>
      <c r="EB307" s="18">
        <f t="shared" si="1019"/>
        <v>36.998859134186553</v>
      </c>
      <c r="EC307" s="18">
        <f t="shared" ref="EC307:ED307" si="1020">EC265/(-EC22/EC3)</f>
        <v>33.967365916601779</v>
      </c>
      <c r="ED307" s="18">
        <f t="shared" si="1020"/>
        <v>31.301646014425746</v>
      </c>
      <c r="EE307" s="57">
        <f t="shared" ref="EE307" si="1021">ED307</f>
        <v>31.301646014425746</v>
      </c>
      <c r="EF307" s="57">
        <f t="shared" ref="EF307" si="1022">EE307</f>
        <v>31.301646014425746</v>
      </c>
      <c r="EG307" s="57">
        <f t="shared" ref="EG307" si="1023">EF307</f>
        <v>31.301646014425746</v>
      </c>
      <c r="EH307" s="57">
        <f t="shared" ref="EH307" si="1024">EG307</f>
        <v>31.301646014425746</v>
      </c>
      <c r="EI307" s="57">
        <f t="shared" ref="EI307" si="1025">EH307</f>
        <v>31.301646014425746</v>
      </c>
      <c r="EJ307" s="57">
        <f t="shared" ref="EJ307" si="1026">EI307</f>
        <v>31.301646014425746</v>
      </c>
      <c r="EK307" s="57">
        <f t="shared" ref="EK307" si="1027">EJ307</f>
        <v>31.301646014425746</v>
      </c>
      <c r="EL307" s="57">
        <f t="shared" ref="EL307" si="1028">EK307</f>
        <v>31.301646014425746</v>
      </c>
      <c r="EM307" s="57">
        <f t="shared" ref="EM307" si="1029">EL307</f>
        <v>31.301646014425746</v>
      </c>
      <c r="EN307" s="57">
        <f t="shared" ref="EN307" si="1030">EM307</f>
        <v>31.301646014425746</v>
      </c>
      <c r="EO307" s="57">
        <f t="shared" ref="EO307" si="1031">EN307</f>
        <v>31.301646014425746</v>
      </c>
      <c r="EP307" s="57">
        <f t="shared" ref="EP307" si="1032">EO307</f>
        <v>31.301646014425746</v>
      </c>
      <c r="EQ307" s="18"/>
      <c r="ER307" s="18"/>
      <c r="ES307" s="355">
        <f t="shared" si="838"/>
        <v>302</v>
      </c>
      <c r="ET307"/>
      <c r="EU307"/>
      <c r="EV307"/>
      <c r="EW307"/>
      <c r="EX307"/>
      <c r="EY307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</row>
    <row r="308" spans="1:257" s="4" customFormat="1" ht="12.75" hidden="1" customHeight="1" outlineLevel="2">
      <c r="A308" s="15"/>
      <c r="B308" s="5" t="s">
        <v>56</v>
      </c>
      <c r="C308" s="25"/>
      <c r="D308" s="25"/>
      <c r="E308" s="25">
        <f t="shared" ref="E308:AF308" si="1033">E257/E15</f>
        <v>4.8659192869069126E-2</v>
      </c>
      <c r="F308" s="25">
        <f t="shared" si="1033"/>
        <v>3.9045795139728168E-2</v>
      </c>
      <c r="G308" s="25">
        <f t="shared" si="1033"/>
        <v>7.2506970849176178E-2</v>
      </c>
      <c r="H308" s="25">
        <f t="shared" si="1033"/>
        <v>1.3386739205054288E-2</v>
      </c>
      <c r="I308" s="25">
        <f t="shared" si="1033"/>
        <v>2.3113134895403436E-2</v>
      </c>
      <c r="J308" s="25">
        <f t="shared" si="1033"/>
        <v>2.5459557426309502E-2</v>
      </c>
      <c r="K308" s="25">
        <f t="shared" si="1033"/>
        <v>2.5299966580542687E-2</v>
      </c>
      <c r="L308" s="25">
        <f t="shared" si="1033"/>
        <v>4.1442310581150422E-2</v>
      </c>
      <c r="M308" s="25">
        <f t="shared" si="1033"/>
        <v>4.074041260270117E-2</v>
      </c>
      <c r="N308" s="25">
        <f t="shared" si="1033"/>
        <v>3.200839138392874E-2</v>
      </c>
      <c r="O308" s="25">
        <f t="shared" si="1033"/>
        <v>9.0120651014820682E-2</v>
      </c>
      <c r="P308" s="25">
        <f t="shared" si="1033"/>
        <v>3.666883963494133E-2</v>
      </c>
      <c r="Q308" s="25">
        <f t="shared" si="1033"/>
        <v>2.2880485958992215E-2</v>
      </c>
      <c r="R308" s="25">
        <f t="shared" si="1033"/>
        <v>5.2899503842627399E-2</v>
      </c>
      <c r="S308" s="25">
        <f t="shared" si="1033"/>
        <v>1.7933824152061354E-2</v>
      </c>
      <c r="T308" s="25">
        <f t="shared" si="1033"/>
        <v>2.5172068549497852E-2</v>
      </c>
      <c r="U308" s="25">
        <f t="shared" si="1033"/>
        <v>3.4092241021563455E-2</v>
      </c>
      <c r="V308" s="25">
        <f t="shared" si="1033"/>
        <v>3.9556110311391252E-2</v>
      </c>
      <c r="W308" s="25">
        <f t="shared" si="1033"/>
        <v>2.2510764992566518E-2</v>
      </c>
      <c r="X308" s="25">
        <f t="shared" si="1033"/>
        <v>2.6115853724313898E-2</v>
      </c>
      <c r="Y308" s="25">
        <f t="shared" si="1033"/>
        <v>2.3712211388411116E-2</v>
      </c>
      <c r="Z308" s="25">
        <f t="shared" si="1033"/>
        <v>2.1908697571309022E-2</v>
      </c>
      <c r="AA308" s="25">
        <f t="shared" si="1033"/>
        <v>2.4499984089295799E-2</v>
      </c>
      <c r="AB308" s="25">
        <f t="shared" si="1033"/>
        <v>5.5598474954134107E-2</v>
      </c>
      <c r="AC308" s="25">
        <f t="shared" si="1033"/>
        <v>3.1211497769720122E-2</v>
      </c>
      <c r="AD308" s="25">
        <f t="shared" si="1033"/>
        <v>3.165225083398604E-2</v>
      </c>
      <c r="AE308" s="25">
        <f t="shared" si="1033"/>
        <v>3.0720830565780788E-2</v>
      </c>
      <c r="AF308" s="25">
        <f t="shared" si="1033"/>
        <v>2.9385158871409165E-2</v>
      </c>
      <c r="AG308" s="17"/>
      <c r="AH308" s="25"/>
      <c r="AI308" s="25"/>
      <c r="AJ308" s="25"/>
      <c r="AK308" s="25"/>
      <c r="AL308" s="25">
        <f t="shared" ref="AL308:BQ308" si="1034">AL257/AL15</f>
        <v>0.25793611428004565</v>
      </c>
      <c r="AM308" s="25">
        <f t="shared" si="1034"/>
        <v>0.19542838615546729</v>
      </c>
      <c r="AN308" s="25">
        <f t="shared" si="1034"/>
        <v>0.1898198619114364</v>
      </c>
      <c r="AO308" s="25">
        <f t="shared" si="1034"/>
        <v>0.16021769261091265</v>
      </c>
      <c r="AP308" s="25">
        <f t="shared" si="1034"/>
        <v>0.18557698427853095</v>
      </c>
      <c r="AQ308" s="25">
        <f t="shared" si="1034"/>
        <v>0.17837575056826396</v>
      </c>
      <c r="AR308" s="25">
        <f t="shared" si="1034"/>
        <v>0.19988745370552133</v>
      </c>
      <c r="AS308" s="25">
        <f t="shared" si="1034"/>
        <v>0.33107503318003645</v>
      </c>
      <c r="AT308" s="25">
        <f t="shared" si="1034"/>
        <v>0.17578501031400412</v>
      </c>
      <c r="AU308" s="25">
        <f t="shared" si="1034"/>
        <v>9.7304895060216584E-2</v>
      </c>
      <c r="AV308" s="25">
        <f t="shared" si="1034"/>
        <v>6.1172293434434616E-2</v>
      </c>
      <c r="AW308" s="25">
        <f t="shared" si="1034"/>
        <v>4.8658536585365848E-2</v>
      </c>
      <c r="AX308" s="25">
        <f t="shared" si="1034"/>
        <v>8.3837362712677568E-2</v>
      </c>
      <c r="AY308" s="25">
        <f t="shared" si="1034"/>
        <v>9.5692535921023447E-2</v>
      </c>
      <c r="AZ308" s="25">
        <f t="shared" si="1034"/>
        <v>8.3655553123708079E-2</v>
      </c>
      <c r="BA308" s="25">
        <f t="shared" si="1034"/>
        <v>8.6345529654765385E-2</v>
      </c>
      <c r="BB308" s="25">
        <f t="shared" si="1034"/>
        <v>0.12280726101920729</v>
      </c>
      <c r="BC308" s="25">
        <f t="shared" si="1034"/>
        <v>0.11093437104997798</v>
      </c>
      <c r="BD308" s="25">
        <f t="shared" si="1034"/>
        <v>0.1073735234110018</v>
      </c>
      <c r="BE308" s="25">
        <f t="shared" si="1034"/>
        <v>9.8387086246173275E-2</v>
      </c>
      <c r="BF308" s="25">
        <f t="shared" si="1034"/>
        <v>0.18361189463787031</v>
      </c>
      <c r="BG308" s="25">
        <f t="shared" si="1034"/>
        <v>0.14555121330546214</v>
      </c>
      <c r="BH308" s="25">
        <f t="shared" si="1034"/>
        <v>0.17546641502428764</v>
      </c>
      <c r="BI308" s="25">
        <f t="shared" si="1034"/>
        <v>0.10772043635918541</v>
      </c>
      <c r="BJ308" s="25">
        <f t="shared" si="1034"/>
        <v>0.14041303608148292</v>
      </c>
      <c r="BK308" s="25">
        <f t="shared" si="1034"/>
        <v>0.12713828338360392</v>
      </c>
      <c r="BL308" s="25">
        <f t="shared" si="1034"/>
        <v>0.12591479700854702</v>
      </c>
      <c r="BM308" s="25">
        <f t="shared" si="1034"/>
        <v>0.14275529388766553</v>
      </c>
      <c r="BN308" s="25">
        <f t="shared" si="1034"/>
        <v>0.12326348630815609</v>
      </c>
      <c r="BO308" s="25">
        <f t="shared" si="1034"/>
        <v>0.1095161710470393</v>
      </c>
      <c r="BP308" s="25">
        <f t="shared" si="1034"/>
        <v>7.1674201333189066E-2</v>
      </c>
      <c r="BQ308" s="25">
        <f t="shared" si="1034"/>
        <v>0.21361524798469736</v>
      </c>
      <c r="BR308" s="25">
        <f t="shared" ref="BR308:CW308" si="1035">BR257/BR15</f>
        <v>0.21429272808887892</v>
      </c>
      <c r="BS308" s="25">
        <f t="shared" si="1035"/>
        <v>0.17364848336594912</v>
      </c>
      <c r="BT308" s="25">
        <f t="shared" si="1035"/>
        <v>0.15228269892090598</v>
      </c>
      <c r="BU308" s="25">
        <f t="shared" si="1035"/>
        <v>0.13564413353089297</v>
      </c>
      <c r="BV308" s="25">
        <f t="shared" si="1035"/>
        <v>0.27671016141648297</v>
      </c>
      <c r="BW308" s="25">
        <f t="shared" si="1035"/>
        <v>0.16417315617054179</v>
      </c>
      <c r="BX308" s="25">
        <f t="shared" si="1035"/>
        <v>0.13665756153288469</v>
      </c>
      <c r="BY308" s="25">
        <f t="shared" si="1035"/>
        <v>0.34424575537401647</v>
      </c>
      <c r="BZ308" s="25">
        <f t="shared" si="1035"/>
        <v>0.43322186887907477</v>
      </c>
      <c r="CA308" s="25">
        <f t="shared" si="1035"/>
        <v>0.40978437185367489</v>
      </c>
      <c r="CB308" s="25">
        <f t="shared" si="1035"/>
        <v>0.33758319735122649</v>
      </c>
      <c r="CC308" s="25">
        <f t="shared" si="1035"/>
        <v>0.13165272935612063</v>
      </c>
      <c r="CD308" s="25">
        <f t="shared" si="1035"/>
        <v>0.15115154082631568</v>
      </c>
      <c r="CE308" s="25">
        <f t="shared" si="1035"/>
        <v>0.13904017255324885</v>
      </c>
      <c r="CF308" s="25">
        <f t="shared" si="1035"/>
        <v>0.10938486983272817</v>
      </c>
      <c r="CG308" s="25">
        <f t="shared" si="1035"/>
        <v>7.856009605076969E-2</v>
      </c>
      <c r="CH308" s="25">
        <f t="shared" si="1035"/>
        <v>0.11905806067630428</v>
      </c>
      <c r="CI308" s="25">
        <f t="shared" si="1035"/>
        <v>0.37144723721761852</v>
      </c>
      <c r="CJ308" s="25">
        <f t="shared" si="1035"/>
        <v>0.37533615179677038</v>
      </c>
      <c r="CK308" s="25">
        <f t="shared" si="1035"/>
        <v>0.18058021343426262</v>
      </c>
      <c r="CL308" s="25">
        <f t="shared" si="1035"/>
        <v>8.0647206643909536E-2</v>
      </c>
      <c r="CM308" s="25">
        <f t="shared" si="1035"/>
        <v>8.8769944381214175E-2</v>
      </c>
      <c r="CN308" s="25">
        <f t="shared" si="1035"/>
        <v>7.0854123444599015E-2</v>
      </c>
      <c r="CO308" s="25">
        <f t="shared" si="1035"/>
        <v>6.5026287743436967E-2</v>
      </c>
      <c r="CP308" s="25">
        <f t="shared" si="1035"/>
        <v>7.9323264639351104E-2</v>
      </c>
      <c r="CQ308" s="25">
        <f t="shared" si="1035"/>
        <v>8.6484786041837347E-2</v>
      </c>
      <c r="CR308" s="25">
        <f t="shared" si="1035"/>
        <v>0.11445369241574914</v>
      </c>
      <c r="CS308" s="25">
        <f t="shared" si="1035"/>
        <v>8.7823079255600733E-2</v>
      </c>
      <c r="CT308" s="25">
        <f t="shared" si="1035"/>
        <v>9.6433850524405451E-2</v>
      </c>
      <c r="CU308" s="25">
        <f t="shared" si="1035"/>
        <v>9.4812608110705382E-2</v>
      </c>
      <c r="CV308" s="25">
        <f t="shared" si="1035"/>
        <v>0.16532350612610147</v>
      </c>
      <c r="CW308" s="25">
        <f t="shared" si="1035"/>
        <v>0.17826882780211861</v>
      </c>
      <c r="CX308" s="25">
        <f t="shared" ref="CX308:DZ308" si="1036">CX257/CX15</f>
        <v>0.19379606495549501</v>
      </c>
      <c r="CY308" s="25">
        <f t="shared" si="1036"/>
        <v>0.16249928932855762</v>
      </c>
      <c r="CZ308" s="25">
        <f t="shared" si="1036"/>
        <v>0.15628982341161479</v>
      </c>
      <c r="DA308" s="25">
        <f t="shared" si="1036"/>
        <v>0.13317840191642649</v>
      </c>
      <c r="DB308" s="25">
        <f t="shared" si="1036"/>
        <v>0.1182072574759267</v>
      </c>
      <c r="DC308" s="25">
        <f t="shared" si="1036"/>
        <v>0.11528839885772148</v>
      </c>
      <c r="DD308" s="25">
        <f t="shared" si="1036"/>
        <v>0.12713031462750063</v>
      </c>
      <c r="DE308" s="25">
        <f t="shared" si="1036"/>
        <v>8.17194695405358E-2</v>
      </c>
      <c r="DF308" s="25">
        <f t="shared" si="1036"/>
        <v>0.11668768803201798</v>
      </c>
      <c r="DG308" s="25">
        <f t="shared" si="1036"/>
        <v>0.10451153403586058</v>
      </c>
      <c r="DH308" s="25">
        <f t="shared" si="1036"/>
        <v>0.1198594753502443</v>
      </c>
      <c r="DI308" s="25">
        <f t="shared" si="1036"/>
        <v>9.9237202618129905E-2</v>
      </c>
      <c r="DJ308" s="25">
        <f t="shared" si="1036"/>
        <v>6.6714264740010326E-2</v>
      </c>
      <c r="DK308" s="25">
        <f t="shared" si="1036"/>
        <v>6.0180673236241052E-2</v>
      </c>
      <c r="DL308" s="25">
        <f t="shared" si="1036"/>
        <v>8.1263084728938575E-2</v>
      </c>
      <c r="DM308" s="25">
        <f t="shared" si="1036"/>
        <v>9.4255794506379234E-2</v>
      </c>
      <c r="DN308" s="25">
        <f t="shared" si="1036"/>
        <v>6.9629782918489258E-2</v>
      </c>
      <c r="DO308" s="25">
        <f t="shared" si="1036"/>
        <v>6.6139484906483997E-2</v>
      </c>
      <c r="DP308" s="25">
        <f t="shared" si="1036"/>
        <v>7.2812673631716437E-2</v>
      </c>
      <c r="DQ308" s="25">
        <f t="shared" si="1036"/>
        <v>8.2511537625959613E-2</v>
      </c>
      <c r="DR308" s="25">
        <f t="shared" si="1036"/>
        <v>8.7189732823134997E-2</v>
      </c>
      <c r="DS308" s="25">
        <f t="shared" si="1036"/>
        <v>9.7529146427405025E-2</v>
      </c>
      <c r="DT308" s="25">
        <f t="shared" si="1036"/>
        <v>0.16573184825483001</v>
      </c>
      <c r="DU308" s="25">
        <f t="shared" si="1036"/>
        <v>0.13778246161683194</v>
      </c>
      <c r="DV308" s="25">
        <f t="shared" si="1036"/>
        <v>0.15502119953195365</v>
      </c>
      <c r="DW308" s="25">
        <f t="shared" si="1036"/>
        <v>0.15680057430507291</v>
      </c>
      <c r="DX308" s="25">
        <f t="shared" si="1036"/>
        <v>0.27682429365289812</v>
      </c>
      <c r="DY308" s="25">
        <f t="shared" si="1036"/>
        <v>0.25877663182528288</v>
      </c>
      <c r="DZ308" s="25">
        <f t="shared" si="1036"/>
        <v>0.21396773319158374</v>
      </c>
      <c r="EA308" s="25">
        <f t="shared" ref="EA308:EB308" si="1037">EA257/EA15</f>
        <v>0.17555647179368228</v>
      </c>
      <c r="EB308" s="25">
        <f t="shared" si="1037"/>
        <v>0.12073298409587571</v>
      </c>
      <c r="EC308" s="25">
        <f t="shared" ref="EC308:ED308" si="1038">EC257/EC15</f>
        <v>0.10445307032299218</v>
      </c>
      <c r="ED308" s="25">
        <f t="shared" si="1038"/>
        <v>0.11754730751268452</v>
      </c>
      <c r="EE308" s="82">
        <f t="shared" ref="EE308:EP308" si="1039">ED308</f>
        <v>0.11754730751268452</v>
      </c>
      <c r="EF308" s="82">
        <f t="shared" si="1039"/>
        <v>0.11754730751268452</v>
      </c>
      <c r="EG308" s="82">
        <f t="shared" si="1039"/>
        <v>0.11754730751268452</v>
      </c>
      <c r="EH308" s="82">
        <f t="shared" si="1039"/>
        <v>0.11754730751268452</v>
      </c>
      <c r="EI308" s="82">
        <f t="shared" si="1039"/>
        <v>0.11754730751268452</v>
      </c>
      <c r="EJ308" s="82">
        <f t="shared" si="1039"/>
        <v>0.11754730751268452</v>
      </c>
      <c r="EK308" s="82">
        <f t="shared" si="1039"/>
        <v>0.11754730751268452</v>
      </c>
      <c r="EL308" s="82">
        <f t="shared" si="1039"/>
        <v>0.11754730751268452</v>
      </c>
      <c r="EM308" s="82">
        <f t="shared" si="1039"/>
        <v>0.11754730751268452</v>
      </c>
      <c r="EN308" s="82">
        <f t="shared" si="1039"/>
        <v>0.11754730751268452</v>
      </c>
      <c r="EO308" s="82">
        <f t="shared" si="1039"/>
        <v>0.11754730751268452</v>
      </c>
      <c r="EP308" s="82">
        <f t="shared" si="1039"/>
        <v>0.11754730751268452</v>
      </c>
      <c r="EQ308" s="18"/>
      <c r="ER308" s="18"/>
      <c r="ES308" s="355">
        <f t="shared" si="838"/>
        <v>303</v>
      </c>
      <c r="ET308"/>
      <c r="EU308"/>
      <c r="EV308"/>
      <c r="EW308"/>
      <c r="EX308"/>
      <c r="EY308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</row>
    <row r="309" spans="1:257" s="4" customFormat="1" ht="12.75" hidden="1" customHeight="1" outlineLevel="2">
      <c r="A309" s="15"/>
      <c r="B309" s="5" t="s">
        <v>55</v>
      </c>
      <c r="C309" s="25"/>
      <c r="D309" s="25"/>
      <c r="E309" s="25">
        <f t="shared" ref="E309:AF309" si="1040">E266/E15</f>
        <v>5.5217009152189044E-2</v>
      </c>
      <c r="F309" s="25">
        <f t="shared" si="1040"/>
        <v>7.4546479990579437E-2</v>
      </c>
      <c r="G309" s="25">
        <f t="shared" si="1040"/>
        <v>6.8133502323616382E-2</v>
      </c>
      <c r="H309" s="25">
        <f t="shared" si="1040"/>
        <v>8.2439292544254694E-2</v>
      </c>
      <c r="I309" s="25">
        <f t="shared" si="1040"/>
        <v>9.3844659197270253E-2</v>
      </c>
      <c r="J309" s="25">
        <f t="shared" si="1040"/>
        <v>6.5592184272266763E-2</v>
      </c>
      <c r="K309" s="25">
        <f t="shared" si="1040"/>
        <v>7.4025894689181082E-2</v>
      </c>
      <c r="L309" s="25">
        <f t="shared" si="1040"/>
        <v>7.7805522080644687E-2</v>
      </c>
      <c r="M309" s="25">
        <f t="shared" si="1040"/>
        <v>4.1179490252997324E-2</v>
      </c>
      <c r="N309" s="25">
        <f t="shared" si="1040"/>
        <v>6.0860460761873465E-2</v>
      </c>
      <c r="O309" s="25">
        <f t="shared" si="1040"/>
        <v>5.7138239137762128E-2</v>
      </c>
      <c r="P309" s="25">
        <f t="shared" si="1040"/>
        <v>5.4139165036940454E-2</v>
      </c>
      <c r="Q309" s="25">
        <f t="shared" si="1040"/>
        <v>5.5733172146277252E-2</v>
      </c>
      <c r="R309" s="25">
        <f t="shared" si="1040"/>
        <v>7.9258629684694715E-2</v>
      </c>
      <c r="S309" s="25">
        <f t="shared" si="1040"/>
        <v>6.2624182497186542E-2</v>
      </c>
      <c r="T309" s="25">
        <f t="shared" si="1040"/>
        <v>6.3034760375793683E-2</v>
      </c>
      <c r="U309" s="25">
        <f t="shared" si="1040"/>
        <v>6.6887781554541142E-2</v>
      </c>
      <c r="V309" s="25">
        <f t="shared" si="1040"/>
        <v>7.6577560338996195E-2</v>
      </c>
      <c r="W309" s="25">
        <f t="shared" si="1040"/>
        <v>7.5827845028134042E-2</v>
      </c>
      <c r="X309" s="25">
        <f t="shared" si="1040"/>
        <v>5.6036197705312707E-2</v>
      </c>
      <c r="Y309" s="25">
        <f t="shared" si="1040"/>
        <v>5.6266445307605571E-2</v>
      </c>
      <c r="Z309" s="25">
        <f t="shared" si="1040"/>
        <v>7.608970967228082E-2</v>
      </c>
      <c r="AA309" s="25">
        <f t="shared" si="1040"/>
        <v>6.7283655016671537E-2</v>
      </c>
      <c r="AB309" s="25">
        <f t="shared" si="1040"/>
        <v>0.16697047989611136</v>
      </c>
      <c r="AC309" s="25">
        <f t="shared" si="1040"/>
        <v>0.11815955207587585</v>
      </c>
      <c r="AD309" s="25">
        <f t="shared" si="1040"/>
        <v>0.11002192325328697</v>
      </c>
      <c r="AE309" s="25">
        <f t="shared" si="1040"/>
        <v>0.10678434467467282</v>
      </c>
      <c r="AF309" s="25">
        <f t="shared" si="1040"/>
        <v>0.10214160475009362</v>
      </c>
      <c r="AG309" s="17"/>
      <c r="AH309" s="25"/>
      <c r="AI309" s="25"/>
      <c r="AJ309" s="25"/>
      <c r="AK309" s="25"/>
      <c r="AL309" s="25">
        <f t="shared" ref="AL309:BQ309" si="1041">AL266/AL15</f>
        <v>0.25395565696146022</v>
      </c>
      <c r="AM309" s="25">
        <f t="shared" si="1041"/>
        <v>0.2344862724209405</v>
      </c>
      <c r="AN309" s="25">
        <f t="shared" si="1041"/>
        <v>0.27432123760577271</v>
      </c>
      <c r="AO309" s="25">
        <f t="shared" si="1041"/>
        <v>0.30588863598794563</v>
      </c>
      <c r="AP309" s="25">
        <f t="shared" si="1041"/>
        <v>0.24096492903061545</v>
      </c>
      <c r="AQ309" s="25">
        <f t="shared" si="1041"/>
        <v>0.23044580798591496</v>
      </c>
      <c r="AR309" s="25">
        <f t="shared" si="1041"/>
        <v>0.29518537421642915</v>
      </c>
      <c r="AS309" s="25">
        <f t="shared" si="1041"/>
        <v>0.31110528102719215</v>
      </c>
      <c r="AT309" s="25">
        <f t="shared" si="1041"/>
        <v>0.28263809305523718</v>
      </c>
      <c r="AU309" s="25">
        <f t="shared" si="1041"/>
        <v>0.34771219558944111</v>
      </c>
      <c r="AV309" s="25">
        <f t="shared" si="1041"/>
        <v>0.23816974584261097</v>
      </c>
      <c r="AW309" s="25">
        <f t="shared" si="1041"/>
        <v>0.29965290806754219</v>
      </c>
      <c r="AX309" s="25">
        <f t="shared" si="1041"/>
        <v>0.33665164573445505</v>
      </c>
      <c r="AY309" s="25">
        <f t="shared" si="1041"/>
        <v>0.281862463964274</v>
      </c>
      <c r="AZ309" s="25">
        <f t="shared" si="1041"/>
        <v>0.26868672130217325</v>
      </c>
      <c r="BA309" s="25">
        <f t="shared" si="1041"/>
        <v>0.35058276777810549</v>
      </c>
      <c r="BB309" s="25">
        <f t="shared" si="1041"/>
        <v>0.38187659598090379</v>
      </c>
      <c r="BC309" s="25">
        <f t="shared" si="1041"/>
        <v>0.28019769638266745</v>
      </c>
      <c r="BD309" s="25">
        <f t="shared" si="1041"/>
        <v>0.30508375459708131</v>
      </c>
      <c r="BE309" s="25">
        <f t="shared" si="1041"/>
        <v>0.25347745771894425</v>
      </c>
      <c r="BF309" s="25">
        <f t="shared" si="1041"/>
        <v>0.28489734630011648</v>
      </c>
      <c r="BG309" s="25">
        <f t="shared" si="1041"/>
        <v>0.24819205151841706</v>
      </c>
      <c r="BH309" s="25">
        <f t="shared" si="1041"/>
        <v>0.27116271154976646</v>
      </c>
      <c r="BI309" s="25">
        <f t="shared" si="1041"/>
        <v>0.31518230083079607</v>
      </c>
      <c r="BJ309" s="25">
        <f t="shared" si="1041"/>
        <v>0.32535467550335073</v>
      </c>
      <c r="BK309" s="25">
        <f t="shared" si="1041"/>
        <v>0.28563686796300652</v>
      </c>
      <c r="BL309" s="25">
        <f t="shared" si="1041"/>
        <v>0.25744524572649574</v>
      </c>
      <c r="BM309" s="25">
        <f t="shared" si="1041"/>
        <v>0.26801474181696922</v>
      </c>
      <c r="BN309" s="25">
        <f t="shared" si="1041"/>
        <v>0.32755549465607015</v>
      </c>
      <c r="BO309" s="25">
        <f t="shared" si="1041"/>
        <v>0.2248819790052875</v>
      </c>
      <c r="BP309" s="25">
        <f t="shared" si="1041"/>
        <v>0.29591716727900536</v>
      </c>
      <c r="BQ309" s="25">
        <f t="shared" si="1041"/>
        <v>0.21591747506489958</v>
      </c>
      <c r="BR309" s="25">
        <f t="shared" ref="BR309:CW309" si="1042">BR266/BR15</f>
        <v>0.35785125126248457</v>
      </c>
      <c r="BS309" s="25">
        <f t="shared" si="1042"/>
        <v>0.35980308219178081</v>
      </c>
      <c r="BT309" s="25">
        <f t="shared" si="1042"/>
        <v>0.42792995770583814</v>
      </c>
      <c r="BU309" s="25">
        <f t="shared" si="1042"/>
        <v>0.25791250698340984</v>
      </c>
      <c r="BV309" s="25">
        <f t="shared" si="1042"/>
        <v>0.28738533741022543</v>
      </c>
      <c r="BW309" s="25">
        <f t="shared" si="1042"/>
        <v>0.24477319283590654</v>
      </c>
      <c r="BX309" s="25">
        <f t="shared" si="1042"/>
        <v>0.2416570855272312</v>
      </c>
      <c r="BY309" s="25">
        <f t="shared" si="1042"/>
        <v>0.21825847984037947</v>
      </c>
      <c r="BZ309" s="25">
        <f t="shared" si="1042"/>
        <v>0.20934960863315782</v>
      </c>
      <c r="CA309" s="25">
        <f t="shared" si="1042"/>
        <v>0.19719068128425998</v>
      </c>
      <c r="CB309" s="25">
        <f t="shared" si="1042"/>
        <v>0.18175108842109539</v>
      </c>
      <c r="CC309" s="25">
        <f t="shared" si="1042"/>
        <v>0.194376721847039</v>
      </c>
      <c r="CD309" s="25">
        <f t="shared" si="1042"/>
        <v>0.20983060356425212</v>
      </c>
      <c r="CE309" s="25">
        <f t="shared" si="1042"/>
        <v>0.16835265570234564</v>
      </c>
      <c r="CF309" s="25">
        <f t="shared" si="1042"/>
        <v>0.17337634470820254</v>
      </c>
      <c r="CG309" s="25">
        <f t="shared" si="1042"/>
        <v>0.19135971870846019</v>
      </c>
      <c r="CH309" s="25">
        <f t="shared" si="1042"/>
        <v>0.2776833680517487</v>
      </c>
      <c r="CI309" s="25">
        <f t="shared" si="1042"/>
        <v>0.17402262490114501</v>
      </c>
      <c r="CJ309" s="25">
        <f t="shared" si="1042"/>
        <v>0.22315476116023963</v>
      </c>
      <c r="CK309" s="25">
        <f t="shared" si="1042"/>
        <v>0.27056095474067648</v>
      </c>
      <c r="CL309" s="25">
        <f t="shared" si="1042"/>
        <v>0.36422195709616229</v>
      </c>
      <c r="CM309" s="25">
        <f t="shared" si="1042"/>
        <v>0.28485837610324916</v>
      </c>
      <c r="CN309" s="25">
        <f t="shared" si="1042"/>
        <v>0.24350185390031195</v>
      </c>
      <c r="CO309" s="25">
        <f t="shared" si="1042"/>
        <v>0.22706914466379943</v>
      </c>
      <c r="CP309" s="25">
        <f t="shared" si="1042"/>
        <v>0.26960581435325387</v>
      </c>
      <c r="CQ309" s="25">
        <f t="shared" si="1042"/>
        <v>0.21140561265422977</v>
      </c>
      <c r="CR309" s="25">
        <f t="shared" si="1042"/>
        <v>0.2168159122095549</v>
      </c>
      <c r="CS309" s="25">
        <f t="shared" si="1042"/>
        <v>0.21992259974405493</v>
      </c>
      <c r="CT309" s="25">
        <f t="shared" si="1042"/>
        <v>0.24080166219374943</v>
      </c>
      <c r="CU309" s="25">
        <f t="shared" si="1042"/>
        <v>0.26507015183547955</v>
      </c>
      <c r="CV309" s="25">
        <f t="shared" si="1042"/>
        <v>0.30469844004260288</v>
      </c>
      <c r="CW309" s="25">
        <f t="shared" si="1042"/>
        <v>0.34975718975089515</v>
      </c>
      <c r="CX309" s="25">
        <f t="shared" ref="CX309:DZ309" si="1043">CX266/CX15</f>
        <v>0.39106849438404567</v>
      </c>
      <c r="CY309" s="25">
        <f t="shared" si="1043"/>
        <v>0.28867815111717554</v>
      </c>
      <c r="CZ309" s="25">
        <f t="shared" si="1043"/>
        <v>0.32446460784800485</v>
      </c>
      <c r="DA309" s="25">
        <f t="shared" si="1043"/>
        <v>0.2578230525782842</v>
      </c>
      <c r="DB309" s="25">
        <f t="shared" si="1043"/>
        <v>0.24870930744885161</v>
      </c>
      <c r="DC309" s="25">
        <f t="shared" si="1043"/>
        <v>0.22957746944934368</v>
      </c>
      <c r="DD309" s="25">
        <f t="shared" si="1043"/>
        <v>0.28322995831360281</v>
      </c>
      <c r="DE309" s="25">
        <f t="shared" si="1043"/>
        <v>0.27527324256404917</v>
      </c>
      <c r="DF309" s="25">
        <f t="shared" si="1043"/>
        <v>0.25450321326584652</v>
      </c>
      <c r="DG309" s="25">
        <f t="shared" si="1043"/>
        <v>0.21756222872742481</v>
      </c>
      <c r="DH309" s="25">
        <f t="shared" si="1043"/>
        <v>0.24955079685527307</v>
      </c>
      <c r="DI309" s="25">
        <f t="shared" si="1043"/>
        <v>0.21293102512879064</v>
      </c>
      <c r="DJ309" s="25">
        <f t="shared" si="1043"/>
        <v>0.32498709405474024</v>
      </c>
      <c r="DK309" s="25">
        <f t="shared" si="1043"/>
        <v>0.1983003880430724</v>
      </c>
      <c r="DL309" s="25">
        <f t="shared" si="1043"/>
        <v>0.30318127772415276</v>
      </c>
      <c r="DM309" s="25">
        <f t="shared" si="1043"/>
        <v>0.22365853693047158</v>
      </c>
      <c r="DN309" s="25">
        <f t="shared" si="1043"/>
        <v>0.26158424768362176</v>
      </c>
      <c r="DO309" s="25">
        <f t="shared" si="1043"/>
        <v>0.20689589559338728</v>
      </c>
      <c r="DP309" s="25">
        <f t="shared" si="1043"/>
        <v>0.25684522527878234</v>
      </c>
      <c r="DQ309" s="25">
        <f t="shared" si="1043"/>
        <v>0.28656559442376844</v>
      </c>
      <c r="DR309" s="25">
        <f t="shared" si="1043"/>
        <v>0.22729819027946419</v>
      </c>
      <c r="DS309" s="25">
        <f t="shared" si="1043"/>
        <v>0.21723319558091164</v>
      </c>
      <c r="DT309" s="25">
        <f t="shared" si="1043"/>
        <v>0.30473852975340793</v>
      </c>
      <c r="DU309" s="25">
        <f t="shared" si="1043"/>
        <v>0.37838831164078396</v>
      </c>
      <c r="DV309" s="25">
        <f t="shared" si="1043"/>
        <v>0.50222999023346049</v>
      </c>
      <c r="DW309" s="25">
        <f t="shared" si="1043"/>
        <v>0.67107232790586269</v>
      </c>
      <c r="DX309" s="25">
        <f t="shared" si="1043"/>
        <v>0.68118563150994749</v>
      </c>
      <c r="DY309" s="25">
        <f t="shared" si="1043"/>
        <v>0.77714466875955202</v>
      </c>
      <c r="DZ309" s="25">
        <f t="shared" si="1043"/>
        <v>0.4926127102922177</v>
      </c>
      <c r="EA309" s="25">
        <f t="shared" ref="EA309:EB309" si="1044">EA266/EA15</f>
        <v>0.43639567966048337</v>
      </c>
      <c r="EB309" s="25">
        <f t="shared" si="1044"/>
        <v>0.40630641072640489</v>
      </c>
      <c r="EC309" s="25">
        <f t="shared" ref="EC309:ED309" si="1045">EC266/EC15</f>
        <v>0.39543530058619775</v>
      </c>
      <c r="ED309" s="25">
        <f t="shared" si="1045"/>
        <v>0.40858961069222777</v>
      </c>
      <c r="EE309" s="82">
        <f t="shared" ref="EE309:EP309" si="1046">ED309</f>
        <v>0.40858961069222777</v>
      </c>
      <c r="EF309" s="82">
        <f t="shared" si="1046"/>
        <v>0.40858961069222777</v>
      </c>
      <c r="EG309" s="82">
        <f t="shared" si="1046"/>
        <v>0.40858961069222777</v>
      </c>
      <c r="EH309" s="82">
        <f t="shared" si="1046"/>
        <v>0.40858961069222777</v>
      </c>
      <c r="EI309" s="82">
        <f t="shared" si="1046"/>
        <v>0.40858961069222777</v>
      </c>
      <c r="EJ309" s="82">
        <f t="shared" si="1046"/>
        <v>0.40858961069222777</v>
      </c>
      <c r="EK309" s="82">
        <f t="shared" si="1046"/>
        <v>0.40858961069222777</v>
      </c>
      <c r="EL309" s="82">
        <f t="shared" si="1046"/>
        <v>0.40858961069222777</v>
      </c>
      <c r="EM309" s="82">
        <f t="shared" si="1046"/>
        <v>0.40858961069222777</v>
      </c>
      <c r="EN309" s="82">
        <f t="shared" si="1046"/>
        <v>0.40858961069222777</v>
      </c>
      <c r="EO309" s="82">
        <f t="shared" si="1046"/>
        <v>0.40858961069222777</v>
      </c>
      <c r="EP309" s="82">
        <f t="shared" si="1046"/>
        <v>0.40858961069222777</v>
      </c>
      <c r="EQ309" s="18"/>
      <c r="ER309" s="18"/>
      <c r="ES309" s="355">
        <f t="shared" si="838"/>
        <v>304</v>
      </c>
      <c r="ET309"/>
      <c r="EU309"/>
      <c r="EV309"/>
      <c r="EW309"/>
      <c r="EX309"/>
      <c r="EY309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</row>
    <row r="310" spans="1:257" s="4" customFormat="1" ht="12.75" hidden="1" customHeight="1" outlineLevel="2">
      <c r="A310" s="15"/>
      <c r="B310" s="5" t="s">
        <v>54</v>
      </c>
      <c r="C310" s="25"/>
      <c r="D310" s="25"/>
      <c r="E310" s="25">
        <f t="shared" ref="E310:AF310" si="1047">E219/E15</f>
        <v>5.6069819341473693E-3</v>
      </c>
      <c r="F310" s="25">
        <f t="shared" si="1047"/>
        <v>5.6244538236989387E-3</v>
      </c>
      <c r="G310" s="25">
        <f t="shared" si="1047"/>
        <v>4.9784537389100129E-3</v>
      </c>
      <c r="H310" s="25">
        <f t="shared" si="1047"/>
        <v>4.3435284523050642E-3</v>
      </c>
      <c r="I310" s="25">
        <f t="shared" si="1047"/>
        <v>1.6192029572174983E-3</v>
      </c>
      <c r="J310" s="25">
        <f t="shared" si="1047"/>
        <v>2.2836410562177703E-3</v>
      </c>
      <c r="K310" s="25">
        <f t="shared" si="1047"/>
        <v>2.8137026961955721E-3</v>
      </c>
      <c r="L310" s="25">
        <f t="shared" si="1047"/>
        <v>2.5620825140789355E-3</v>
      </c>
      <c r="M310" s="25">
        <f t="shared" si="1047"/>
        <v>1.4787926797807998E-3</v>
      </c>
      <c r="N310" s="25">
        <f t="shared" si="1047"/>
        <v>2.1437005391731663E-3</v>
      </c>
      <c r="O310" s="25">
        <f t="shared" si="1047"/>
        <v>3.5479795242159457E-4</v>
      </c>
      <c r="P310" s="25">
        <f t="shared" si="1047"/>
        <v>1.697631464580617E-5</v>
      </c>
      <c r="Q310" s="25">
        <f t="shared" si="1047"/>
        <v>3.2470532991310381E-5</v>
      </c>
      <c r="R310" s="25">
        <f t="shared" si="1047"/>
        <v>7.9620317550515868E-3</v>
      </c>
      <c r="S310" s="25">
        <f t="shared" si="1047"/>
        <v>4.3015160236074077E-3</v>
      </c>
      <c r="T310" s="25">
        <f t="shared" si="1047"/>
        <v>3.6611060998957552E-3</v>
      </c>
      <c r="U310" s="25">
        <f t="shared" si="1047"/>
        <v>4.4075145271636577E-3</v>
      </c>
      <c r="V310" s="25">
        <f t="shared" si="1047"/>
        <v>8.4249557231513318E-3</v>
      </c>
      <c r="W310" s="25">
        <f t="shared" si="1047"/>
        <v>4.7568805932951619E-3</v>
      </c>
      <c r="X310" s="25">
        <f t="shared" si="1047"/>
        <v>5.7357663964931801E-3</v>
      </c>
      <c r="Y310" s="25">
        <f t="shared" si="1047"/>
        <v>6.9029356653871141E-3</v>
      </c>
      <c r="Z310" s="25">
        <f t="shared" si="1047"/>
        <v>7.1979520804983533E-3</v>
      </c>
      <c r="AA310" s="25">
        <f t="shared" si="1047"/>
        <v>8.5593840443974056E-3</v>
      </c>
      <c r="AB310" s="25">
        <f t="shared" si="1047"/>
        <v>1.735108490620435E-2</v>
      </c>
      <c r="AC310" s="25">
        <f t="shared" si="1047"/>
        <v>1.4825220799023675E-2</v>
      </c>
      <c r="AD310" s="25">
        <f t="shared" si="1047"/>
        <v>1.2322291084069865E-2</v>
      </c>
      <c r="AE310" s="25">
        <f t="shared" si="1047"/>
        <v>1.0967396445150532E-2</v>
      </c>
      <c r="AF310" s="25">
        <f t="shared" si="1047"/>
        <v>1.0620173026185691E-2</v>
      </c>
      <c r="AG310" s="17"/>
      <c r="AH310" s="25"/>
      <c r="AI310" s="25"/>
      <c r="AJ310" s="25"/>
      <c r="AK310" s="25"/>
      <c r="AL310" s="25">
        <f t="shared" ref="AL310:BQ310" si="1048">AL219/AL15</f>
        <v>5.4436783889688012E-3</v>
      </c>
      <c r="AM310" s="25">
        <f t="shared" si="1048"/>
        <v>5.3034426058662099E-3</v>
      </c>
      <c r="AN310" s="25">
        <f t="shared" si="1048"/>
        <v>5.9570160411150912E-3</v>
      </c>
      <c r="AO310" s="25">
        <f t="shared" si="1048"/>
        <v>5.8365016593975305E-3</v>
      </c>
      <c r="AP310" s="25">
        <f t="shared" si="1048"/>
        <v>5.8303099739036345E-3</v>
      </c>
      <c r="AQ310" s="25">
        <f t="shared" si="1048"/>
        <v>2.0234137881196702E-3</v>
      </c>
      <c r="AR310" s="25">
        <f t="shared" si="1048"/>
        <v>5.5618808317956367E-3</v>
      </c>
      <c r="AS310" s="25">
        <f t="shared" si="1048"/>
        <v>6.7286027346523062E-3</v>
      </c>
      <c r="AT310" s="25">
        <f t="shared" si="1048"/>
        <v>4.8705019482007785E-3</v>
      </c>
      <c r="AU310" s="25">
        <f t="shared" si="1048"/>
        <v>4.6959355134116344E-3</v>
      </c>
      <c r="AV310" s="25">
        <f t="shared" si="1048"/>
        <v>3.90162684800706E-3</v>
      </c>
      <c r="AW310" s="25">
        <f t="shared" si="1048"/>
        <v>4.0150093808630398E-3</v>
      </c>
      <c r="AX310" s="25">
        <f t="shared" si="1048"/>
        <v>3.1526823501190821E-3</v>
      </c>
      <c r="AY310" s="25">
        <f t="shared" si="1048"/>
        <v>2.8216833750086029E-3</v>
      </c>
      <c r="AZ310" s="25">
        <f t="shared" si="1048"/>
        <v>1.0862252052884578E-3</v>
      </c>
      <c r="BA310" s="25">
        <f t="shared" si="1048"/>
        <v>-3.76217173207436E-4</v>
      </c>
      <c r="BB310" s="25">
        <f t="shared" si="1048"/>
        <v>1.4502609081825247E-3</v>
      </c>
      <c r="BC310" s="25">
        <f t="shared" si="1048"/>
        <v>2.7126443311414408E-3</v>
      </c>
      <c r="BD310" s="25">
        <f t="shared" si="1048"/>
        <v>2.4756013567075155E-3</v>
      </c>
      <c r="BE310" s="25">
        <f t="shared" si="1048"/>
        <v>2.4804015639584595E-3</v>
      </c>
      <c r="BF310" s="25">
        <f t="shared" si="1048"/>
        <v>2.7084298123745774E-3</v>
      </c>
      <c r="BG310" s="25">
        <f t="shared" si="1048"/>
        <v>2.5642357279183599E-3</v>
      </c>
      <c r="BH310" s="25">
        <f t="shared" si="1048"/>
        <v>3.0630240400977694E-3</v>
      </c>
      <c r="BI310" s="25">
        <f t="shared" si="1048"/>
        <v>2.9758717238635838E-3</v>
      </c>
      <c r="BJ310" s="25">
        <f t="shared" si="1048"/>
        <v>2.7885852922466974E-3</v>
      </c>
      <c r="BK310" s="25">
        <f t="shared" si="1048"/>
        <v>2.7524047888991092E-3</v>
      </c>
      <c r="BL310" s="25">
        <f t="shared" si="1048"/>
        <v>2.5707799145299141E-3</v>
      </c>
      <c r="BM310" s="25">
        <f t="shared" si="1048"/>
        <v>2.2250714380170995E-3</v>
      </c>
      <c r="BN310" s="25">
        <f t="shared" si="1048"/>
        <v>1.997386006703628E-3</v>
      </c>
      <c r="BO310" s="25">
        <f t="shared" si="1048"/>
        <v>1.6772005831356795E-3</v>
      </c>
      <c r="BP310" s="25">
        <f t="shared" si="1048"/>
        <v>1.721761465473038E-3</v>
      </c>
      <c r="BQ310" s="25">
        <f t="shared" si="1048"/>
        <v>1.5712529034020978E-4</v>
      </c>
      <c r="BR310" s="25">
        <f t="shared" ref="BR310:CW310" si="1049">BR219/BR15</f>
        <v>1.963864886095837E-3</v>
      </c>
      <c r="BS310" s="25">
        <f t="shared" si="1049"/>
        <v>2.1480552837573386E-3</v>
      </c>
      <c r="BT310" s="25">
        <f t="shared" si="1049"/>
        <v>2.213526226333056E-3</v>
      </c>
      <c r="BU310" s="25">
        <f t="shared" si="1049"/>
        <v>2.2751746864550196E-3</v>
      </c>
      <c r="BV310" s="25">
        <f t="shared" si="1049"/>
        <v>1.2177344805518026E-3</v>
      </c>
      <c r="BW310" s="25">
        <f t="shared" si="1049"/>
        <v>1.1956097211041045E-4</v>
      </c>
      <c r="BX310" s="25">
        <f t="shared" si="1049"/>
        <v>1.0252429459623746E-4</v>
      </c>
      <c r="BY310" s="25">
        <f t="shared" si="1049"/>
        <v>1.0540978052177831E-4</v>
      </c>
      <c r="BZ310" s="25">
        <f t="shared" si="1049"/>
        <v>7.4475136475687597E-5</v>
      </c>
      <c r="CA310" s="25">
        <f t="shared" si="1049"/>
        <v>0</v>
      </c>
      <c r="CB310" s="25">
        <f t="shared" si="1049"/>
        <v>0</v>
      </c>
      <c r="CC310" s="25">
        <f t="shared" si="1049"/>
        <v>0</v>
      </c>
      <c r="CD310" s="25">
        <f t="shared" si="1049"/>
        <v>1.7174359825737496E-5</v>
      </c>
      <c r="CE310" s="25">
        <f t="shared" si="1049"/>
        <v>4.3138312213534641E-5</v>
      </c>
      <c r="CF310" s="25">
        <f t="shared" si="1049"/>
        <v>3.8575224097942496E-5</v>
      </c>
      <c r="CG310" s="25">
        <f t="shared" si="1049"/>
        <v>3.0015865528922425E-5</v>
      </c>
      <c r="CH310" s="25">
        <f t="shared" si="1049"/>
        <v>1.0650461258947171E-2</v>
      </c>
      <c r="CI310" s="25">
        <f t="shared" si="1049"/>
        <v>1.3296427466217377E-2</v>
      </c>
      <c r="CJ310" s="25">
        <f t="shared" si="1049"/>
        <v>4.828077899661035E-3</v>
      </c>
      <c r="CK310" s="25">
        <f t="shared" si="1049"/>
        <v>4.5178498267832417E-3</v>
      </c>
      <c r="CL310" s="25">
        <f t="shared" si="1049"/>
        <v>4.748977093626019E-3</v>
      </c>
      <c r="CM310" s="25">
        <f t="shared" si="1049"/>
        <v>4.6304249790624268E-3</v>
      </c>
      <c r="CN310" s="25">
        <f t="shared" si="1049"/>
        <v>4.0804796878041371E-3</v>
      </c>
      <c r="CO310" s="25">
        <f t="shared" si="1049"/>
        <v>3.8513824705361452E-3</v>
      </c>
      <c r="CP310" s="25">
        <f t="shared" si="1049"/>
        <v>4.5087953260938589E-3</v>
      </c>
      <c r="CQ310" s="25">
        <f t="shared" si="1049"/>
        <v>3.4899629257416969E-3</v>
      </c>
      <c r="CR310" s="25">
        <f t="shared" si="1049"/>
        <v>3.6324177012422563E-3</v>
      </c>
      <c r="CS310" s="25">
        <f t="shared" si="1049"/>
        <v>3.1624805771270086E-3</v>
      </c>
      <c r="CT310" s="25">
        <f t="shared" si="1049"/>
        <v>3.527031489978421E-3</v>
      </c>
      <c r="CU310" s="25">
        <f t="shared" si="1049"/>
        <v>3.9169709782817617E-3</v>
      </c>
      <c r="CV310" s="25">
        <f t="shared" si="1049"/>
        <v>5.2969953606160376E-3</v>
      </c>
      <c r="CW310" s="25">
        <f t="shared" si="1049"/>
        <v>5.6761554537749486E-3</v>
      </c>
      <c r="CX310" s="25">
        <f t="shared" ref="CX310:DZ310" si="1050">CX219/CX15</f>
        <v>1.7526879300125295E-2</v>
      </c>
      <c r="CY310" s="25">
        <f t="shared" si="1050"/>
        <v>6.633691511740294E-3</v>
      </c>
      <c r="CZ310" s="25">
        <f t="shared" si="1050"/>
        <v>6.1007397845191415E-3</v>
      </c>
      <c r="DA310" s="25">
        <f t="shared" si="1050"/>
        <v>5.333147272509331E-3</v>
      </c>
      <c r="DB310" s="25">
        <f t="shared" si="1050"/>
        <v>5.3595272449641976E-3</v>
      </c>
      <c r="DC310" s="25">
        <f t="shared" si="1050"/>
        <v>4.8924067596946433E-3</v>
      </c>
      <c r="DD310" s="25">
        <f t="shared" si="1050"/>
        <v>4.6111210302828016E-3</v>
      </c>
      <c r="DE310" s="25">
        <f t="shared" si="1050"/>
        <v>4.2625697287624279E-3</v>
      </c>
      <c r="DF310" s="25">
        <f t="shared" si="1050"/>
        <v>5.3536230459685389E-3</v>
      </c>
      <c r="DG310" s="25">
        <f t="shared" si="1050"/>
        <v>6.2806663012901585E-3</v>
      </c>
      <c r="DH310" s="25">
        <f t="shared" si="1050"/>
        <v>5.5404770763065958E-3</v>
      </c>
      <c r="DI310" s="25">
        <f t="shared" si="1050"/>
        <v>5.7604645022527037E-3</v>
      </c>
      <c r="DJ310" s="25">
        <f t="shared" si="1050"/>
        <v>7.1373429381982835E-3</v>
      </c>
      <c r="DK310" s="25">
        <f t="shared" si="1050"/>
        <v>6.7970163746303583E-3</v>
      </c>
      <c r="DL310" s="25">
        <f t="shared" si="1050"/>
        <v>6.8376821150277853E-3</v>
      </c>
      <c r="DM310" s="25">
        <f t="shared" si="1050"/>
        <v>6.8388452067477254E-3</v>
      </c>
      <c r="DN310" s="25">
        <f t="shared" si="1050"/>
        <v>7.9727022681161958E-3</v>
      </c>
      <c r="DO310" s="25">
        <f t="shared" si="1050"/>
        <v>6.4851191475549285E-3</v>
      </c>
      <c r="DP310" s="25">
        <f t="shared" si="1050"/>
        <v>8.7019358525008746E-3</v>
      </c>
      <c r="DQ310" s="25">
        <f t="shared" si="1050"/>
        <v>5.6992725153750404E-3</v>
      </c>
      <c r="DR310" s="25">
        <f t="shared" si="1050"/>
        <v>6.755128992777565E-3</v>
      </c>
      <c r="DS310" s="25">
        <f t="shared" si="1050"/>
        <v>7.5144720943219993E-3</v>
      </c>
      <c r="DT310" s="25">
        <f t="shared" si="1050"/>
        <v>1.0502649777161015E-2</v>
      </c>
      <c r="DU310" s="25">
        <f t="shared" si="1050"/>
        <v>1.1606534580227323E-2</v>
      </c>
      <c r="DV310" s="25">
        <f t="shared" si="1050"/>
        <v>1.7257985432286335E-2</v>
      </c>
      <c r="DW310" s="25">
        <f t="shared" si="1050"/>
        <v>1.6914485866565403E-2</v>
      </c>
      <c r="DX310" s="25">
        <f t="shared" si="1050"/>
        <v>1.9856904997238273E-2</v>
      </c>
      <c r="DY310" s="25">
        <f t="shared" si="1050"/>
        <v>1.5639672543279685E-2</v>
      </c>
      <c r="DZ310" s="25">
        <f t="shared" si="1050"/>
        <v>1.661849761853634E-2</v>
      </c>
      <c r="EA310" s="25">
        <f t="shared" ref="EA310:EB310" si="1051">EA219/EA15</f>
        <v>1.6473053527792561E-2</v>
      </c>
      <c r="EB310" s="25">
        <f t="shared" si="1051"/>
        <v>1.3984132604752311E-2</v>
      </c>
      <c r="EC310" s="25">
        <f t="shared" ref="EC310:ED310" si="1052">EC219/EC15</f>
        <v>1.3143089014753803E-2</v>
      </c>
      <c r="ED310" s="25">
        <f t="shared" si="1052"/>
        <v>1.2659682820837565E-2</v>
      </c>
      <c r="EE310" s="82">
        <f t="shared" ref="EE310:EP310" si="1053">ED310</f>
        <v>1.2659682820837565E-2</v>
      </c>
      <c r="EF310" s="82">
        <f t="shared" si="1053"/>
        <v>1.2659682820837565E-2</v>
      </c>
      <c r="EG310" s="82">
        <f t="shared" si="1053"/>
        <v>1.2659682820837565E-2</v>
      </c>
      <c r="EH310" s="82">
        <f t="shared" si="1053"/>
        <v>1.2659682820837565E-2</v>
      </c>
      <c r="EI310" s="82">
        <f t="shared" si="1053"/>
        <v>1.2659682820837565E-2</v>
      </c>
      <c r="EJ310" s="82">
        <f t="shared" si="1053"/>
        <v>1.2659682820837565E-2</v>
      </c>
      <c r="EK310" s="82">
        <f t="shared" si="1053"/>
        <v>1.2659682820837565E-2</v>
      </c>
      <c r="EL310" s="82">
        <f t="shared" si="1053"/>
        <v>1.2659682820837565E-2</v>
      </c>
      <c r="EM310" s="82">
        <f t="shared" si="1053"/>
        <v>1.2659682820837565E-2</v>
      </c>
      <c r="EN310" s="82">
        <f t="shared" si="1053"/>
        <v>1.2659682820837565E-2</v>
      </c>
      <c r="EO310" s="82">
        <f t="shared" si="1053"/>
        <v>1.2659682820837565E-2</v>
      </c>
      <c r="EP310" s="82">
        <f t="shared" si="1053"/>
        <v>1.2659682820837565E-2</v>
      </c>
      <c r="EQ310" s="18"/>
      <c r="ER310" s="18"/>
      <c r="ES310" s="355">
        <f t="shared" si="838"/>
        <v>305</v>
      </c>
      <c r="ET310"/>
      <c r="EU310"/>
      <c r="EV310"/>
      <c r="EW310"/>
      <c r="EX310"/>
      <c r="EY310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</row>
    <row r="311" spans="1:257" s="4" customFormat="1" ht="12.75" hidden="1" customHeight="1" outlineLevel="2">
      <c r="A311" s="15"/>
      <c r="B311" s="5" t="s">
        <v>53</v>
      </c>
      <c r="C311" s="25"/>
      <c r="D311" s="25"/>
      <c r="E311" s="25">
        <f t="shared" ref="E311:AF311" si="1054">E271/E260</f>
        <v>0.12464673716129968</v>
      </c>
      <c r="F311" s="25">
        <f t="shared" si="1054"/>
        <v>0.11097438918160694</v>
      </c>
      <c r="G311" s="25">
        <f t="shared" si="1054"/>
        <v>0.15793235841862044</v>
      </c>
      <c r="H311" s="25">
        <f t="shared" si="1054"/>
        <v>0.21215932823584238</v>
      </c>
      <c r="I311" s="25">
        <f t="shared" si="1054"/>
        <v>0.26219748620193867</v>
      </c>
      <c r="J311" s="25">
        <f t="shared" si="1054"/>
        <v>0.14944155662209999</v>
      </c>
      <c r="K311" s="25">
        <f t="shared" si="1054"/>
        <v>0.16867110812120684</v>
      </c>
      <c r="L311" s="25">
        <f t="shared" si="1054"/>
        <v>0.23255468709406849</v>
      </c>
      <c r="M311" s="25">
        <f t="shared" si="1054"/>
        <v>0.19435090477516379</v>
      </c>
      <c r="N311" s="25">
        <f t="shared" si="1054"/>
        <v>0.14641677205845485</v>
      </c>
      <c r="O311" s="25">
        <f t="shared" si="1054"/>
        <v>0.1735693934540094</v>
      </c>
      <c r="P311" s="25">
        <f t="shared" si="1054"/>
        <v>0.19483134636528038</v>
      </c>
      <c r="Q311" s="25">
        <f t="shared" si="1054"/>
        <v>0.25151100090125411</v>
      </c>
      <c r="R311" s="25">
        <f t="shared" si="1054"/>
        <v>0.18199232166479898</v>
      </c>
      <c r="S311" s="25">
        <f t="shared" si="1054"/>
        <v>0.16888009751855418</v>
      </c>
      <c r="T311" s="25">
        <f t="shared" si="1054"/>
        <v>0.17894037508048277</v>
      </c>
      <c r="U311" s="25">
        <f t="shared" si="1054"/>
        <v>0.20868383576139798</v>
      </c>
      <c r="V311" s="25">
        <f t="shared" si="1054"/>
        <v>0.23553535550927934</v>
      </c>
      <c r="W311" s="25">
        <f t="shared" si="1054"/>
        <v>0.265232916425306</v>
      </c>
      <c r="X311" s="25">
        <f t="shared" si="1054"/>
        <v>0.27783988816912331</v>
      </c>
      <c r="Y311" s="25">
        <f t="shared" si="1054"/>
        <v>0.26153850759916963</v>
      </c>
      <c r="Z311" s="25">
        <f t="shared" si="1054"/>
        <v>0.23421965776911596</v>
      </c>
      <c r="AA311" s="25">
        <f t="shared" si="1054"/>
        <v>0.23409521131918282</v>
      </c>
      <c r="AB311" s="25">
        <f t="shared" si="1054"/>
        <v>0.26093793399968468</v>
      </c>
      <c r="AC311" s="25">
        <f t="shared" si="1054"/>
        <v>0.26648178552868185</v>
      </c>
      <c r="AD311" s="25">
        <f t="shared" si="1054"/>
        <v>0.16026300904977378</v>
      </c>
      <c r="AE311" s="25">
        <f t="shared" si="1054"/>
        <v>0.16026300904977378</v>
      </c>
      <c r="AF311" s="25">
        <f t="shared" si="1054"/>
        <v>0.16026300904977378</v>
      </c>
      <c r="AG311" s="17"/>
      <c r="AH311" s="25"/>
      <c r="AI311" s="25"/>
      <c r="AJ311" s="25"/>
      <c r="AK311" s="25"/>
      <c r="AL311" s="25">
        <f t="shared" ref="AL311:BQ311" si="1055">AL271/AL260</f>
        <v>0.11417828371082911</v>
      </c>
      <c r="AM311" s="25">
        <f t="shared" si="1055"/>
        <v>0.12434531964585177</v>
      </c>
      <c r="AN311" s="25">
        <f t="shared" si="1055"/>
        <v>0.11557711133331758</v>
      </c>
      <c r="AO311" s="25">
        <f t="shared" si="1055"/>
        <v>0.11097438918160694</v>
      </c>
      <c r="AP311" s="25">
        <f t="shared" si="1055"/>
        <v>0.15570505249103139</v>
      </c>
      <c r="AQ311" s="25">
        <f t="shared" si="1055"/>
        <v>0.16059466363894409</v>
      </c>
      <c r="AR311" s="25">
        <f t="shared" si="1055"/>
        <v>0.1548959430709077</v>
      </c>
      <c r="AS311" s="25">
        <f t="shared" si="1055"/>
        <v>0.15793235841862044</v>
      </c>
      <c r="AT311" s="25">
        <f t="shared" si="1055"/>
        <v>0.15507541204230829</v>
      </c>
      <c r="AU311" s="25">
        <f t="shared" si="1055"/>
        <v>0.16625438557534308</v>
      </c>
      <c r="AV311" s="25">
        <f t="shared" si="1055"/>
        <v>0.17503406556210346</v>
      </c>
      <c r="AW311" s="25">
        <f t="shared" si="1055"/>
        <v>0.21215932823584238</v>
      </c>
      <c r="AX311" s="25">
        <f t="shared" si="1055"/>
        <v>0.22189381112641077</v>
      </c>
      <c r="AY311" s="25">
        <f t="shared" si="1055"/>
        <v>0.21848760218487601</v>
      </c>
      <c r="AZ311" s="25">
        <f t="shared" si="1055"/>
        <v>0.23748451114701771</v>
      </c>
      <c r="BA311" s="25">
        <f t="shared" si="1055"/>
        <v>0.26219748620193867</v>
      </c>
      <c r="BB311" s="25">
        <f t="shared" si="1055"/>
        <v>0.25022425895276029</v>
      </c>
      <c r="BC311" s="25">
        <f t="shared" si="1055"/>
        <v>0.24240482143254946</v>
      </c>
      <c r="BD311" s="25">
        <f t="shared" si="1055"/>
        <v>0.1989916267886114</v>
      </c>
      <c r="BE311" s="25">
        <f t="shared" si="1055"/>
        <v>0.14944155662209999</v>
      </c>
      <c r="BF311" s="25">
        <f t="shared" si="1055"/>
        <v>0.14543461444708555</v>
      </c>
      <c r="BG311" s="25">
        <f t="shared" si="1055"/>
        <v>0.15374065546743981</v>
      </c>
      <c r="BH311" s="25">
        <f t="shared" si="1055"/>
        <v>0.17087733362554719</v>
      </c>
      <c r="BI311" s="25">
        <f t="shared" si="1055"/>
        <v>0.16867110812120684</v>
      </c>
      <c r="BJ311" s="25">
        <f t="shared" si="1055"/>
        <v>0.18292369515443205</v>
      </c>
      <c r="BK311" s="25">
        <f t="shared" si="1055"/>
        <v>0.21309950431674116</v>
      </c>
      <c r="BL311" s="25">
        <f t="shared" si="1055"/>
        <v>0.21343418773064179</v>
      </c>
      <c r="BM311" s="25">
        <f t="shared" si="1055"/>
        <v>0.23255468709406849</v>
      </c>
      <c r="BN311" s="25">
        <f t="shared" si="1055"/>
        <v>0.22908731241274374</v>
      </c>
      <c r="BO311" s="25">
        <f t="shared" si="1055"/>
        <v>0.20381981770953159</v>
      </c>
      <c r="BP311" s="25">
        <f t="shared" si="1055"/>
        <v>0.17703107484793357</v>
      </c>
      <c r="BQ311" s="25">
        <f t="shared" si="1055"/>
        <v>0.19435090477516379</v>
      </c>
      <c r="BR311" s="25">
        <f t="shared" ref="BR311:CW311" si="1056">BR271/BR260</f>
        <v>0.18861393961082115</v>
      </c>
      <c r="BS311" s="25">
        <f t="shared" si="1056"/>
        <v>0.18566606584785614</v>
      </c>
      <c r="BT311" s="25">
        <f t="shared" si="1056"/>
        <v>0.15847688197429718</v>
      </c>
      <c r="BU311" s="25">
        <f t="shared" si="1056"/>
        <v>0.14641677205845485</v>
      </c>
      <c r="BV311" s="25">
        <f t="shared" si="1056"/>
        <v>0.15146925589553364</v>
      </c>
      <c r="BW311" s="25">
        <f t="shared" si="1056"/>
        <v>0.14971819253343358</v>
      </c>
      <c r="BX311" s="25">
        <f t="shared" si="1056"/>
        <v>0.16781606755331518</v>
      </c>
      <c r="BY311" s="25">
        <f t="shared" si="1056"/>
        <v>0.1735693934540094</v>
      </c>
      <c r="BZ311" s="25">
        <f t="shared" si="1056"/>
        <v>0.18347589526766972</v>
      </c>
      <c r="CA311" s="25">
        <f t="shared" si="1056"/>
        <v>0.19402813925443854</v>
      </c>
      <c r="CB311" s="25">
        <f t="shared" si="1056"/>
        <v>0.20685100279217886</v>
      </c>
      <c r="CC311" s="25">
        <f t="shared" si="1056"/>
        <v>0.19483134636528038</v>
      </c>
      <c r="CD311" s="25">
        <f t="shared" si="1056"/>
        <v>0.21943071360193231</v>
      </c>
      <c r="CE311" s="25">
        <f t="shared" si="1056"/>
        <v>0.23048566577764992</v>
      </c>
      <c r="CF311" s="25">
        <f t="shared" si="1056"/>
        <v>0.24124311251684064</v>
      </c>
      <c r="CG311" s="25">
        <f t="shared" si="1056"/>
        <v>0.25151100090125411</v>
      </c>
      <c r="CH311" s="25">
        <f t="shared" si="1056"/>
        <v>0.24867047246683174</v>
      </c>
      <c r="CI311" s="25">
        <f t="shared" si="1056"/>
        <v>0.24471426310806427</v>
      </c>
      <c r="CJ311" s="25">
        <f t="shared" si="1056"/>
        <v>0.22452684288069627</v>
      </c>
      <c r="CK311" s="25">
        <f t="shared" si="1056"/>
        <v>0.18199232166479898</v>
      </c>
      <c r="CL311" s="25">
        <f t="shared" si="1056"/>
        <v>0.16923735861713812</v>
      </c>
      <c r="CM311" s="25">
        <f t="shared" si="1056"/>
        <v>0.16303136399211268</v>
      </c>
      <c r="CN311" s="25">
        <f t="shared" si="1056"/>
        <v>0.16050362784456559</v>
      </c>
      <c r="CO311" s="25">
        <f t="shared" si="1056"/>
        <v>0.16888009751855418</v>
      </c>
      <c r="CP311" s="25">
        <f t="shared" si="1056"/>
        <v>0.16886078786960668</v>
      </c>
      <c r="CQ311" s="25">
        <f t="shared" si="1056"/>
        <v>0.16884695362253752</v>
      </c>
      <c r="CR311" s="25">
        <f t="shared" si="1056"/>
        <v>0.17196207707428721</v>
      </c>
      <c r="CS311" s="25">
        <f t="shared" si="1056"/>
        <v>0.17894037508048277</v>
      </c>
      <c r="CT311" s="25">
        <f t="shared" si="1056"/>
        <v>0.17081714004104726</v>
      </c>
      <c r="CU311" s="25">
        <f t="shared" si="1056"/>
        <v>0.18815802176683682</v>
      </c>
      <c r="CV311" s="25">
        <f t="shared" si="1056"/>
        <v>0.2019026318150999</v>
      </c>
      <c r="CW311" s="25">
        <f t="shared" si="1056"/>
        <v>0.20868383576139798</v>
      </c>
      <c r="CX311" s="25">
        <f t="shared" ref="CX311:DZ311" si="1057">CX271/CX260</f>
        <v>0.2142130342251736</v>
      </c>
      <c r="CY311" s="25">
        <f t="shared" si="1057"/>
        <v>0.21632905030806918</v>
      </c>
      <c r="CZ311" s="25">
        <f t="shared" si="1057"/>
        <v>0.21388513666987755</v>
      </c>
      <c r="DA311" s="25">
        <f t="shared" si="1057"/>
        <v>0.23553535550927934</v>
      </c>
      <c r="DB311" s="25">
        <f t="shared" si="1057"/>
        <v>0.25129292362579664</v>
      </c>
      <c r="DC311" s="25">
        <f t="shared" si="1057"/>
        <v>0.27138440669641745</v>
      </c>
      <c r="DD311" s="25">
        <f t="shared" si="1057"/>
        <v>0.27710698269402151</v>
      </c>
      <c r="DE311" s="25">
        <f t="shared" si="1057"/>
        <v>0.265232916425306</v>
      </c>
      <c r="DF311" s="25">
        <f t="shared" si="1057"/>
        <v>0.27352028352810975</v>
      </c>
      <c r="DG311" s="25">
        <f t="shared" si="1057"/>
        <v>0.28005485959460552</v>
      </c>
      <c r="DH311" s="25">
        <f t="shared" si="1057"/>
        <v>0.27175627286554482</v>
      </c>
      <c r="DI311" s="25">
        <f t="shared" si="1057"/>
        <v>0.27783988816912331</v>
      </c>
      <c r="DJ311" s="25">
        <f t="shared" si="1057"/>
        <v>0.27303542088477728</v>
      </c>
      <c r="DK311" s="25">
        <f t="shared" si="1057"/>
        <v>0.27459269274269271</v>
      </c>
      <c r="DL311" s="25">
        <f t="shared" si="1057"/>
        <v>0.2587375070475566</v>
      </c>
      <c r="DM311" s="25">
        <f t="shared" si="1057"/>
        <v>0.26153850759916963</v>
      </c>
      <c r="DN311" s="25">
        <f t="shared" si="1057"/>
        <v>0.26048421631226071</v>
      </c>
      <c r="DO311" s="25">
        <f t="shared" si="1057"/>
        <v>0.25423120213211764</v>
      </c>
      <c r="DP311" s="25">
        <f t="shared" si="1057"/>
        <v>0.26055553982272245</v>
      </c>
      <c r="DQ311" s="25">
        <f t="shared" si="1057"/>
        <v>0.23421965776911596</v>
      </c>
      <c r="DR311" s="25">
        <f t="shared" si="1057"/>
        <v>0.24393705500131851</v>
      </c>
      <c r="DS311" s="25">
        <f t="shared" si="1057"/>
        <v>0.23692932372813896</v>
      </c>
      <c r="DT311" s="25">
        <f t="shared" si="1057"/>
        <v>0.23549676030329411</v>
      </c>
      <c r="DU311" s="25">
        <f t="shared" si="1057"/>
        <v>0.23409521131918282</v>
      </c>
      <c r="DV311" s="25">
        <f t="shared" si="1057"/>
        <v>0.23425128692560251</v>
      </c>
      <c r="DW311" s="25">
        <f t="shared" si="1057"/>
        <v>0.23477439577904624</v>
      </c>
      <c r="DX311" s="25">
        <f t="shared" si="1057"/>
        <v>0.25593326893352486</v>
      </c>
      <c r="DY311" s="25">
        <f t="shared" si="1057"/>
        <v>0.26093793399968468</v>
      </c>
      <c r="DZ311" s="25">
        <f t="shared" si="1057"/>
        <v>0.26109206556007147</v>
      </c>
      <c r="EA311" s="25">
        <f t="shared" ref="EA311:ED311" si="1058">EA271/EA260</f>
        <v>0.25858503076638567</v>
      </c>
      <c r="EB311" s="25">
        <f t="shared" si="1058"/>
        <v>0.26175637192336271</v>
      </c>
      <c r="EC311" s="25">
        <f t="shared" si="1058"/>
        <v>0.26648178552868185</v>
      </c>
      <c r="ED311" s="25">
        <f t="shared" si="1058"/>
        <v>0.16776300904977379</v>
      </c>
      <c r="EE311" s="82">
        <f t="shared" ref="EE311:EG311" si="1059">+ED311-0.25%</f>
        <v>0.16526300904977378</v>
      </c>
      <c r="EF311" s="82">
        <f t="shared" si="1059"/>
        <v>0.16276300904977378</v>
      </c>
      <c r="EG311" s="82">
        <f t="shared" si="1059"/>
        <v>0.16026300904977378</v>
      </c>
      <c r="EH311" s="82">
        <f t="shared" ref="EH311:EP311" si="1060">EG311</f>
        <v>0.16026300904977378</v>
      </c>
      <c r="EI311" s="82">
        <f t="shared" si="1060"/>
        <v>0.16026300904977378</v>
      </c>
      <c r="EJ311" s="82">
        <f t="shared" si="1060"/>
        <v>0.16026300904977378</v>
      </c>
      <c r="EK311" s="82">
        <f t="shared" si="1060"/>
        <v>0.16026300904977378</v>
      </c>
      <c r="EL311" s="82">
        <f t="shared" si="1060"/>
        <v>0.16026300904977378</v>
      </c>
      <c r="EM311" s="82">
        <f t="shared" si="1060"/>
        <v>0.16026300904977378</v>
      </c>
      <c r="EN311" s="82">
        <f t="shared" si="1060"/>
        <v>0.16026300904977378</v>
      </c>
      <c r="EO311" s="82">
        <f t="shared" si="1060"/>
        <v>0.16026300904977378</v>
      </c>
      <c r="EP311" s="82">
        <f t="shared" si="1060"/>
        <v>0.16026300904977378</v>
      </c>
      <c r="EQ311" s="18"/>
      <c r="ER311" s="18"/>
      <c r="ES311" s="355">
        <f t="shared" si="838"/>
        <v>306</v>
      </c>
      <c r="ET311"/>
      <c r="EU311"/>
      <c r="EV311"/>
      <c r="EW311"/>
      <c r="EX311"/>
      <c r="EY31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</row>
    <row r="312" spans="1:257" s="4" customFormat="1" ht="12.75" hidden="1" customHeight="1" outlineLevel="2">
      <c r="A312" s="15"/>
      <c r="B312" s="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17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80"/>
      <c r="CT312" s="80"/>
      <c r="CU312" s="80"/>
      <c r="CV312" s="80"/>
      <c r="CW312" s="80"/>
      <c r="CX312" s="80"/>
      <c r="CY312" s="80"/>
      <c r="CZ312" s="80"/>
      <c r="DA312" s="80"/>
      <c r="DB312" s="80"/>
      <c r="DC312" s="80"/>
      <c r="DD312" s="80"/>
      <c r="DE312" s="80"/>
      <c r="DF312" s="80"/>
      <c r="DG312" s="80"/>
      <c r="DH312" s="80"/>
      <c r="DI312" s="80"/>
      <c r="DJ312" s="80"/>
      <c r="DK312" s="80"/>
      <c r="DL312" s="80"/>
      <c r="DM312" s="80"/>
      <c r="DN312" s="80"/>
      <c r="DO312" s="80"/>
      <c r="DP312" s="80"/>
      <c r="DQ312" s="80"/>
      <c r="DR312" s="80"/>
      <c r="DS312" s="80"/>
      <c r="DT312" s="80"/>
      <c r="DU312" s="80"/>
      <c r="DV312" s="80"/>
      <c r="DW312" s="80"/>
      <c r="DX312" s="80"/>
      <c r="DY312" s="80"/>
      <c r="DZ312" s="80"/>
      <c r="EA312" s="80"/>
      <c r="EB312" s="80"/>
      <c r="EC312" s="80"/>
      <c r="ED312" s="80"/>
      <c r="EE312" s="80"/>
      <c r="EF312" s="80"/>
      <c r="EG312" s="80"/>
      <c r="EH312" s="80"/>
      <c r="EI312" s="80"/>
      <c r="EJ312" s="80"/>
      <c r="EK312" s="80"/>
      <c r="EL312" s="80"/>
      <c r="EM312" s="80"/>
      <c r="EN312" s="80"/>
      <c r="EO312" s="80"/>
      <c r="EP312" s="80"/>
      <c r="EQ312" s="18"/>
      <c r="ER312" s="18"/>
      <c r="ES312" s="355">
        <f t="shared" si="838"/>
        <v>307</v>
      </c>
      <c r="ET312"/>
      <c r="EU312"/>
      <c r="EV312"/>
      <c r="EW312"/>
      <c r="EX312"/>
      <c r="EY312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</row>
    <row r="313" spans="1:257" s="4" customFormat="1" ht="12.75" customHeight="1" outlineLevel="1" collapsed="1">
      <c r="A313" s="15" t="s">
        <v>0</v>
      </c>
      <c r="B313" s="81" t="s">
        <v>52</v>
      </c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17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76"/>
      <c r="CT313" s="76"/>
      <c r="CU313" s="76"/>
      <c r="CV313" s="76"/>
      <c r="CW313" s="76"/>
      <c r="CX313" s="76"/>
      <c r="CY313" s="76"/>
      <c r="CZ313" s="76"/>
      <c r="DA313" s="76"/>
      <c r="DB313" s="76"/>
      <c r="DC313" s="76"/>
      <c r="DD313" s="76"/>
      <c r="DE313" s="76"/>
      <c r="DF313" s="80"/>
      <c r="DG313" s="80"/>
      <c r="DH313" s="80"/>
      <c r="DI313" s="80"/>
      <c r="DJ313" s="80"/>
      <c r="DK313" s="80"/>
      <c r="DL313" s="80"/>
      <c r="DM313" s="80"/>
      <c r="DN313" s="80"/>
      <c r="DO313" s="80"/>
      <c r="DP313" s="80"/>
      <c r="DQ313" s="80"/>
      <c r="DR313" s="80"/>
      <c r="DS313" s="80"/>
      <c r="DT313" s="80"/>
      <c r="DU313" s="80"/>
      <c r="DV313" s="80"/>
      <c r="DW313" s="80"/>
      <c r="DX313" s="80"/>
      <c r="DY313" s="80"/>
      <c r="DZ313" s="80"/>
      <c r="EA313" s="80"/>
      <c r="EB313" s="80"/>
      <c r="EC313" s="80"/>
      <c r="ED313" s="80"/>
      <c r="EE313" s="80"/>
      <c r="EF313" s="80"/>
      <c r="EG313" s="80"/>
      <c r="EH313" s="80"/>
      <c r="EI313" s="80"/>
      <c r="EJ313" s="80"/>
      <c r="EK313" s="80"/>
      <c r="EL313" s="80"/>
      <c r="EM313" s="80"/>
      <c r="EN313" s="80"/>
      <c r="EO313" s="80"/>
      <c r="EP313" s="80"/>
      <c r="EQ313" s="18"/>
      <c r="ER313" s="18"/>
      <c r="ES313" s="355">
        <f t="shared" si="838"/>
        <v>308</v>
      </c>
      <c r="ET313"/>
      <c r="EU313"/>
      <c r="EV313"/>
      <c r="EW313"/>
      <c r="EX313"/>
      <c r="EY313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</row>
    <row r="314" spans="1:257" s="4" customFormat="1" ht="12.75" hidden="1" customHeight="1" outlineLevel="2">
      <c r="A314" s="15"/>
      <c r="B314" s="5" t="s">
        <v>51</v>
      </c>
      <c r="C314" s="18"/>
      <c r="D314" s="18"/>
      <c r="E314" s="18">
        <f t="shared" ref="E314:AF314" si="1061">-E33</f>
        <v>48.609000000000002</v>
      </c>
      <c r="F314" s="18">
        <f t="shared" si="1061"/>
        <v>50.067999999999998</v>
      </c>
      <c r="G314" s="18">
        <f t="shared" si="1061"/>
        <v>54.442999999999998</v>
      </c>
      <c r="H314" s="18">
        <f t="shared" si="1061"/>
        <v>59.442</v>
      </c>
      <c r="I314" s="18">
        <f t="shared" si="1061"/>
        <v>71.691000000000003</v>
      </c>
      <c r="J314" s="18">
        <f t="shared" si="1061"/>
        <v>88.35</v>
      </c>
      <c r="K314" s="18">
        <f t="shared" si="1061"/>
        <v>109.167</v>
      </c>
      <c r="L314" s="18">
        <f t="shared" si="1061"/>
        <v>110.851</v>
      </c>
      <c r="M314" s="18">
        <f t="shared" si="1061"/>
        <v>75.313000000000002</v>
      </c>
      <c r="N314" s="18">
        <f t="shared" si="1061"/>
        <v>61.445999999999998</v>
      </c>
      <c r="O314" s="18">
        <f t="shared" si="1061"/>
        <v>82.513000000000005</v>
      </c>
      <c r="P314" s="18">
        <f t="shared" si="1061"/>
        <v>94.424999999999997</v>
      </c>
      <c r="Q314" s="18">
        <f t="shared" si="1061"/>
        <v>96.274000000000001</v>
      </c>
      <c r="R314" s="18">
        <f t="shared" si="1061"/>
        <v>101.583</v>
      </c>
      <c r="S314" s="18">
        <f t="shared" si="1061"/>
        <v>146.042</v>
      </c>
      <c r="T314" s="18">
        <f t="shared" si="1061"/>
        <v>210.76600000000002</v>
      </c>
      <c r="U314" s="18">
        <f t="shared" si="1061"/>
        <v>236.43700000000001</v>
      </c>
      <c r="V314" s="18">
        <f t="shared" si="1061"/>
        <v>267.04599999999999</v>
      </c>
      <c r="W314" s="18">
        <f t="shared" si="1061"/>
        <v>315.46799999999996</v>
      </c>
      <c r="X314" s="18">
        <f t="shared" si="1061"/>
        <v>392.40699999999998</v>
      </c>
      <c r="Y314" s="18">
        <f t="shared" si="1061"/>
        <v>455.62299999999999</v>
      </c>
      <c r="Z314" s="18">
        <f t="shared" si="1061"/>
        <v>506.54899999999998</v>
      </c>
      <c r="AA314" s="18">
        <f t="shared" si="1061"/>
        <v>569.99199999999996</v>
      </c>
      <c r="AB314" s="18">
        <f t="shared" si="1061"/>
        <v>560.48699999999997</v>
      </c>
      <c r="AC314" s="18">
        <f t="shared" si="1061"/>
        <v>543.45724000000007</v>
      </c>
      <c r="AD314" s="18">
        <f t="shared" si="1061"/>
        <v>544.385625785</v>
      </c>
      <c r="AE314" s="18">
        <f t="shared" si="1061"/>
        <v>546.46817807204309</v>
      </c>
      <c r="AF314" s="18">
        <f t="shared" si="1061"/>
        <v>537.57712683875479</v>
      </c>
      <c r="AG314" s="17"/>
      <c r="AH314" s="18">
        <f t="shared" ref="AH314:BM314" si="1062">-AH33</f>
        <v>12.853</v>
      </c>
      <c r="AI314" s="18">
        <f t="shared" si="1062"/>
        <v>12.802</v>
      </c>
      <c r="AJ314" s="18">
        <f t="shared" si="1062"/>
        <v>11.893000000000001</v>
      </c>
      <c r="AK314" s="18">
        <f t="shared" si="1062"/>
        <v>11.061</v>
      </c>
      <c r="AL314" s="18">
        <f t="shared" si="1062"/>
        <v>11.818</v>
      </c>
      <c r="AM314" s="18">
        <f t="shared" si="1062"/>
        <v>13.444000000000001</v>
      </c>
      <c r="AN314" s="18">
        <f t="shared" si="1062"/>
        <v>12.337</v>
      </c>
      <c r="AO314" s="18">
        <f t="shared" si="1062"/>
        <v>12.468999999999994</v>
      </c>
      <c r="AP314" s="18">
        <f t="shared" si="1062"/>
        <v>13.63</v>
      </c>
      <c r="AQ314" s="18">
        <f t="shared" si="1062"/>
        <v>13.183999999999999</v>
      </c>
      <c r="AR314" s="18">
        <f t="shared" si="1062"/>
        <v>13.792</v>
      </c>
      <c r="AS314" s="18">
        <f t="shared" si="1062"/>
        <v>13.836999999999996</v>
      </c>
      <c r="AT314" s="18">
        <f t="shared" si="1062"/>
        <v>13.573</v>
      </c>
      <c r="AU314" s="18">
        <f t="shared" si="1062"/>
        <v>14.432</v>
      </c>
      <c r="AV314" s="18">
        <f t="shared" si="1062"/>
        <v>14.122999999999999</v>
      </c>
      <c r="AW314" s="18">
        <f t="shared" si="1062"/>
        <v>17.314</v>
      </c>
      <c r="AX314" s="18">
        <f t="shared" si="1062"/>
        <v>15.472</v>
      </c>
      <c r="AY314" s="18">
        <f t="shared" si="1062"/>
        <v>17.379000000000001</v>
      </c>
      <c r="AZ314" s="18">
        <f t="shared" si="1062"/>
        <v>18.739999999999998</v>
      </c>
      <c r="BA314" s="18">
        <f t="shared" si="1062"/>
        <v>20.100000000000009</v>
      </c>
      <c r="BB314" s="18">
        <f t="shared" si="1062"/>
        <v>18.651</v>
      </c>
      <c r="BC314" s="18">
        <f t="shared" si="1062"/>
        <v>19.186</v>
      </c>
      <c r="BD314" s="18">
        <f t="shared" si="1062"/>
        <v>21.195</v>
      </c>
      <c r="BE314" s="18">
        <f t="shared" si="1062"/>
        <v>29.317999999999991</v>
      </c>
      <c r="BF314" s="18">
        <f t="shared" si="1062"/>
        <v>23.998999999999999</v>
      </c>
      <c r="BG314" s="18">
        <f t="shared" si="1062"/>
        <v>33.371000000000002</v>
      </c>
      <c r="BH314" s="18">
        <f t="shared" si="1062"/>
        <v>25.341000000000001</v>
      </c>
      <c r="BI314" s="18">
        <f t="shared" si="1062"/>
        <v>26.455999999999989</v>
      </c>
      <c r="BJ314" s="18">
        <f t="shared" si="1062"/>
        <v>26.138000000000002</v>
      </c>
      <c r="BK314" s="18">
        <f t="shared" si="1062"/>
        <v>27.702000000000002</v>
      </c>
      <c r="BL314" s="18">
        <f t="shared" si="1062"/>
        <v>26.712</v>
      </c>
      <c r="BM314" s="18">
        <f t="shared" si="1062"/>
        <v>30.298999999999999</v>
      </c>
      <c r="BN314" s="18">
        <f t="shared" ref="BN314:CS314" si="1063">-BN33</f>
        <v>17.978000000000002</v>
      </c>
      <c r="BO314" s="18">
        <f t="shared" si="1063"/>
        <v>22.783999999999999</v>
      </c>
      <c r="BP314" s="18">
        <f t="shared" si="1063"/>
        <v>21.341000000000001</v>
      </c>
      <c r="BQ314" s="18">
        <f t="shared" si="1063"/>
        <v>13.21</v>
      </c>
      <c r="BR314" s="18">
        <f t="shared" si="1063"/>
        <v>13.833</v>
      </c>
      <c r="BS314" s="18">
        <f t="shared" si="1063"/>
        <v>15.045999999999999</v>
      </c>
      <c r="BT314" s="18">
        <f t="shared" si="1063"/>
        <v>15.247</v>
      </c>
      <c r="BU314" s="18">
        <f t="shared" si="1063"/>
        <v>17.32</v>
      </c>
      <c r="BV314" s="18">
        <f t="shared" si="1063"/>
        <v>18.236000000000001</v>
      </c>
      <c r="BW314" s="18">
        <f t="shared" si="1063"/>
        <v>19.943000000000001</v>
      </c>
      <c r="BX314" s="18">
        <f t="shared" si="1063"/>
        <v>21.516999999999999</v>
      </c>
      <c r="BY314" s="18">
        <f t="shared" si="1063"/>
        <v>22.817</v>
      </c>
      <c r="BZ314" s="18">
        <f t="shared" si="1063"/>
        <v>22.268000000000001</v>
      </c>
      <c r="CA314" s="18">
        <f t="shared" si="1063"/>
        <v>23.402000000000001</v>
      </c>
      <c r="CB314" s="18">
        <f t="shared" si="1063"/>
        <v>23.934000000000001</v>
      </c>
      <c r="CC314" s="18">
        <f t="shared" si="1063"/>
        <v>24.821000000000002</v>
      </c>
      <c r="CD314" s="18">
        <f t="shared" si="1063"/>
        <v>23.262</v>
      </c>
      <c r="CE314" s="18">
        <f t="shared" si="1063"/>
        <v>23.95</v>
      </c>
      <c r="CF314" s="18">
        <f t="shared" si="1063"/>
        <v>23.419</v>
      </c>
      <c r="CG314" s="18">
        <f t="shared" si="1063"/>
        <v>25.643000000000001</v>
      </c>
      <c r="CH314" s="18">
        <f t="shared" si="1063"/>
        <v>22.922999999999998</v>
      </c>
      <c r="CI314" s="18">
        <f t="shared" si="1063"/>
        <v>23.385000000000002</v>
      </c>
      <c r="CJ314" s="18">
        <f t="shared" si="1063"/>
        <v>25.076000000000001</v>
      </c>
      <c r="CK314" s="18">
        <f t="shared" si="1063"/>
        <v>30.199000000000002</v>
      </c>
      <c r="CL314" s="18">
        <f t="shared" si="1063"/>
        <v>30.151</v>
      </c>
      <c r="CM314" s="18">
        <f t="shared" si="1063"/>
        <v>32.951999999999998</v>
      </c>
      <c r="CN314" s="18">
        <f t="shared" si="1063"/>
        <v>38.125</v>
      </c>
      <c r="CO314" s="18">
        <f t="shared" si="1063"/>
        <v>44.814</v>
      </c>
      <c r="CP314" s="18">
        <f t="shared" si="1063"/>
        <v>43.984000000000002</v>
      </c>
      <c r="CQ314" s="18">
        <f t="shared" si="1063"/>
        <v>51.872</v>
      </c>
      <c r="CR314" s="18">
        <f t="shared" si="1063"/>
        <v>51.21</v>
      </c>
      <c r="CS314" s="18">
        <f t="shared" si="1063"/>
        <v>63.7</v>
      </c>
      <c r="CT314" s="18">
        <f t="shared" ref="CT314:DH314" si="1064">-CT33</f>
        <v>54.771999999999998</v>
      </c>
      <c r="CU314" s="18">
        <f t="shared" si="1064"/>
        <v>57.113</v>
      </c>
      <c r="CV314" s="18">
        <f t="shared" si="1064"/>
        <v>61.042999999999999</v>
      </c>
      <c r="CW314" s="18">
        <f t="shared" si="1064"/>
        <v>63.509</v>
      </c>
      <c r="CX314" s="18">
        <f t="shared" si="1064"/>
        <v>62.802999999999997</v>
      </c>
      <c r="CY314" s="18">
        <f t="shared" si="1064"/>
        <v>65.795000000000002</v>
      </c>
      <c r="CZ314" s="18">
        <f t="shared" si="1064"/>
        <v>65.207999999999998</v>
      </c>
      <c r="DA314" s="18">
        <f t="shared" si="1064"/>
        <v>73.239999999999995</v>
      </c>
      <c r="DB314" s="18">
        <f t="shared" si="1064"/>
        <v>73.180000000000007</v>
      </c>
      <c r="DC314" s="18">
        <f t="shared" si="1064"/>
        <v>76.161000000000001</v>
      </c>
      <c r="DD314" s="18">
        <f t="shared" si="1064"/>
        <v>79.108999999999995</v>
      </c>
      <c r="DE314" s="18">
        <f t="shared" si="1064"/>
        <v>87.018000000000001</v>
      </c>
      <c r="DF314" s="18">
        <f t="shared" si="1064"/>
        <v>86.287999999999997</v>
      </c>
      <c r="DG314" s="18">
        <f t="shared" si="1064"/>
        <v>90.933999999999997</v>
      </c>
      <c r="DH314" s="18">
        <f t="shared" si="1064"/>
        <v>95.182000000000002</v>
      </c>
      <c r="DI314" s="18">
        <f>-DI33-14</f>
        <v>106.003</v>
      </c>
      <c r="DJ314" s="18">
        <f t="shared" ref="DJ314:EP314" si="1065">-DJ33</f>
        <v>106.599</v>
      </c>
      <c r="DK314" s="18">
        <f t="shared" si="1065"/>
        <v>112.43300000000001</v>
      </c>
      <c r="DL314" s="18">
        <f t="shared" si="1065"/>
        <v>117.79</v>
      </c>
      <c r="DM314" s="18">
        <f t="shared" si="1065"/>
        <v>118.801</v>
      </c>
      <c r="DN314" s="18">
        <f t="shared" si="1065"/>
        <v>120.23699999999999</v>
      </c>
      <c r="DO314" s="18">
        <f t="shared" si="1065"/>
        <v>123.96299999999999</v>
      </c>
      <c r="DP314" s="18">
        <f t="shared" si="1065"/>
        <v>128.97800000000001</v>
      </c>
      <c r="DQ314" s="18">
        <f t="shared" si="1065"/>
        <v>133.37100000000001</v>
      </c>
      <c r="DR314" s="18">
        <f t="shared" si="1065"/>
        <v>137.613</v>
      </c>
      <c r="DS314" s="18">
        <f t="shared" si="1065"/>
        <v>142.708</v>
      </c>
      <c r="DT314" s="18">
        <f t="shared" si="1065"/>
        <v>144.29499999999999</v>
      </c>
      <c r="DU314" s="18">
        <f t="shared" si="1065"/>
        <v>145.376</v>
      </c>
      <c r="DV314" s="18">
        <f t="shared" si="1065"/>
        <v>142.12899999999999</v>
      </c>
      <c r="DW314" s="18">
        <f t="shared" si="1065"/>
        <v>141.517</v>
      </c>
      <c r="DX314" s="18">
        <f t="shared" si="1065"/>
        <v>138.69</v>
      </c>
      <c r="DY314" s="18">
        <f t="shared" si="1065"/>
        <v>138.15100000000001</v>
      </c>
      <c r="DZ314" s="18">
        <f t="shared" si="1065"/>
        <v>133.84700000000001</v>
      </c>
      <c r="EA314" s="18">
        <f t="shared" si="1065"/>
        <v>134.77699999999999</v>
      </c>
      <c r="EB314" s="18">
        <f t="shared" ref="EB314:EC314" si="1066">-EB33</f>
        <v>136.35724000000002</v>
      </c>
      <c r="EC314" s="18">
        <f t="shared" si="1066"/>
        <v>138.476</v>
      </c>
      <c r="ED314" s="18">
        <f t="shared" si="1065"/>
        <v>136.06700000000001</v>
      </c>
      <c r="EE314" s="18">
        <f t="shared" si="1065"/>
        <v>136.136</v>
      </c>
      <c r="EF314" s="18">
        <f t="shared" si="1065"/>
        <v>135.69225999999998</v>
      </c>
      <c r="EG314" s="18">
        <f t="shared" si="1065"/>
        <v>136.49036578499999</v>
      </c>
      <c r="EH314" s="18">
        <f t="shared" si="1065"/>
        <v>137.25827847801997</v>
      </c>
      <c r="EI314" s="18">
        <f t="shared" si="1065"/>
        <v>136.86625245456969</v>
      </c>
      <c r="EJ314" s="18">
        <f t="shared" si="1065"/>
        <v>136.45677003354868</v>
      </c>
      <c r="EK314" s="18">
        <f t="shared" si="1065"/>
        <v>135.88687710590477</v>
      </c>
      <c r="EL314" s="18">
        <f t="shared" si="1065"/>
        <v>135.30278268814575</v>
      </c>
      <c r="EM314" s="18">
        <f t="shared" si="1065"/>
        <v>134.70532959355322</v>
      </c>
      <c r="EN314" s="18">
        <f t="shared" si="1065"/>
        <v>134.0953499739071</v>
      </c>
      <c r="EO314" s="18">
        <f t="shared" si="1065"/>
        <v>133.47366458314869</v>
      </c>
      <c r="EP314" s="18">
        <f t="shared" si="1065"/>
        <v>132.84108207912604</v>
      </c>
      <c r="EQ314" s="18"/>
      <c r="ER314" s="18"/>
      <c r="ES314" s="355">
        <f t="shared" si="838"/>
        <v>309</v>
      </c>
      <c r="ET314"/>
      <c r="EU314"/>
      <c r="EV314"/>
      <c r="EW314"/>
      <c r="EX314"/>
      <c r="EY314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</row>
    <row r="315" spans="1:257" s="4" customFormat="1" ht="12.75" hidden="1" customHeight="1" outlineLevel="2">
      <c r="A315" s="15"/>
      <c r="B315" s="63" t="s">
        <v>50</v>
      </c>
      <c r="C315" s="18"/>
      <c r="D315" s="18"/>
      <c r="E315" s="78">
        <f t="shared" ref="E315:AF315" si="1067">E314/E15</f>
        <v>0.1588285459422899</v>
      </c>
      <c r="F315" s="78">
        <f t="shared" si="1067"/>
        <v>0.15515435484570714</v>
      </c>
      <c r="G315" s="78">
        <f t="shared" si="1067"/>
        <v>0.18400675961132235</v>
      </c>
      <c r="H315" s="78">
        <f t="shared" si="1067"/>
        <v>0.15340939884843588</v>
      </c>
      <c r="I315" s="78">
        <f t="shared" si="1067"/>
        <v>0.14156375512912156</v>
      </c>
      <c r="J315" s="78">
        <f t="shared" si="1067"/>
        <v>0.14923053795624258</v>
      </c>
      <c r="K315" s="78">
        <f t="shared" si="1067"/>
        <v>0.19614526324111239</v>
      </c>
      <c r="L315" s="78">
        <f t="shared" si="1067"/>
        <v>0.18502241613561179</v>
      </c>
      <c r="M315" s="78">
        <f t="shared" si="1067"/>
        <v>9.8125385984432933E-2</v>
      </c>
      <c r="N315" s="78">
        <f t="shared" si="1067"/>
        <v>0.11739912952765985</v>
      </c>
      <c r="O315" s="78">
        <f t="shared" si="1067"/>
        <v>0.16264135248979464</v>
      </c>
      <c r="P315" s="78">
        <f t="shared" si="1067"/>
        <v>0.16029885104302474</v>
      </c>
      <c r="Q315" s="78">
        <f t="shared" si="1067"/>
        <v>0.12023338820020829</v>
      </c>
      <c r="R315" s="78">
        <f t="shared" si="1067"/>
        <v>8.2937558631399233E-2</v>
      </c>
      <c r="S315" s="78">
        <f t="shared" si="1067"/>
        <v>8.9615121700381328E-2</v>
      </c>
      <c r="T315" s="78">
        <f t="shared" si="1067"/>
        <v>0.10349204509799205</v>
      </c>
      <c r="U315" s="78">
        <f t="shared" si="1067"/>
        <v>0.12483223673442666</v>
      </c>
      <c r="V315" s="78">
        <f t="shared" si="1067"/>
        <v>0.14190165411823843</v>
      </c>
      <c r="W315" s="78">
        <f t="shared" si="1067"/>
        <v>0.12400988405963456</v>
      </c>
      <c r="X315" s="78">
        <f t="shared" si="1067"/>
        <v>0.12450242750020464</v>
      </c>
      <c r="Y315" s="78">
        <f t="shared" si="1067"/>
        <v>0.13515260438617477</v>
      </c>
      <c r="Z315" s="78">
        <f t="shared" si="1067"/>
        <v>0.13654328833555635</v>
      </c>
      <c r="AA315" s="78">
        <f t="shared" si="1067"/>
        <v>0.19364081882255071</v>
      </c>
      <c r="AB315" s="78">
        <f t="shared" si="1067"/>
        <v>0.3988458157660566</v>
      </c>
      <c r="AC315" s="78">
        <f t="shared" si="1067"/>
        <v>0.3077139203998015</v>
      </c>
      <c r="AD315" s="78">
        <f t="shared" si="1067"/>
        <v>0.23311313998587035</v>
      </c>
      <c r="AE315" s="78">
        <f t="shared" si="1067"/>
        <v>0.20014814331230352</v>
      </c>
      <c r="AF315" s="78">
        <f t="shared" si="1067"/>
        <v>0.18321879610503869</v>
      </c>
      <c r="AG315" s="78"/>
      <c r="AH315" s="78">
        <f t="shared" ref="AH315:BM315" si="1068">AH314/AH15</f>
        <v>0.16065848353791157</v>
      </c>
      <c r="AI315" s="78">
        <f t="shared" si="1068"/>
        <v>0.15757277370915132</v>
      </c>
      <c r="AJ315" s="78">
        <f t="shared" si="1068"/>
        <v>0.16496289617865317</v>
      </c>
      <c r="AK315" s="78">
        <f t="shared" si="1068"/>
        <v>0.15213534144831853</v>
      </c>
      <c r="AL315" s="78">
        <f t="shared" si="1068"/>
        <v>0.14654531025246761</v>
      </c>
      <c r="AM315" s="78">
        <f t="shared" si="1068"/>
        <v>0.15567572574948763</v>
      </c>
      <c r="AN315" s="78">
        <f t="shared" si="1068"/>
        <v>0.16011265119659449</v>
      </c>
      <c r="AO315" s="78">
        <f t="shared" si="1068"/>
        <v>0.15855193723535468</v>
      </c>
      <c r="AP315" s="78">
        <f t="shared" si="1068"/>
        <v>0.17350900642861689</v>
      </c>
      <c r="AQ315" s="78">
        <f t="shared" si="1068"/>
        <v>0.17322524274395931</v>
      </c>
      <c r="AR315" s="78">
        <f t="shared" si="1068"/>
        <v>0.18049284807558924</v>
      </c>
      <c r="AS315" s="78">
        <f t="shared" si="1068"/>
        <v>0.21354054137473372</v>
      </c>
      <c r="AT315" s="78">
        <f t="shared" si="1068"/>
        <v>0.15554664221865688</v>
      </c>
      <c r="AU315" s="78">
        <f t="shared" si="1068"/>
        <v>0.15367741798085421</v>
      </c>
      <c r="AV315" s="78">
        <f t="shared" si="1068"/>
        <v>0.14165212332751601</v>
      </c>
      <c r="AW315" s="78">
        <f t="shared" si="1068"/>
        <v>0.16242026266416507</v>
      </c>
      <c r="AX315" s="78">
        <f t="shared" si="1068"/>
        <v>0.1325497318506588</v>
      </c>
      <c r="AY315" s="78">
        <f t="shared" si="1068"/>
        <v>0.13289440480833201</v>
      </c>
      <c r="AZ315" s="78">
        <f t="shared" si="1068"/>
        <v>0.15190940557541563</v>
      </c>
      <c r="BA315" s="78">
        <f t="shared" si="1068"/>
        <v>0.14827382708763648</v>
      </c>
      <c r="BB315" s="78">
        <f t="shared" si="1068"/>
        <v>0.12942017319862328</v>
      </c>
      <c r="BC315" s="78">
        <f t="shared" si="1068"/>
        <v>0.13624291658973739</v>
      </c>
      <c r="BD315" s="78">
        <f t="shared" si="1068"/>
        <v>0.1377175085443984</v>
      </c>
      <c r="BE315" s="78">
        <f t="shared" si="1068"/>
        <v>0.19136950803193176</v>
      </c>
      <c r="BF315" s="78">
        <f t="shared" si="1068"/>
        <v>0.16839276442273957</v>
      </c>
      <c r="BG315" s="78">
        <f t="shared" si="1068"/>
        <v>0.21663572272497111</v>
      </c>
      <c r="BH315" s="78">
        <f t="shared" si="1068"/>
        <v>0.19601033383868074</v>
      </c>
      <c r="BI315" s="78">
        <f t="shared" si="1068"/>
        <v>0.20238987744610523</v>
      </c>
      <c r="BJ315" s="78">
        <f t="shared" si="1068"/>
        <v>0.19333698241046204</v>
      </c>
      <c r="BK315" s="78">
        <f t="shared" si="1068"/>
        <v>0.1975313923888164</v>
      </c>
      <c r="BL315" s="78">
        <f t="shared" si="1068"/>
        <v>0.17836538461538462</v>
      </c>
      <c r="BM315" s="78">
        <f t="shared" si="1068"/>
        <v>0.17420527002708033</v>
      </c>
      <c r="BN315" s="78">
        <f t="shared" ref="BN315:CS315" si="1069">BN314/BN15</f>
        <v>9.4746716697936217E-2</v>
      </c>
      <c r="BO315" s="78">
        <f t="shared" si="1069"/>
        <v>0.10412353701951858</v>
      </c>
      <c r="BP315" s="78">
        <f t="shared" si="1069"/>
        <v>0.10039374708923524</v>
      </c>
      <c r="BQ315" s="78">
        <f t="shared" si="1069"/>
        <v>9.0244568930181721E-2</v>
      </c>
      <c r="BR315" s="78">
        <f t="shared" si="1069"/>
        <v>9.7021939176298963E-2</v>
      </c>
      <c r="BS315" s="78">
        <f t="shared" si="1069"/>
        <v>0.11501651174168297</v>
      </c>
      <c r="BT315" s="78">
        <f t="shared" si="1069"/>
        <v>0.12053440847464326</v>
      </c>
      <c r="BU315" s="78">
        <f t="shared" si="1069"/>
        <v>0.14023496643914921</v>
      </c>
      <c r="BV315" s="78">
        <f t="shared" si="1069"/>
        <v>0.16209201450615088</v>
      </c>
      <c r="BW315" s="78">
        <f t="shared" si="1069"/>
        <v>0.15896029778652787</v>
      </c>
      <c r="BX315" s="78">
        <f t="shared" si="1069"/>
        <v>0.15757251763051708</v>
      </c>
      <c r="BY315" s="78">
        <f t="shared" si="1069"/>
        <v>0.17179535444038702</v>
      </c>
      <c r="BZ315" s="78">
        <f t="shared" si="1069"/>
        <v>0.16584123390406114</v>
      </c>
      <c r="CA315" s="78">
        <f t="shared" si="1069"/>
        <v>0.1636228884662714</v>
      </c>
      <c r="CB315" s="78">
        <f t="shared" si="1069"/>
        <v>0.16205455985808209</v>
      </c>
      <c r="CC315" s="78">
        <f t="shared" si="1069"/>
        <v>0.15128483311797547</v>
      </c>
      <c r="CD315" s="78">
        <f t="shared" si="1069"/>
        <v>0.13316998608876854</v>
      </c>
      <c r="CE315" s="78">
        <f t="shared" si="1069"/>
        <v>0.12914532218926933</v>
      </c>
      <c r="CF315" s="78">
        <f t="shared" si="1069"/>
        <v>0.1129241466437144</v>
      </c>
      <c r="CG315" s="78">
        <f t="shared" si="1069"/>
        <v>0.10995669139402256</v>
      </c>
      <c r="CH315" s="78">
        <f t="shared" si="1069"/>
        <v>8.9757545381928663E-2</v>
      </c>
      <c r="CI315" s="78">
        <f t="shared" si="1069"/>
        <v>8.0407798370181902E-2</v>
      </c>
      <c r="CJ315" s="78">
        <f t="shared" si="1069"/>
        <v>7.8412487961075181E-2</v>
      </c>
      <c r="CK315" s="78">
        <f t="shared" si="1069"/>
        <v>8.4166901245544157E-2</v>
      </c>
      <c r="CL315" s="78">
        <f t="shared" si="1069"/>
        <v>7.8030740245186969E-2</v>
      </c>
      <c r="CM315" s="78">
        <f t="shared" si="1069"/>
        <v>8.8453196469602952E-2</v>
      </c>
      <c r="CN315" s="78">
        <f t="shared" si="1069"/>
        <v>9.0499294995656052E-2</v>
      </c>
      <c r="CO315" s="78">
        <f t="shared" si="1069"/>
        <v>9.9708754497173202E-2</v>
      </c>
      <c r="CP315" s="78">
        <f t="shared" si="1069"/>
        <v>9.63161018081167E-2</v>
      </c>
      <c r="CQ315" s="78">
        <f t="shared" si="1069"/>
        <v>0.10951685231946358</v>
      </c>
      <c r="CR315" s="78">
        <f t="shared" si="1069"/>
        <v>9.8006380653643796E-2</v>
      </c>
      <c r="CS315" s="78">
        <f t="shared" si="1069"/>
        <v>0.10912785090086156</v>
      </c>
      <c r="CT315" s="78">
        <f t="shared" ref="CT315:DY315" si="1070">CT314/CT15</f>
        <v>8.7810258531408211E-2</v>
      </c>
      <c r="CU315" s="78">
        <f t="shared" si="1070"/>
        <v>0.10976936382856045</v>
      </c>
      <c r="CV315" s="78">
        <f t="shared" si="1070"/>
        <v>0.15742185384522148</v>
      </c>
      <c r="CW315" s="78">
        <f t="shared" si="1070"/>
        <v>0.17533412291526901</v>
      </c>
      <c r="CX315" s="78">
        <f t="shared" si="1070"/>
        <v>0.15706914964123414</v>
      </c>
      <c r="CY315" s="78">
        <f t="shared" si="1070"/>
        <v>0.14962760816419354</v>
      </c>
      <c r="CZ315" s="78">
        <f t="shared" si="1070"/>
        <v>0.1348989623156745</v>
      </c>
      <c r="DA315" s="78">
        <f t="shared" si="1070"/>
        <v>0.13102975720851515</v>
      </c>
      <c r="DB315" s="78">
        <f t="shared" si="1070"/>
        <v>0.12306564285738313</v>
      </c>
      <c r="DC315" s="78">
        <f t="shared" si="1070"/>
        <v>0.12600966899732963</v>
      </c>
      <c r="DD315" s="78">
        <f t="shared" si="1070"/>
        <v>0.12282194396789295</v>
      </c>
      <c r="DE315" s="78">
        <f t="shared" si="1070"/>
        <v>0.12417820309924639</v>
      </c>
      <c r="DF315" s="78">
        <f t="shared" si="1070"/>
        <v>0.11778516710620429</v>
      </c>
      <c r="DG315" s="78">
        <f t="shared" si="1070"/>
        <v>0.118098864648784</v>
      </c>
      <c r="DH315" s="78">
        <f t="shared" si="1070"/>
        <v>0.11610605219661255</v>
      </c>
      <c r="DI315" s="78">
        <f t="shared" si="1070"/>
        <v>0.127799606243678</v>
      </c>
      <c r="DJ315" s="78">
        <f t="shared" si="1070"/>
        <v>0.12621659254628381</v>
      </c>
      <c r="DK315" s="78">
        <f t="shared" si="1070"/>
        <v>0.13411880344837046</v>
      </c>
      <c r="DL315" s="78">
        <f t="shared" si="1070"/>
        <v>0.14019331180663583</v>
      </c>
      <c r="DM315" s="78">
        <f t="shared" si="1070"/>
        <v>0.14007959472531661</v>
      </c>
      <c r="DN315" s="78">
        <f t="shared" si="1070"/>
        <v>0.13674947255513364</v>
      </c>
      <c r="DO315" s="78">
        <f t="shared" si="1070"/>
        <v>0.13874953829622913</v>
      </c>
      <c r="DP315" s="78">
        <f t="shared" si="1070"/>
        <v>0.13546871241808786</v>
      </c>
      <c r="DQ315" s="78">
        <f t="shared" si="1070"/>
        <v>0.13539680702673401</v>
      </c>
      <c r="DR315" s="78">
        <f t="shared" si="1070"/>
        <v>0.13314144458365784</v>
      </c>
      <c r="DS315" s="78">
        <f t="shared" si="1070"/>
        <v>0.17588572800336294</v>
      </c>
      <c r="DT315" s="78">
        <f t="shared" si="1070"/>
        <v>0.25086572580623218</v>
      </c>
      <c r="DU315" s="78">
        <f t="shared" si="1070"/>
        <v>0.27774676068067944</v>
      </c>
      <c r="DV315" s="78">
        <f t="shared" si="1070"/>
        <v>0.30966547298389396</v>
      </c>
      <c r="DW315" s="78">
        <f t="shared" si="1070"/>
        <v>0.39460720349138412</v>
      </c>
      <c r="DX315" s="78">
        <f t="shared" si="1070"/>
        <v>0.48536379169315735</v>
      </c>
      <c r="DY315" s="78">
        <f t="shared" si="1070"/>
        <v>0.45756806470280253</v>
      </c>
      <c r="DZ315" s="78">
        <f t="shared" ref="DZ315:EP315" si="1071">DZ314/DZ15</f>
        <v>0.37694222178414399</v>
      </c>
      <c r="EA315" s="78">
        <f t="shared" si="1071"/>
        <v>0.33751729025772242</v>
      </c>
      <c r="EB315" s="78">
        <f t="shared" ref="EB315:EC315" si="1072">EB314/EB15</f>
        <v>0.28174316279226302</v>
      </c>
      <c r="EC315" s="78">
        <f t="shared" si="1072"/>
        <v>0.26239942249236553</v>
      </c>
      <c r="ED315" s="78">
        <f t="shared" si="1071"/>
        <v>0.24305983665625866</v>
      </c>
      <c r="EE315" s="78">
        <f t="shared" si="1071"/>
        <v>0.24503744930533639</v>
      </c>
      <c r="EF315" s="78">
        <f t="shared" si="1071"/>
        <v>0.22956811596122659</v>
      </c>
      <c r="EG315" s="78">
        <f t="shared" si="1071"/>
        <v>0.21705519747192625</v>
      </c>
      <c r="EH315" s="78">
        <f t="shared" si="1071"/>
        <v>0.20955045174760595</v>
      </c>
      <c r="EI315" s="78">
        <f t="shared" si="1071"/>
        <v>0.20441320269660643</v>
      </c>
      <c r="EJ315" s="78">
        <f t="shared" si="1071"/>
        <v>0.19713956477000855</v>
      </c>
      <c r="EK315" s="78">
        <f t="shared" si="1071"/>
        <v>0.19043375862398071</v>
      </c>
      <c r="EL315" s="78">
        <f t="shared" si="1071"/>
        <v>0.18265218666736036</v>
      </c>
      <c r="EM315" s="78">
        <f t="shared" si="1071"/>
        <v>0.18424623672494822</v>
      </c>
      <c r="EN315" s="78">
        <f t="shared" si="1071"/>
        <v>0.18401682916739553</v>
      </c>
      <c r="EO315" s="78">
        <f t="shared" si="1071"/>
        <v>0.18197405404649686</v>
      </c>
      <c r="EP315" s="78">
        <f t="shared" si="1071"/>
        <v>0.18171357754601553</v>
      </c>
      <c r="EQ315" s="18"/>
      <c r="ER315" s="18"/>
      <c r="ES315" s="355">
        <f t="shared" si="838"/>
        <v>310</v>
      </c>
      <c r="ET315"/>
      <c r="EU315"/>
      <c r="EV315"/>
      <c r="EW315"/>
      <c r="EX315"/>
      <c r="EY315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</row>
    <row r="316" spans="1:257" s="4" customFormat="1" ht="12.75" hidden="1" customHeight="1" outlineLevel="2">
      <c r="A316" s="15"/>
      <c r="B316" s="5" t="s">
        <v>49</v>
      </c>
      <c r="C316" s="18"/>
      <c r="D316" s="18"/>
      <c r="E316" s="18">
        <f t="shared" ref="E316:AF316" si="1073">-E232</f>
        <v>54.209000000000003</v>
      </c>
      <c r="F316" s="18">
        <f t="shared" si="1073"/>
        <v>102.883</v>
      </c>
      <c r="G316" s="18">
        <f t="shared" si="1073"/>
        <v>109.901</v>
      </c>
      <c r="H316" s="18">
        <f t="shared" si="1073"/>
        <v>109.985</v>
      </c>
      <c r="I316" s="18">
        <f t="shared" si="1073"/>
        <v>161.17699999999999</v>
      </c>
      <c r="J316" s="18">
        <f t="shared" si="1073"/>
        <v>266.29899999999998</v>
      </c>
      <c r="K316" s="18">
        <f t="shared" si="1073"/>
        <v>122.95099999999999</v>
      </c>
      <c r="L316" s="18">
        <f t="shared" si="1073"/>
        <v>131.93199999999999</v>
      </c>
      <c r="M316" s="18">
        <f t="shared" si="1073"/>
        <v>184.66800000000001</v>
      </c>
      <c r="N316" s="18">
        <f t="shared" si="1073"/>
        <v>312.06400000000002</v>
      </c>
      <c r="O316" s="18">
        <f t="shared" si="1073"/>
        <v>246.30099999999999</v>
      </c>
      <c r="P316" s="18">
        <f t="shared" si="1073"/>
        <v>90.212000000000003</v>
      </c>
      <c r="Q316" s="18">
        <f t="shared" si="1073"/>
        <v>86.805000000000007</v>
      </c>
      <c r="R316" s="18">
        <f t="shared" si="1073"/>
        <v>528.90499999999997</v>
      </c>
      <c r="S316" s="18">
        <f t="shared" si="1073"/>
        <v>894.21400000000006</v>
      </c>
      <c r="T316" s="18">
        <f t="shared" si="1073"/>
        <v>705.63499999999999</v>
      </c>
      <c r="U316" s="18">
        <f t="shared" si="1073"/>
        <v>880.75300000000004</v>
      </c>
      <c r="V316" s="18">
        <f t="shared" si="1073"/>
        <v>329.572</v>
      </c>
      <c r="W316" s="18">
        <f t="shared" si="1073"/>
        <v>694.26400000000001</v>
      </c>
      <c r="X316" s="18">
        <f t="shared" si="1073"/>
        <v>1097.68</v>
      </c>
      <c r="Y316" s="18">
        <f t="shared" si="1073"/>
        <v>809.06600000000003</v>
      </c>
      <c r="Z316" s="18">
        <f t="shared" si="1073"/>
        <v>952.89200000000005</v>
      </c>
      <c r="AA316" s="18">
        <f t="shared" si="1073"/>
        <v>1133.482</v>
      </c>
      <c r="AB316" s="18">
        <f t="shared" si="1073"/>
        <v>257.16899999999998</v>
      </c>
      <c r="AC316" s="18">
        <f t="shared" si="1073"/>
        <v>397.56700000000001</v>
      </c>
      <c r="AD316" s="18">
        <f t="shared" si="1073"/>
        <v>451.69799999999998</v>
      </c>
      <c r="AE316" s="18">
        <f t="shared" si="1073"/>
        <v>310</v>
      </c>
      <c r="AF316" s="18">
        <f t="shared" si="1073"/>
        <v>300</v>
      </c>
      <c r="AG316" s="18"/>
      <c r="AH316" s="18">
        <f t="shared" ref="AH316:BM316" si="1074">-AH232</f>
        <v>10.929</v>
      </c>
      <c r="AI316" s="18">
        <f t="shared" si="1074"/>
        <v>8.9910000000000014</v>
      </c>
      <c r="AJ316" s="18">
        <f t="shared" si="1074"/>
        <v>10.096999999999998</v>
      </c>
      <c r="AK316" s="18">
        <f t="shared" si="1074"/>
        <v>24.192000000000004</v>
      </c>
      <c r="AL316" s="18">
        <f t="shared" si="1074"/>
        <v>13.509</v>
      </c>
      <c r="AM316" s="18">
        <f t="shared" si="1074"/>
        <v>14.995999999999999</v>
      </c>
      <c r="AN316" s="18">
        <f t="shared" si="1074"/>
        <v>38.041000000000011</v>
      </c>
      <c r="AO316" s="18">
        <f t="shared" si="1074"/>
        <v>36.336999999999989</v>
      </c>
      <c r="AP316" s="18">
        <f t="shared" si="1074"/>
        <v>27.404</v>
      </c>
      <c r="AQ316" s="18">
        <f t="shared" si="1074"/>
        <v>29.553999999999998</v>
      </c>
      <c r="AR316" s="18">
        <f t="shared" si="1074"/>
        <v>31.387</v>
      </c>
      <c r="AS316" s="18">
        <f t="shared" si="1074"/>
        <v>21.555999999999997</v>
      </c>
      <c r="AT316" s="18">
        <f t="shared" si="1074"/>
        <v>35.616</v>
      </c>
      <c r="AU316" s="18">
        <f t="shared" si="1074"/>
        <v>19.807000000000002</v>
      </c>
      <c r="AV316" s="18">
        <f t="shared" si="1074"/>
        <v>27.310999999999993</v>
      </c>
      <c r="AW316" s="18">
        <f t="shared" si="1074"/>
        <v>27.251000000000005</v>
      </c>
      <c r="AX316" s="18">
        <f t="shared" si="1074"/>
        <v>36.319000000000003</v>
      </c>
      <c r="AY316" s="18">
        <f t="shared" si="1074"/>
        <v>27.018000000000001</v>
      </c>
      <c r="AZ316" s="18">
        <f t="shared" si="1074"/>
        <v>38.10799999999999</v>
      </c>
      <c r="BA316" s="18">
        <f t="shared" si="1074"/>
        <v>59.731999999999999</v>
      </c>
      <c r="BB316" s="18">
        <f t="shared" si="1074"/>
        <v>48.633000000000003</v>
      </c>
      <c r="BC316" s="18">
        <f t="shared" si="1074"/>
        <v>52.753999999999998</v>
      </c>
      <c r="BD316" s="18">
        <f t="shared" si="1074"/>
        <v>75.852000000000004</v>
      </c>
      <c r="BE316" s="18">
        <f t="shared" si="1074"/>
        <v>89.059999999999974</v>
      </c>
      <c r="BF316" s="18">
        <f t="shared" si="1074"/>
        <v>44.417999999999999</v>
      </c>
      <c r="BG316" s="18">
        <f t="shared" si="1074"/>
        <v>29.583999999999996</v>
      </c>
      <c r="BH316" s="18">
        <f t="shared" si="1074"/>
        <v>19.14800000000001</v>
      </c>
      <c r="BI316" s="18">
        <f t="shared" si="1074"/>
        <v>29.800999999999988</v>
      </c>
      <c r="BJ316" s="18">
        <f t="shared" si="1074"/>
        <v>22.376999999999999</v>
      </c>
      <c r="BK316" s="18">
        <f t="shared" si="1074"/>
        <v>25.034000000000002</v>
      </c>
      <c r="BL316" s="18">
        <f t="shared" si="1074"/>
        <v>29.265000000000001</v>
      </c>
      <c r="BM316" s="18">
        <f t="shared" si="1074"/>
        <v>55.255999999999986</v>
      </c>
      <c r="BN316" s="18">
        <f t="shared" ref="BN316:CS316" si="1075">-BN232</f>
        <v>48.686999999999998</v>
      </c>
      <c r="BO316" s="18">
        <f t="shared" si="1075"/>
        <v>61.816000000000003</v>
      </c>
      <c r="BP316" s="18">
        <f t="shared" si="1075"/>
        <v>76.160999999999987</v>
      </c>
      <c r="BQ316" s="18">
        <f t="shared" si="1075"/>
        <v>-1.9959999999999809</v>
      </c>
      <c r="BR316" s="18">
        <f t="shared" si="1075"/>
        <v>62.991999999999997</v>
      </c>
      <c r="BS316" s="18">
        <f t="shared" si="1075"/>
        <v>75.477000000000004</v>
      </c>
      <c r="BT316" s="18">
        <f t="shared" si="1075"/>
        <v>76.454000000000008</v>
      </c>
      <c r="BU316" s="18">
        <f t="shared" si="1075"/>
        <v>97.14100000000002</v>
      </c>
      <c r="BV316" s="18">
        <f t="shared" si="1075"/>
        <v>69.254999999999995</v>
      </c>
      <c r="BW316" s="18">
        <f t="shared" si="1075"/>
        <v>68.548000000000002</v>
      </c>
      <c r="BX316" s="18">
        <f t="shared" si="1075"/>
        <v>63.578000000000003</v>
      </c>
      <c r="BY316" s="18">
        <f t="shared" si="1075"/>
        <v>44.919999999999987</v>
      </c>
      <c r="BZ316" s="18">
        <f t="shared" si="1075"/>
        <v>29.745999999999999</v>
      </c>
      <c r="CA316" s="18">
        <f t="shared" si="1075"/>
        <v>22.910999999999998</v>
      </c>
      <c r="CB316" s="18">
        <f t="shared" si="1075"/>
        <v>17.879000000000005</v>
      </c>
      <c r="CC316" s="18">
        <f t="shared" si="1075"/>
        <v>19.676000000000002</v>
      </c>
      <c r="CD316" s="18">
        <f t="shared" si="1075"/>
        <v>10.507</v>
      </c>
      <c r="CE316" s="18">
        <f t="shared" si="1075"/>
        <v>12.011999999999999</v>
      </c>
      <c r="CF316" s="18">
        <f t="shared" si="1075"/>
        <v>27.89</v>
      </c>
      <c r="CG316" s="18">
        <f t="shared" si="1075"/>
        <v>36.396000000000008</v>
      </c>
      <c r="CH316" s="18">
        <f t="shared" si="1075"/>
        <v>53.654000000000003</v>
      </c>
      <c r="CI316" s="18">
        <f t="shared" si="1075"/>
        <v>117.24600000000001</v>
      </c>
      <c r="CJ316" s="18">
        <f t="shared" si="1075"/>
        <v>151.67299999999997</v>
      </c>
      <c r="CK316" s="18">
        <f t="shared" si="1075"/>
        <v>206.33199999999999</v>
      </c>
      <c r="CL316" s="18">
        <f t="shared" si="1075"/>
        <v>187.48400000000001</v>
      </c>
      <c r="CM316" s="18">
        <f t="shared" si="1075"/>
        <v>246.41599999999997</v>
      </c>
      <c r="CN316" s="18">
        <f t="shared" si="1075"/>
        <v>247.24900000000002</v>
      </c>
      <c r="CO316" s="18">
        <f t="shared" si="1075"/>
        <v>213.06500000000005</v>
      </c>
      <c r="CP316" s="18">
        <f t="shared" si="1075"/>
        <v>149.84399999999999</v>
      </c>
      <c r="CQ316" s="18">
        <f t="shared" si="1075"/>
        <v>171.86700000000002</v>
      </c>
      <c r="CR316" s="18">
        <f t="shared" si="1075"/>
        <v>187.30699999999996</v>
      </c>
      <c r="CS316" s="18">
        <f t="shared" si="1075"/>
        <v>196.61700000000002</v>
      </c>
      <c r="CT316" s="18">
        <f t="shared" ref="CT316:DY316" si="1076">-CT232</f>
        <v>250.381</v>
      </c>
      <c r="CU316" s="18">
        <f t="shared" si="1076"/>
        <v>275.50300000000004</v>
      </c>
      <c r="CV316" s="18">
        <f t="shared" si="1076"/>
        <v>212.52699999999993</v>
      </c>
      <c r="CW316" s="18">
        <f t="shared" si="1076"/>
        <v>142.3420000000001</v>
      </c>
      <c r="CX316" s="18">
        <f t="shared" si="1076"/>
        <v>64.754000000000005</v>
      </c>
      <c r="CY316" s="18">
        <f t="shared" si="1076"/>
        <v>77.98299999999999</v>
      </c>
      <c r="CZ316" s="18">
        <f t="shared" si="1076"/>
        <v>77.462999999999994</v>
      </c>
      <c r="DA316" s="18">
        <f t="shared" si="1076"/>
        <v>109.37200000000003</v>
      </c>
      <c r="DB316" s="18">
        <f t="shared" si="1076"/>
        <v>116.224</v>
      </c>
      <c r="DC316" s="18">
        <f t="shared" si="1076"/>
        <v>170.02699999999999</v>
      </c>
      <c r="DD316" s="18">
        <f t="shared" si="1076"/>
        <v>207.52500000000003</v>
      </c>
      <c r="DE316" s="18">
        <f t="shared" si="1076"/>
        <v>200.488</v>
      </c>
      <c r="DF316" s="18">
        <f t="shared" si="1076"/>
        <v>256.94299999999998</v>
      </c>
      <c r="DG316" s="18">
        <f t="shared" si="1076"/>
        <v>235.75800000000004</v>
      </c>
      <c r="DH316" s="18">
        <f t="shared" si="1076"/>
        <v>281.54200000000003</v>
      </c>
      <c r="DI316" s="18">
        <f t="shared" si="1076"/>
        <v>323.43700000000001</v>
      </c>
      <c r="DJ316" s="18">
        <f t="shared" si="1076"/>
        <v>219.44399999999999</v>
      </c>
      <c r="DK316" s="18">
        <f t="shared" si="1076"/>
        <v>219.02900000000002</v>
      </c>
      <c r="DL316" s="18">
        <f t="shared" si="1076"/>
        <v>180.07699999999997</v>
      </c>
      <c r="DM316" s="18">
        <f t="shared" si="1076"/>
        <v>190.5160000000001</v>
      </c>
      <c r="DN316" s="18">
        <f t="shared" si="1076"/>
        <v>140.643</v>
      </c>
      <c r="DO316" s="18">
        <f t="shared" si="1076"/>
        <v>216.10999999999999</v>
      </c>
      <c r="DP316" s="18">
        <f t="shared" si="1076"/>
        <v>265.27499999999998</v>
      </c>
      <c r="DQ316" s="18">
        <f t="shared" si="1076"/>
        <v>330.86400000000003</v>
      </c>
      <c r="DR316" s="18">
        <f t="shared" si="1076"/>
        <v>369.029</v>
      </c>
      <c r="DS316" s="18">
        <f t="shared" si="1076"/>
        <v>394.33600000000001</v>
      </c>
      <c r="DT316" s="18">
        <f t="shared" si="1076"/>
        <v>208.49199999999996</v>
      </c>
      <c r="DU316" s="18">
        <f t="shared" si="1076"/>
        <v>161.625</v>
      </c>
      <c r="DV316" s="18">
        <f t="shared" si="1076"/>
        <v>114.47</v>
      </c>
      <c r="DW316" s="18">
        <f t="shared" si="1076"/>
        <v>66.010999999999996</v>
      </c>
      <c r="DX316" s="18">
        <f t="shared" si="1076"/>
        <v>39.068000000000012</v>
      </c>
      <c r="DY316" s="18">
        <f t="shared" si="1076"/>
        <v>37.619999999999976</v>
      </c>
      <c r="DZ316" s="18">
        <f t="shared" ref="DZ316:EP316" si="1077">-DZ232</f>
        <v>82.126999999999995</v>
      </c>
      <c r="EA316" s="18">
        <f t="shared" si="1077"/>
        <v>93.176000000000002</v>
      </c>
      <c r="EB316" s="18">
        <f t="shared" ref="EB316:EC316" si="1078">-EB232</f>
        <v>124.97199999999999</v>
      </c>
      <c r="EC316" s="18">
        <f t="shared" si="1078"/>
        <v>97.292000000000044</v>
      </c>
      <c r="ED316" s="18">
        <f t="shared" si="1077"/>
        <v>91.697999999999993</v>
      </c>
      <c r="EE316" s="18">
        <f t="shared" si="1077"/>
        <v>120</v>
      </c>
      <c r="EF316" s="18">
        <f t="shared" si="1077"/>
        <v>120</v>
      </c>
      <c r="EG316" s="18">
        <f t="shared" si="1077"/>
        <v>120</v>
      </c>
      <c r="EH316" s="18">
        <f t="shared" si="1077"/>
        <v>80</v>
      </c>
      <c r="EI316" s="18">
        <f t="shared" si="1077"/>
        <v>80</v>
      </c>
      <c r="EJ316" s="18">
        <f t="shared" si="1077"/>
        <v>75</v>
      </c>
      <c r="EK316" s="18">
        <f t="shared" si="1077"/>
        <v>75</v>
      </c>
      <c r="EL316" s="18">
        <f t="shared" si="1077"/>
        <v>75</v>
      </c>
      <c r="EM316" s="18">
        <f t="shared" si="1077"/>
        <v>75</v>
      </c>
      <c r="EN316" s="18">
        <f t="shared" si="1077"/>
        <v>75</v>
      </c>
      <c r="EO316" s="18">
        <f t="shared" si="1077"/>
        <v>75</v>
      </c>
      <c r="EP316" s="18">
        <f t="shared" si="1077"/>
        <v>75</v>
      </c>
      <c r="EQ316" s="18"/>
      <c r="ER316" s="18"/>
      <c r="ES316" s="355">
        <f t="shared" si="838"/>
        <v>311</v>
      </c>
      <c r="ET316"/>
      <c r="EU316"/>
      <c r="EV316"/>
      <c r="EW316"/>
      <c r="EX316"/>
      <c r="EY316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</row>
    <row r="317" spans="1:257" s="4" customFormat="1" ht="12.75" hidden="1" customHeight="1" outlineLevel="2">
      <c r="A317" s="15"/>
      <c r="B317" s="79" t="s">
        <v>48</v>
      </c>
      <c r="C317" s="78"/>
      <c r="D317" s="78"/>
      <c r="E317" s="78">
        <f t="shared" ref="E317:AF317" si="1079">E316/E314</f>
        <v>1.11520500318871</v>
      </c>
      <c r="F317" s="78">
        <f t="shared" si="1079"/>
        <v>2.0548653830790125</v>
      </c>
      <c r="G317" s="78">
        <f t="shared" si="1079"/>
        <v>2.0186433517623938</v>
      </c>
      <c r="H317" s="78">
        <f t="shared" si="1079"/>
        <v>1.8502910400053834</v>
      </c>
      <c r="I317" s="78">
        <f t="shared" si="1079"/>
        <v>2.2482180468957051</v>
      </c>
      <c r="J317" s="78">
        <f t="shared" si="1079"/>
        <v>3.0141369552914545</v>
      </c>
      <c r="K317" s="78">
        <f t="shared" si="1079"/>
        <v>1.126265263312173</v>
      </c>
      <c r="L317" s="78">
        <f t="shared" si="1079"/>
        <v>1.1901741977970428</v>
      </c>
      <c r="M317" s="78">
        <f t="shared" si="1079"/>
        <v>2.4520069576301569</v>
      </c>
      <c r="N317" s="78">
        <f t="shared" si="1079"/>
        <v>5.0786707027308537</v>
      </c>
      <c r="O317" s="78">
        <f t="shared" si="1079"/>
        <v>2.9849963036127636</v>
      </c>
      <c r="P317" s="78">
        <f t="shared" si="1079"/>
        <v>0.95538257876621668</v>
      </c>
      <c r="Q317" s="78">
        <f t="shared" si="1079"/>
        <v>0.90164530402808651</v>
      </c>
      <c r="R317" s="78">
        <f t="shared" si="1079"/>
        <v>5.2066290619493421</v>
      </c>
      <c r="S317" s="78">
        <f t="shared" si="1079"/>
        <v>6.1229920159953988</v>
      </c>
      <c r="T317" s="78">
        <f t="shared" si="1079"/>
        <v>3.3479546036837058</v>
      </c>
      <c r="U317" s="78">
        <f t="shared" si="1079"/>
        <v>3.7251064765666966</v>
      </c>
      <c r="V317" s="78">
        <f t="shared" si="1079"/>
        <v>1.2341394366513634</v>
      </c>
      <c r="W317" s="78">
        <f t="shared" si="1079"/>
        <v>2.2007430230641463</v>
      </c>
      <c r="X317" s="78">
        <f t="shared" si="1079"/>
        <v>2.7972997423593364</v>
      </c>
      <c r="Y317" s="78">
        <f t="shared" si="1079"/>
        <v>1.775735641089234</v>
      </c>
      <c r="Z317" s="78">
        <f t="shared" si="1079"/>
        <v>1.8811447658568077</v>
      </c>
      <c r="AA317" s="78">
        <f t="shared" si="1079"/>
        <v>1.9885928223554015</v>
      </c>
      <c r="AB317" s="78">
        <f t="shared" si="1079"/>
        <v>0.45883133774735185</v>
      </c>
      <c r="AC317" s="78">
        <f t="shared" si="1079"/>
        <v>0.7315515752444478</v>
      </c>
      <c r="AD317" s="78">
        <f t="shared" si="1079"/>
        <v>0.82973902800731525</v>
      </c>
      <c r="AE317" s="78">
        <f t="shared" si="1079"/>
        <v>0.56727914348771369</v>
      </c>
      <c r="AF317" s="78">
        <f t="shared" si="1079"/>
        <v>0.55805945793148382</v>
      </c>
      <c r="AG317" s="78"/>
      <c r="AH317" s="78">
        <f t="shared" ref="AH317:BM317" si="1080">AH316/AH314</f>
        <v>0.85030732124795771</v>
      </c>
      <c r="AI317" s="78">
        <f t="shared" si="1080"/>
        <v>0.70231213872832388</v>
      </c>
      <c r="AJ317" s="78">
        <f t="shared" si="1080"/>
        <v>0.84898679895736961</v>
      </c>
      <c r="AK317" s="78">
        <f t="shared" si="1080"/>
        <v>2.187144019528072</v>
      </c>
      <c r="AL317" s="78">
        <f t="shared" si="1080"/>
        <v>1.1430868167202572</v>
      </c>
      <c r="AM317" s="78">
        <f t="shared" si="1080"/>
        <v>1.1154418327878606</v>
      </c>
      <c r="AN317" s="78">
        <f t="shared" si="1080"/>
        <v>3.0834886925508642</v>
      </c>
      <c r="AO317" s="78">
        <f t="shared" si="1080"/>
        <v>2.9141871842168583</v>
      </c>
      <c r="AP317" s="78">
        <f t="shared" si="1080"/>
        <v>2.0105649303008071</v>
      </c>
      <c r="AQ317" s="78">
        <f t="shared" si="1080"/>
        <v>2.2416565533980584</v>
      </c>
      <c r="AR317" s="78">
        <f t="shared" si="1080"/>
        <v>2.2757395591647334</v>
      </c>
      <c r="AS317" s="78">
        <f t="shared" si="1080"/>
        <v>1.5578521355785215</v>
      </c>
      <c r="AT317" s="78">
        <f t="shared" si="1080"/>
        <v>2.6240330067044866</v>
      </c>
      <c r="AU317" s="78">
        <f t="shared" si="1080"/>
        <v>1.3724362527716187</v>
      </c>
      <c r="AV317" s="78">
        <f t="shared" si="1080"/>
        <v>1.9337959357077104</v>
      </c>
      <c r="AW317" s="78">
        <f t="shared" si="1080"/>
        <v>1.5739286126833778</v>
      </c>
      <c r="AX317" s="78">
        <f t="shared" si="1080"/>
        <v>2.3474017580144779</v>
      </c>
      <c r="AY317" s="78">
        <f t="shared" si="1080"/>
        <v>1.5546349041947176</v>
      </c>
      <c r="AZ317" s="78">
        <f t="shared" si="1080"/>
        <v>2.0335112059765206</v>
      </c>
      <c r="BA317" s="78">
        <f t="shared" si="1080"/>
        <v>2.9717412935323368</v>
      </c>
      <c r="BB317" s="78">
        <f t="shared" si="1080"/>
        <v>2.6075277465015283</v>
      </c>
      <c r="BC317" s="78">
        <f t="shared" si="1080"/>
        <v>2.7496090899614303</v>
      </c>
      <c r="BD317" s="78">
        <f t="shared" si="1080"/>
        <v>3.5787685774946922</v>
      </c>
      <c r="BE317" s="78">
        <f t="shared" si="1080"/>
        <v>3.0377242649566818</v>
      </c>
      <c r="BF317" s="78">
        <f t="shared" si="1080"/>
        <v>1.8508271177965749</v>
      </c>
      <c r="BG317" s="78">
        <f t="shared" si="1080"/>
        <v>0.88651823439513333</v>
      </c>
      <c r="BH317" s="78">
        <f t="shared" si="1080"/>
        <v>0.75561343277692317</v>
      </c>
      <c r="BI317" s="78">
        <f t="shared" si="1080"/>
        <v>1.1264363471424252</v>
      </c>
      <c r="BJ317" s="78">
        <f t="shared" si="1080"/>
        <v>0.85610987833805174</v>
      </c>
      <c r="BK317" s="78">
        <f t="shared" si="1080"/>
        <v>0.90368926431304597</v>
      </c>
      <c r="BL317" s="78">
        <f t="shared" si="1080"/>
        <v>1.095575022461815</v>
      </c>
      <c r="BM317" s="78">
        <f t="shared" si="1080"/>
        <v>1.8236905508432617</v>
      </c>
      <c r="BN317" s="78">
        <f t="shared" ref="BN317:CS317" si="1081">BN316/BN314</f>
        <v>2.708143286238736</v>
      </c>
      <c r="BO317" s="78">
        <f t="shared" si="1081"/>
        <v>2.7131320224719104</v>
      </c>
      <c r="BP317" s="78">
        <f t="shared" si="1081"/>
        <v>3.5687643503116058</v>
      </c>
      <c r="BQ317" s="78">
        <f t="shared" si="1081"/>
        <v>-0.15109765329295843</v>
      </c>
      <c r="BR317" s="78">
        <f t="shared" si="1081"/>
        <v>4.5537482830911582</v>
      </c>
      <c r="BS317" s="78">
        <f t="shared" si="1081"/>
        <v>5.0164163232752896</v>
      </c>
      <c r="BT317" s="78">
        <f t="shared" si="1081"/>
        <v>5.0143634813405917</v>
      </c>
      <c r="BU317" s="78">
        <f t="shared" si="1081"/>
        <v>5.6086027713625874</v>
      </c>
      <c r="BV317" s="78">
        <f t="shared" si="1081"/>
        <v>3.7977078306646193</v>
      </c>
      <c r="BW317" s="78">
        <f t="shared" si="1081"/>
        <v>3.4371960086245799</v>
      </c>
      <c r="BX317" s="78">
        <f t="shared" si="1081"/>
        <v>2.9547799414416511</v>
      </c>
      <c r="BY317" s="78">
        <f t="shared" si="1081"/>
        <v>1.9687075426217289</v>
      </c>
      <c r="BZ317" s="78">
        <f t="shared" si="1081"/>
        <v>1.3358182144781749</v>
      </c>
      <c r="CA317" s="78">
        <f t="shared" si="1081"/>
        <v>0.97901888727459174</v>
      </c>
      <c r="CB317" s="78">
        <f t="shared" si="1081"/>
        <v>0.74701261803292407</v>
      </c>
      <c r="CC317" s="78">
        <f t="shared" si="1081"/>
        <v>0.79271584545344675</v>
      </c>
      <c r="CD317" s="78">
        <f t="shared" si="1081"/>
        <v>0.45168085289313042</v>
      </c>
      <c r="CE317" s="78">
        <f t="shared" si="1081"/>
        <v>0.50154488517745299</v>
      </c>
      <c r="CF317" s="78">
        <f t="shared" si="1081"/>
        <v>1.1909133609462403</v>
      </c>
      <c r="CG317" s="78">
        <f t="shared" si="1081"/>
        <v>1.4193347112272359</v>
      </c>
      <c r="CH317" s="78">
        <f t="shared" si="1081"/>
        <v>2.3406185926798417</v>
      </c>
      <c r="CI317" s="78">
        <f t="shared" si="1081"/>
        <v>5.0137267479153307</v>
      </c>
      <c r="CJ317" s="78">
        <f t="shared" si="1081"/>
        <v>6.0485324613175937</v>
      </c>
      <c r="CK317" s="78">
        <f t="shared" si="1081"/>
        <v>6.832411669260571</v>
      </c>
      <c r="CL317" s="78">
        <f t="shared" si="1081"/>
        <v>6.2181685516234957</v>
      </c>
      <c r="CM317" s="78">
        <f t="shared" si="1081"/>
        <v>7.4780286477300306</v>
      </c>
      <c r="CN317" s="78">
        <f t="shared" si="1081"/>
        <v>6.4852196721311479</v>
      </c>
      <c r="CO317" s="78">
        <f t="shared" si="1081"/>
        <v>4.7544294193778738</v>
      </c>
      <c r="CP317" s="78">
        <f t="shared" si="1081"/>
        <v>3.406784285194616</v>
      </c>
      <c r="CQ317" s="78">
        <f t="shared" si="1081"/>
        <v>3.3132904071560767</v>
      </c>
      <c r="CR317" s="78">
        <f t="shared" si="1081"/>
        <v>3.6576254637766055</v>
      </c>
      <c r="CS317" s="78">
        <f t="shared" si="1081"/>
        <v>3.0866091051805338</v>
      </c>
      <c r="CT317" s="78">
        <f t="shared" ref="CT317:DY317" si="1082">CT316/CT314</f>
        <v>4.5713320674797346</v>
      </c>
      <c r="CU317" s="78">
        <f t="shared" si="1082"/>
        <v>4.823822947490064</v>
      </c>
      <c r="CV317" s="78">
        <f t="shared" si="1082"/>
        <v>3.4815949412709064</v>
      </c>
      <c r="CW317" s="78">
        <f t="shared" si="1082"/>
        <v>2.2412886362562801</v>
      </c>
      <c r="CX317" s="78">
        <f t="shared" si="1082"/>
        <v>1.0310653949652089</v>
      </c>
      <c r="CY317" s="78">
        <f t="shared" si="1082"/>
        <v>1.1852420396686676</v>
      </c>
      <c r="CZ317" s="78">
        <f t="shared" si="1082"/>
        <v>1.1879370629370629</v>
      </c>
      <c r="DA317" s="78">
        <f t="shared" si="1082"/>
        <v>1.4933369743309672</v>
      </c>
      <c r="DB317" s="78">
        <f t="shared" si="1082"/>
        <v>1.5881934954905712</v>
      </c>
      <c r="DC317" s="78">
        <f t="shared" si="1082"/>
        <v>2.2324680610811307</v>
      </c>
      <c r="DD317" s="78">
        <f t="shared" si="1082"/>
        <v>2.6232792729019461</v>
      </c>
      <c r="DE317" s="78">
        <f t="shared" si="1082"/>
        <v>2.3039830839596407</v>
      </c>
      <c r="DF317" s="78">
        <f t="shared" si="1082"/>
        <v>2.9777373447061004</v>
      </c>
      <c r="DG317" s="78">
        <f t="shared" si="1082"/>
        <v>2.5926276200321117</v>
      </c>
      <c r="DH317" s="78">
        <f t="shared" si="1082"/>
        <v>2.9579332226681516</v>
      </c>
      <c r="DI317" s="78">
        <f t="shared" si="1082"/>
        <v>3.0512060979406246</v>
      </c>
      <c r="DJ317" s="78">
        <f t="shared" si="1082"/>
        <v>2.0585934202009399</v>
      </c>
      <c r="DK317" s="78">
        <f t="shared" si="1082"/>
        <v>1.9480846370727456</v>
      </c>
      <c r="DL317" s="78">
        <f t="shared" si="1082"/>
        <v>1.5287970116308682</v>
      </c>
      <c r="DM317" s="78">
        <f t="shared" si="1082"/>
        <v>1.6036565348776535</v>
      </c>
      <c r="DN317" s="78">
        <f t="shared" si="1082"/>
        <v>1.1697148132438435</v>
      </c>
      <c r="DO317" s="78">
        <f t="shared" si="1082"/>
        <v>1.7433427716334713</v>
      </c>
      <c r="DP317" s="78">
        <f t="shared" si="1082"/>
        <v>2.0567461117399866</v>
      </c>
      <c r="DQ317" s="78">
        <f t="shared" si="1082"/>
        <v>2.4807791798816834</v>
      </c>
      <c r="DR317" s="78">
        <f t="shared" si="1082"/>
        <v>2.6816434493834156</v>
      </c>
      <c r="DS317" s="78">
        <f t="shared" si="1082"/>
        <v>2.7632368192392858</v>
      </c>
      <c r="DT317" s="78">
        <f t="shared" si="1082"/>
        <v>1.4449010707231711</v>
      </c>
      <c r="DU317" s="78">
        <f t="shared" si="1082"/>
        <v>1.1117722320052827</v>
      </c>
      <c r="DV317" s="78">
        <f t="shared" si="1082"/>
        <v>0.80539509881867888</v>
      </c>
      <c r="DW317" s="78">
        <f t="shared" si="1082"/>
        <v>0.46645279365729908</v>
      </c>
      <c r="DX317" s="78">
        <f t="shared" si="1082"/>
        <v>0.28169298435359441</v>
      </c>
      <c r="DY317" s="78">
        <f t="shared" si="1082"/>
        <v>0.27231073245941018</v>
      </c>
      <c r="DZ317" s="78">
        <f t="shared" ref="DZ317:EP317" si="1083">DZ316/DZ314</f>
        <v>0.61358864972692695</v>
      </c>
      <c r="EA317" s="78">
        <f t="shared" si="1083"/>
        <v>0.69133457489037453</v>
      </c>
      <c r="EB317" s="78">
        <f t="shared" ref="EB317:EC317" si="1084">EB316/EB314</f>
        <v>0.91650432349613398</v>
      </c>
      <c r="EC317" s="78">
        <f t="shared" si="1084"/>
        <v>0.70259106271122829</v>
      </c>
      <c r="ED317" s="78">
        <f t="shared" si="1083"/>
        <v>0.67391799628124371</v>
      </c>
      <c r="EE317" s="78">
        <f t="shared" si="1083"/>
        <v>0.88147146970676382</v>
      </c>
      <c r="EF317" s="78">
        <f t="shared" si="1083"/>
        <v>0.88435405232398678</v>
      </c>
      <c r="EG317" s="78">
        <f t="shared" si="1083"/>
        <v>0.87918293214207022</v>
      </c>
      <c r="EH317" s="78">
        <f t="shared" si="1083"/>
        <v>0.58284280472606176</v>
      </c>
      <c r="EI317" s="78">
        <f t="shared" si="1083"/>
        <v>0.58451224144209379</v>
      </c>
      <c r="EJ317" s="78">
        <f t="shared" si="1083"/>
        <v>0.54962461724369427</v>
      </c>
      <c r="EK317" s="78">
        <f t="shared" si="1083"/>
        <v>0.55192967560471651</v>
      </c>
      <c r="EL317" s="78">
        <f t="shared" si="1083"/>
        <v>0.55431232462428104</v>
      </c>
      <c r="EM317" s="78">
        <f t="shared" si="1083"/>
        <v>0.55677084363549478</v>
      </c>
      <c r="EN317" s="78">
        <f t="shared" si="1083"/>
        <v>0.55930351063324601</v>
      </c>
      <c r="EO317" s="78">
        <f t="shared" si="1083"/>
        <v>0.56190859997912201</v>
      </c>
      <c r="EP317" s="78">
        <f t="shared" si="1083"/>
        <v>0.56458438026970204</v>
      </c>
      <c r="EQ317" s="18"/>
      <c r="ER317" s="18"/>
      <c r="ES317" s="355">
        <f t="shared" si="838"/>
        <v>312</v>
      </c>
      <c r="ET317"/>
      <c r="EU317"/>
      <c r="EV317"/>
      <c r="EW317"/>
      <c r="EX317"/>
      <c r="EY317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</row>
    <row r="318" spans="1:257" s="4" customFormat="1" ht="12.75" hidden="1" customHeight="1" outlineLevel="2">
      <c r="A318" s="15"/>
      <c r="B318" s="79" t="s">
        <v>47</v>
      </c>
      <c r="C318" s="78"/>
      <c r="D318" s="78"/>
      <c r="E318" s="78">
        <f t="shared" ref="E318:AF318" si="1085">E316/E15</f>
        <v>0.17712638908402958</v>
      </c>
      <c r="F318" s="78">
        <f t="shared" si="1085"/>
        <v>0.31882131280640102</v>
      </c>
      <c r="G318" s="78">
        <f t="shared" si="1085"/>
        <v>0.37144402196873677</v>
      </c>
      <c r="H318" s="78">
        <f t="shared" si="1085"/>
        <v>0.2838520361418731</v>
      </c>
      <c r="I318" s="78">
        <f t="shared" si="1085"/>
        <v>0.3182661890676155</v>
      </c>
      <c r="J318" s="78">
        <f t="shared" si="1085"/>
        <v>0.44980127931193481</v>
      </c>
      <c r="K318" s="78">
        <f t="shared" si="1085"/>
        <v>0.22091159655168693</v>
      </c>
      <c r="L318" s="78">
        <f t="shared" si="1085"/>
        <v>0.22020890569867238</v>
      </c>
      <c r="M318" s="78">
        <f t="shared" si="1085"/>
        <v>0.24060412915397425</v>
      </c>
      <c r="N318" s="78">
        <f t="shared" si="1085"/>
        <v>0.59623151965823074</v>
      </c>
      <c r="O318" s="78">
        <f t="shared" si="1085"/>
        <v>0.48548383599661754</v>
      </c>
      <c r="P318" s="78">
        <f t="shared" si="1085"/>
        <v>0.15314672968274662</v>
      </c>
      <c r="Q318" s="78">
        <f t="shared" si="1085"/>
        <v>0.10840786985810376</v>
      </c>
      <c r="R318" s="78">
        <f t="shared" si="1085"/>
        <v>0.43182510309737071</v>
      </c>
      <c r="S318" s="78">
        <f t="shared" si="1085"/>
        <v>0.54871267468389084</v>
      </c>
      <c r="T318" s="78">
        <f t="shared" si="1085"/>
        <v>0.3464866688304642</v>
      </c>
      <c r="U318" s="78">
        <f t="shared" si="1085"/>
        <v>0.46501337354371985</v>
      </c>
      <c r="V318" s="78">
        <f t="shared" si="1085"/>
        <v>0.17512642747337942</v>
      </c>
      <c r="W318" s="78">
        <f t="shared" si="1085"/>
        <v>0.27291388713523446</v>
      </c>
      <c r="X318" s="78">
        <f t="shared" si="1085"/>
        <v>0.34827060836943435</v>
      </c>
      <c r="Y318" s="78">
        <f t="shared" si="1085"/>
        <v>0.23999529659456365</v>
      </c>
      <c r="Z318" s="78">
        <f t="shared" si="1085"/>
        <v>0.25685769216530874</v>
      </c>
      <c r="AA318" s="78">
        <f t="shared" si="1085"/>
        <v>0.38507274242554712</v>
      </c>
      <c r="AB318" s="78">
        <f t="shared" si="1085"/>
        <v>0.18300295920287357</v>
      </c>
      <c r="AC318" s="78">
        <f t="shared" si="1085"/>
        <v>0.2251086031931194</v>
      </c>
      <c r="AD318" s="78">
        <f t="shared" si="1085"/>
        <v>0.19342307018760929</v>
      </c>
      <c r="AE318" s="78">
        <f t="shared" si="1085"/>
        <v>0.11353986730885972</v>
      </c>
      <c r="AF318" s="78">
        <f t="shared" si="1085"/>
        <v>0.10224698203723694</v>
      </c>
      <c r="AG318" s="78"/>
      <c r="AH318" s="78">
        <f t="shared" ref="AH318:BM318" si="1086">AH316/AH15</f>
        <v>0.1366090847728807</v>
      </c>
      <c r="AI318" s="78">
        <f t="shared" si="1086"/>
        <v>0.11066527170902826</v>
      </c>
      <c r="AJ318" s="78">
        <f t="shared" si="1086"/>
        <v>0.14005132117345168</v>
      </c>
      <c r="AK318" s="78">
        <f t="shared" si="1086"/>
        <v>0.33274190220755107</v>
      </c>
      <c r="AL318" s="78">
        <f t="shared" si="1086"/>
        <v>0.1675140122017757</v>
      </c>
      <c r="AM318" s="78">
        <f t="shared" si="1086"/>
        <v>0.17364721685058881</v>
      </c>
      <c r="AN318" s="78">
        <f t="shared" si="1086"/>
        <v>0.49370554949903972</v>
      </c>
      <c r="AO318" s="78">
        <f t="shared" si="1086"/>
        <v>0.4620500235240263</v>
      </c>
      <c r="AP318" s="78">
        <f t="shared" si="1086"/>
        <v>0.34885112341671437</v>
      </c>
      <c r="AQ318" s="78">
        <f t="shared" si="1086"/>
        <v>0.38831150061096587</v>
      </c>
      <c r="AR318" s="78">
        <f t="shared" si="1086"/>
        <v>0.41075471451192863</v>
      </c>
      <c r="AS318" s="78">
        <f t="shared" si="1086"/>
        <v>0.33266458841322261</v>
      </c>
      <c r="AT318" s="78">
        <f t="shared" si="1086"/>
        <v>0.40815952326380928</v>
      </c>
      <c r="AU318" s="78">
        <f t="shared" si="1086"/>
        <v>0.21091245966926134</v>
      </c>
      <c r="AV318" s="78">
        <f t="shared" si="1086"/>
        <v>0.27392630037511778</v>
      </c>
      <c r="AW318" s="78">
        <f t="shared" si="1086"/>
        <v>0.25563789868667919</v>
      </c>
      <c r="AX318" s="78">
        <f t="shared" si="1086"/>
        <v>0.31114747357058414</v>
      </c>
      <c r="AY318" s="78">
        <f t="shared" si="1086"/>
        <v>0.20660228028721525</v>
      </c>
      <c r="AZ318" s="78">
        <f t="shared" si="1086"/>
        <v>0.30890947853083978</v>
      </c>
      <c r="BA318" s="78">
        <f t="shared" si="1086"/>
        <v>0.44063145470640286</v>
      </c>
      <c r="BB318" s="78">
        <f t="shared" si="1086"/>
        <v>0.33746669257244366</v>
      </c>
      <c r="BC318" s="78">
        <f t="shared" si="1086"/>
        <v>0.37461476189799886</v>
      </c>
      <c r="BD318" s="78">
        <f t="shared" si="1086"/>
        <v>0.49285909214954976</v>
      </c>
      <c r="BE318" s="78">
        <f t="shared" si="1086"/>
        <v>0.58132779812142177</v>
      </c>
      <c r="BF318" s="78">
        <f t="shared" si="1086"/>
        <v>0.31166589483433671</v>
      </c>
      <c r="BG318" s="78">
        <f t="shared" si="1086"/>
        <v>0.19205151841705506</v>
      </c>
      <c r="BH318" s="78">
        <f t="shared" si="1086"/>
        <v>0.14810804121159626</v>
      </c>
      <c r="BI318" s="78">
        <f t="shared" si="1086"/>
        <v>0.2279793142489939</v>
      </c>
      <c r="BJ318" s="78">
        <f t="shared" si="1086"/>
        <v>0.16551770048966671</v>
      </c>
      <c r="BK318" s="78">
        <f t="shared" si="1086"/>
        <v>0.1785069986665811</v>
      </c>
      <c r="BL318" s="78">
        <f t="shared" si="1086"/>
        <v>0.19541266025641027</v>
      </c>
      <c r="BM318" s="78">
        <f t="shared" si="1086"/>
        <v>0.31769650485548528</v>
      </c>
      <c r="BN318" s="78">
        <f t="shared" ref="BN318:CS318" si="1087">BN316/BN15</f>
        <v>0.25658768471867949</v>
      </c>
      <c r="BO318" s="78">
        <f t="shared" si="1087"/>
        <v>0.28250090258069527</v>
      </c>
      <c r="BP318" s="78">
        <f t="shared" si="1087"/>
        <v>0.35828162560626226</v>
      </c>
      <c r="BQ318" s="78">
        <f t="shared" si="1087"/>
        <v>-1.3635742587785087E-2</v>
      </c>
      <c r="BR318" s="78">
        <f t="shared" si="1087"/>
        <v>0.44181348894624622</v>
      </c>
      <c r="BS318" s="78">
        <f t="shared" si="1087"/>
        <v>0.57697070694716246</v>
      </c>
      <c r="BT318" s="78">
        <f t="shared" si="1087"/>
        <v>0.60440333610024111</v>
      </c>
      <c r="BU318" s="78">
        <f t="shared" si="1087"/>
        <v>0.78652222141255168</v>
      </c>
      <c r="BV318" s="78">
        <f t="shared" si="1087"/>
        <v>0.61557811277821228</v>
      </c>
      <c r="BW318" s="78">
        <f t="shared" si="1087"/>
        <v>0.54637770108162831</v>
      </c>
      <c r="BX318" s="78">
        <f t="shared" si="1087"/>
        <v>0.46559211441711279</v>
      </c>
      <c r="BY318" s="78">
        <f t="shared" si="1087"/>
        <v>0.33821481007416321</v>
      </c>
      <c r="BZ318" s="78">
        <f t="shared" si="1087"/>
        <v>0.22153374096058032</v>
      </c>
      <c r="CA318" s="78">
        <f t="shared" si="1087"/>
        <v>0.16018989819890367</v>
      </c>
      <c r="CB318" s="78">
        <f t="shared" si="1087"/>
        <v>0.1210568010237591</v>
      </c>
      <c r="CC318" s="78">
        <f t="shared" si="1087"/>
        <v>0.11992588438939952</v>
      </c>
      <c r="CD318" s="78">
        <f t="shared" si="1087"/>
        <v>6.0150332896341287E-2</v>
      </c>
      <c r="CE318" s="78">
        <f t="shared" si="1087"/>
        <v>6.4772175788622252E-2</v>
      </c>
      <c r="CF318" s="78">
        <f t="shared" si="1087"/>
        <v>0.13448287501145204</v>
      </c>
      <c r="CG318" s="78">
        <f t="shared" si="1087"/>
        <v>0.15606534882723727</v>
      </c>
      <c r="CH318" s="78">
        <f t="shared" si="1087"/>
        <v>0.21008817955424688</v>
      </c>
      <c r="CI318" s="78">
        <f t="shared" si="1087"/>
        <v>0.4031427294295637</v>
      </c>
      <c r="CJ318" s="78">
        <f t="shared" si="1087"/>
        <v>0.47428047880523816</v>
      </c>
      <c r="CK318" s="78">
        <f t="shared" si="1087"/>
        <v>0.575062918235558</v>
      </c>
      <c r="CL318" s="78">
        <f t="shared" si="1087"/>
        <v>0.48520829505252344</v>
      </c>
      <c r="CM318" s="78">
        <f t="shared" si="1087"/>
        <v>0.66145553718298367</v>
      </c>
      <c r="CN318" s="78">
        <f t="shared" si="1087"/>
        <v>0.58690780821982858</v>
      </c>
      <c r="CO318" s="78">
        <f t="shared" si="1087"/>
        <v>0.47405823575088618</v>
      </c>
      <c r="CP318" s="78">
        <f t="shared" si="1087"/>
        <v>0.32812818205109667</v>
      </c>
      <c r="CQ318" s="78">
        <f t="shared" si="1087"/>
        <v>0.36286113621200738</v>
      </c>
      <c r="CR318" s="78">
        <f t="shared" si="1087"/>
        <v>0.35847063349135039</v>
      </c>
      <c r="CS318" s="78">
        <f t="shared" si="1087"/>
        <v>0.336835018219383</v>
      </c>
      <c r="CT318" s="78">
        <f t="shared" ref="CT318:DY318" si="1088">CT316/CT15</f>
        <v>0.40140985067831225</v>
      </c>
      <c r="CU318" s="78">
        <f t="shared" si="1088"/>
        <v>0.52950797616759571</v>
      </c>
      <c r="CV318" s="78">
        <f t="shared" si="1088"/>
        <v>0.548079129993011</v>
      </c>
      <c r="CW318" s="78">
        <f t="shared" si="1088"/>
        <v>0.39297437723795425</v>
      </c>
      <c r="CX318" s="78">
        <f t="shared" si="1088"/>
        <v>0.16194856481168857</v>
      </c>
      <c r="CY318" s="78">
        <f t="shared" si="1088"/>
        <v>0.17734493149127295</v>
      </c>
      <c r="CZ318" s="78">
        <f t="shared" si="1088"/>
        <v>0.16025147708653989</v>
      </c>
      <c r="DA318" s="78">
        <f t="shared" si="1088"/>
        <v>0.19567158117708522</v>
      </c>
      <c r="DB318" s="78">
        <f t="shared" si="1088"/>
        <v>0.19545205350446154</v>
      </c>
      <c r="DC318" s="78">
        <f t="shared" si="1088"/>
        <v>0.28131256142394351</v>
      </c>
      <c r="DD318" s="78">
        <f t="shared" si="1088"/>
        <v>0.32219625986849776</v>
      </c>
      <c r="DE318" s="78">
        <f t="shared" si="1088"/>
        <v>0.28610447933716826</v>
      </c>
      <c r="DF318" s="78">
        <f t="shared" si="1088"/>
        <v>0.35073329074459308</v>
      </c>
      <c r="DG318" s="78">
        <f t="shared" si="1088"/>
        <v>0.30618637838287133</v>
      </c>
      <c r="DH318" s="78">
        <f t="shared" si="1088"/>
        <v>0.34343394914520281</v>
      </c>
      <c r="DI318" s="78">
        <f t="shared" si="1088"/>
        <v>0.38994293788512108</v>
      </c>
      <c r="DJ318" s="78">
        <f t="shared" si="1088"/>
        <v>0.25982864693596286</v>
      </c>
      <c r="DK318" s="78">
        <f t="shared" si="1088"/>
        <v>0.26127478054034969</v>
      </c>
      <c r="DL318" s="78">
        <f t="shared" si="1088"/>
        <v>0.21432711614061936</v>
      </c>
      <c r="DM318" s="78">
        <f t="shared" si="1088"/>
        <v>0.22463955748426723</v>
      </c>
      <c r="DN318" s="78">
        <f t="shared" si="1088"/>
        <v>0.15995788375102227</v>
      </c>
      <c r="DO318" s="78">
        <f t="shared" si="1088"/>
        <v>0.24188800465621255</v>
      </c>
      <c r="DP318" s="78">
        <f t="shared" si="1088"/>
        <v>0.27862474752832461</v>
      </c>
      <c r="DQ318" s="78">
        <f t="shared" si="1088"/>
        <v>0.33588957989437973</v>
      </c>
      <c r="DR318" s="78">
        <f t="shared" si="1088"/>
        <v>0.35703788270921111</v>
      </c>
      <c r="DS318" s="78">
        <f t="shared" si="1088"/>
        <v>0.48601391959759882</v>
      </c>
      <c r="DT318" s="78">
        <f t="shared" si="1088"/>
        <v>0.36247615582517034</v>
      </c>
      <c r="DU318" s="78">
        <f t="shared" si="1088"/>
        <v>0.30879113605419611</v>
      </c>
      <c r="DV318" s="78">
        <f t="shared" si="1088"/>
        <v>0.24940305421459621</v>
      </c>
      <c r="DW318" s="78">
        <f t="shared" si="1088"/>
        <v>0.18406563246585045</v>
      </c>
      <c r="DX318" s="78">
        <f t="shared" si="1088"/>
        <v>0.13672357497922186</v>
      </c>
      <c r="DY318" s="78">
        <f t="shared" si="1088"/>
        <v>0.12460069484925493</v>
      </c>
      <c r="DZ318" s="78">
        <f t="shared" ref="DZ318:EP318" si="1089">DZ316/DZ15</f>
        <v>0.23128746888960075</v>
      </c>
      <c r="EA318" s="78">
        <f t="shared" si="1089"/>
        <v>0.23333737237847368</v>
      </c>
      <c r="EB318" s="78">
        <f t="shared" ref="EB318:EC318" si="1090">EB316/EB15</f>
        <v>0.25821882681458413</v>
      </c>
      <c r="EC318" s="78">
        <f t="shared" si="1090"/>
        <v>0.18435948910372368</v>
      </c>
      <c r="ED318" s="78">
        <f t="shared" si="1089"/>
        <v>0.16380239809583222</v>
      </c>
      <c r="EE318" s="78">
        <f t="shared" si="1089"/>
        <v>0.21599352057237151</v>
      </c>
      <c r="EF318" s="78">
        <f t="shared" si="1089"/>
        <v>0.20301949363469365</v>
      </c>
      <c r="EG318" s="78">
        <f t="shared" si="1089"/>
        <v>0.1908312249500442</v>
      </c>
      <c r="EH318" s="78">
        <f t="shared" si="1089"/>
        <v>0.12213497302818792</v>
      </c>
      <c r="EI318" s="78">
        <f t="shared" si="1089"/>
        <v>0.11948201928855048</v>
      </c>
      <c r="EJ318" s="78">
        <f t="shared" si="1089"/>
        <v>0.10835275783030442</v>
      </c>
      <c r="EK318" s="78">
        <f t="shared" si="1089"/>
        <v>0.10510604262152055</v>
      </c>
      <c r="EL318" s="78">
        <f t="shared" si="1089"/>
        <v>0.10124635818929263</v>
      </c>
      <c r="EM318" s="78">
        <f t="shared" si="1089"/>
        <v>0.10258293265801449</v>
      </c>
      <c r="EN318" s="78">
        <f t="shared" si="1089"/>
        <v>0.10292125856892262</v>
      </c>
      <c r="EO318" s="78">
        <f t="shared" si="1089"/>
        <v>0.10225278594179213</v>
      </c>
      <c r="EP318" s="78">
        <f t="shared" si="1089"/>
        <v>0.10259264756540762</v>
      </c>
      <c r="EQ318" s="18"/>
      <c r="ER318" s="18"/>
      <c r="ES318" s="355">
        <f t="shared" si="838"/>
        <v>313</v>
      </c>
      <c r="ET318"/>
      <c r="EU318"/>
      <c r="EV318"/>
      <c r="EW318"/>
      <c r="EX318"/>
      <c r="EY318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</row>
    <row r="319" spans="1:257" s="4" customFormat="1" ht="12.75" hidden="1" customHeight="1" outlineLevel="2">
      <c r="A319" s="15"/>
      <c r="B319" s="63"/>
      <c r="C319" s="18"/>
      <c r="D319" s="18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/>
      <c r="AM319" s="78"/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  <c r="BW319" s="78"/>
      <c r="BX319" s="78"/>
      <c r="BY319" s="78"/>
      <c r="BZ319" s="78"/>
      <c r="CA319" s="78"/>
      <c r="CB319" s="78"/>
      <c r="CC319" s="78"/>
      <c r="CD319" s="78"/>
      <c r="CE319" s="78"/>
      <c r="CF319" s="78"/>
      <c r="CG319" s="78"/>
      <c r="CH319" s="78"/>
      <c r="CI319" s="78"/>
      <c r="CJ319" s="78"/>
      <c r="CK319" s="78"/>
      <c r="CL319" s="78"/>
      <c r="CM319" s="78"/>
      <c r="CN319" s="78"/>
      <c r="CO319" s="78"/>
      <c r="CP319" s="78"/>
      <c r="CQ319" s="78"/>
      <c r="CR319" s="78"/>
      <c r="CS319" s="78"/>
      <c r="CT319" s="78"/>
      <c r="CU319" s="78"/>
      <c r="CV319" s="78"/>
      <c r="CW319" s="78"/>
      <c r="CX319" s="78"/>
      <c r="CY319" s="78"/>
      <c r="CZ319" s="78"/>
      <c r="DA319" s="78"/>
      <c r="DB319" s="78"/>
      <c r="DC319" s="78"/>
      <c r="DD319" s="78"/>
      <c r="DE319" s="78"/>
      <c r="DF319" s="78"/>
      <c r="DG319" s="78"/>
      <c r="DH319" s="78"/>
      <c r="DI319" s="78"/>
      <c r="DJ319" s="78"/>
      <c r="DK319" s="78"/>
      <c r="DL319" s="78"/>
      <c r="DM319" s="78"/>
      <c r="DN319" s="78"/>
      <c r="DO319" s="78"/>
      <c r="DP319" s="78"/>
      <c r="DQ319" s="78"/>
      <c r="DR319" s="78"/>
      <c r="DS319" s="78"/>
      <c r="DT319" s="78"/>
      <c r="DU319" s="78"/>
      <c r="DV319" s="78"/>
      <c r="DW319" s="78"/>
      <c r="DX319" s="78"/>
      <c r="DY319" s="78"/>
      <c r="DZ319" s="78"/>
      <c r="EA319" s="78"/>
      <c r="EB319" s="78"/>
      <c r="EC319" s="78"/>
      <c r="ED319" s="78"/>
      <c r="EE319" s="78"/>
      <c r="EF319" s="78"/>
      <c r="EG319" s="78"/>
      <c r="EH319" s="78"/>
      <c r="EI319" s="78"/>
      <c r="EJ319" s="78"/>
      <c r="EK319" s="78"/>
      <c r="EL319" s="78"/>
      <c r="EM319" s="78"/>
      <c r="EN319" s="78"/>
      <c r="EO319" s="78"/>
      <c r="EP319" s="78"/>
      <c r="EQ319" s="18"/>
      <c r="ER319" s="18"/>
      <c r="ES319" s="355">
        <f t="shared" si="838"/>
        <v>314</v>
      </c>
      <c r="ET319"/>
      <c r="EU319"/>
      <c r="EV319"/>
      <c r="EW319"/>
      <c r="EX319"/>
      <c r="EY319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</row>
    <row r="320" spans="1:257" s="4" customFormat="1" ht="12.75" hidden="1" customHeight="1" outlineLevel="2">
      <c r="A320" s="15"/>
      <c r="B320" s="51" t="s">
        <v>46</v>
      </c>
      <c r="C320" s="25"/>
      <c r="D320" s="25"/>
      <c r="E320" s="76">
        <f t="shared" ref="E320:AF320" si="1091">E329/E314</f>
        <v>17.966261391923307</v>
      </c>
      <c r="F320" s="76">
        <f t="shared" si="1091"/>
        <v>18.836422465446994</v>
      </c>
      <c r="G320" s="76">
        <f t="shared" si="1091"/>
        <v>18.308781661554288</v>
      </c>
      <c r="H320" s="76">
        <f t="shared" si="1091"/>
        <v>18.007990982806771</v>
      </c>
      <c r="I320" s="76">
        <f t="shared" si="1091"/>
        <v>16.192841500327795</v>
      </c>
      <c r="J320" s="76">
        <f t="shared" si="1091"/>
        <v>15.603112620260328</v>
      </c>
      <c r="K320" s="76">
        <f t="shared" si="1091"/>
        <v>13.267397656801046</v>
      </c>
      <c r="L320" s="76">
        <f t="shared" si="1091"/>
        <v>13.354773524821606</v>
      </c>
      <c r="M320" s="76">
        <f t="shared" si="1091"/>
        <v>15.362739500484645</v>
      </c>
      <c r="N320" s="76">
        <f t="shared" si="1091"/>
        <v>23.424177326432964</v>
      </c>
      <c r="O320" s="76">
        <f t="shared" si="1091"/>
        <v>20.350853804854989</v>
      </c>
      <c r="P320" s="76">
        <f t="shared" si="1091"/>
        <v>17.824855705586447</v>
      </c>
      <c r="Q320" s="76">
        <f t="shared" si="1091"/>
        <v>18.052527162058293</v>
      </c>
      <c r="R320" s="76">
        <f t="shared" si="1091"/>
        <v>22.678164653534548</v>
      </c>
      <c r="S320" s="76">
        <f t="shared" si="1091"/>
        <v>20.934190164473232</v>
      </c>
      <c r="T320" s="76">
        <f t="shared" si="1091"/>
        <v>17.812412818006699</v>
      </c>
      <c r="U320" s="76">
        <f t="shared" si="1091"/>
        <v>19.34698883846437</v>
      </c>
      <c r="V320" s="76">
        <f t="shared" si="1091"/>
        <v>18.147116976101497</v>
      </c>
      <c r="W320" s="76">
        <f t="shared" si="1091"/>
        <v>17.636124741653671</v>
      </c>
      <c r="X320" s="76">
        <f t="shared" si="1091"/>
        <v>16.897101733659188</v>
      </c>
      <c r="Y320" s="76">
        <f t="shared" si="1091"/>
        <v>16.264973453930114</v>
      </c>
      <c r="Z320" s="76">
        <f t="shared" si="1091"/>
        <v>16.67496333029974</v>
      </c>
      <c r="AA320" s="76">
        <f t="shared" si="1091"/>
        <v>16.548248045586607</v>
      </c>
      <c r="AB320" s="76">
        <f t="shared" si="1091"/>
        <v>17.143045244581948</v>
      </c>
      <c r="AC320" s="76">
        <f t="shared" si="1091"/>
        <v>18.493294891057111</v>
      </c>
      <c r="AD320" s="76">
        <f t="shared" si="1091"/>
        <v>19.293182079991279</v>
      </c>
      <c r="AE320" s="76">
        <f t="shared" si="1091"/>
        <v>19.786936246037897</v>
      </c>
      <c r="AF320" s="76">
        <f t="shared" si="1091"/>
        <v>20.67225416629994</v>
      </c>
      <c r="AG320" s="76"/>
      <c r="AH320" s="77"/>
      <c r="AI320" s="77"/>
      <c r="AJ320" s="77"/>
      <c r="AK320" s="77" t="s">
        <v>44</v>
      </c>
      <c r="AL320" s="77" t="s">
        <v>44</v>
      </c>
      <c r="AM320" s="77" t="s">
        <v>44</v>
      </c>
      <c r="AN320" s="77" t="s">
        <v>44</v>
      </c>
      <c r="AO320" s="77" t="s">
        <v>44</v>
      </c>
      <c r="AP320" s="77" t="s">
        <v>44</v>
      </c>
      <c r="AQ320" s="77" t="s">
        <v>44</v>
      </c>
      <c r="AR320" s="77" t="s">
        <v>44</v>
      </c>
      <c r="AS320" s="77" t="s">
        <v>44</v>
      </c>
      <c r="AT320" s="77" t="s">
        <v>44</v>
      </c>
      <c r="AU320" s="77" t="s">
        <v>44</v>
      </c>
      <c r="AV320" s="77" t="s">
        <v>44</v>
      </c>
      <c r="AW320" s="77" t="s">
        <v>44</v>
      </c>
      <c r="AX320" s="77" t="s">
        <v>44</v>
      </c>
      <c r="AY320" s="77" t="s">
        <v>44</v>
      </c>
      <c r="AZ320" s="77" t="s">
        <v>44</v>
      </c>
      <c r="BA320" s="77" t="s">
        <v>44</v>
      </c>
      <c r="BB320" s="77" t="s">
        <v>44</v>
      </c>
      <c r="BC320" s="77" t="s">
        <v>44</v>
      </c>
      <c r="BD320" s="77" t="s">
        <v>44</v>
      </c>
      <c r="BE320" s="77" t="s">
        <v>44</v>
      </c>
      <c r="BF320" s="77" t="s">
        <v>44</v>
      </c>
      <c r="BG320" s="77" t="s">
        <v>44</v>
      </c>
      <c r="BH320" s="77" t="s">
        <v>44</v>
      </c>
      <c r="BI320" s="77" t="s">
        <v>44</v>
      </c>
      <c r="BJ320" s="77" t="s">
        <v>44</v>
      </c>
      <c r="BK320" s="77" t="s">
        <v>44</v>
      </c>
      <c r="BL320" s="77" t="s">
        <v>44</v>
      </c>
      <c r="BM320" s="77" t="s">
        <v>44</v>
      </c>
      <c r="BN320" s="77" t="s">
        <v>44</v>
      </c>
      <c r="BO320" s="77" t="s">
        <v>44</v>
      </c>
      <c r="BP320" s="77" t="s">
        <v>44</v>
      </c>
      <c r="BQ320" s="77" t="s">
        <v>44</v>
      </c>
      <c r="BR320" s="77" t="s">
        <v>44</v>
      </c>
      <c r="BS320" s="77" t="s">
        <v>44</v>
      </c>
      <c r="BT320" s="77" t="s">
        <v>44</v>
      </c>
      <c r="BU320" s="77" t="s">
        <v>44</v>
      </c>
      <c r="BV320" s="77" t="s">
        <v>44</v>
      </c>
      <c r="BW320" s="77" t="s">
        <v>44</v>
      </c>
      <c r="BX320" s="77" t="s">
        <v>44</v>
      </c>
      <c r="BY320" s="77" t="s">
        <v>44</v>
      </c>
      <c r="BZ320" s="77" t="s">
        <v>44</v>
      </c>
      <c r="CA320" s="77" t="s">
        <v>44</v>
      </c>
      <c r="CB320" s="77" t="s">
        <v>44</v>
      </c>
      <c r="CC320" s="77" t="s">
        <v>44</v>
      </c>
      <c r="CD320" s="77" t="s">
        <v>44</v>
      </c>
      <c r="CE320" s="77" t="s">
        <v>44</v>
      </c>
      <c r="CF320" s="77" t="s">
        <v>44</v>
      </c>
      <c r="CG320" s="77" t="s">
        <v>44</v>
      </c>
      <c r="CH320" s="77" t="s">
        <v>44</v>
      </c>
      <c r="CI320" s="77" t="s">
        <v>44</v>
      </c>
      <c r="CJ320" s="77" t="s">
        <v>44</v>
      </c>
      <c r="CK320" s="77" t="s">
        <v>44</v>
      </c>
      <c r="CL320" s="77" t="s">
        <v>44</v>
      </c>
      <c r="CM320" s="77" t="s">
        <v>44</v>
      </c>
      <c r="CN320" s="77" t="s">
        <v>44</v>
      </c>
      <c r="CO320" s="77" t="s">
        <v>44</v>
      </c>
      <c r="CP320" s="77" t="s">
        <v>44</v>
      </c>
      <c r="CQ320" s="77" t="s">
        <v>44</v>
      </c>
      <c r="CR320" s="77" t="s">
        <v>44</v>
      </c>
      <c r="CS320" s="76">
        <f t="shared" ref="CS320:DX320" si="1092">CS329/(CS314*4)</f>
        <v>14.734109105180535</v>
      </c>
      <c r="CT320" s="76">
        <f t="shared" si="1092"/>
        <v>18.313307894544661</v>
      </c>
      <c r="CU320" s="76">
        <f t="shared" si="1092"/>
        <v>18.693638050881585</v>
      </c>
      <c r="CV320" s="76">
        <f t="shared" si="1092"/>
        <v>18.242353750634798</v>
      </c>
      <c r="CW320" s="76">
        <f t="shared" si="1092"/>
        <v>18.00667621911855</v>
      </c>
      <c r="CX320" s="76">
        <f t="shared" si="1092"/>
        <v>18.4898929987421</v>
      </c>
      <c r="CY320" s="76">
        <f t="shared" si="1092"/>
        <v>17.942754008663272</v>
      </c>
      <c r="CZ320" s="76">
        <f t="shared" si="1092"/>
        <v>18.165355477855478</v>
      </c>
      <c r="DA320" s="76">
        <f t="shared" si="1092"/>
        <v>16.541899918077554</v>
      </c>
      <c r="DB320" s="76">
        <f t="shared" si="1092"/>
        <v>17.015916233943695</v>
      </c>
      <c r="DC320" s="76">
        <f t="shared" si="1092"/>
        <v>16.875667992804715</v>
      </c>
      <c r="DD320" s="76">
        <f t="shared" si="1092"/>
        <v>16.917443021653671</v>
      </c>
      <c r="DE320" s="76">
        <f t="shared" si="1092"/>
        <v>15.984144085131812</v>
      </c>
      <c r="DF320" s="76">
        <f t="shared" si="1092"/>
        <v>16.818248192100874</v>
      </c>
      <c r="DG320" s="76">
        <f t="shared" si="1092"/>
        <v>16.602766841885323</v>
      </c>
      <c r="DH320" s="76">
        <f t="shared" si="1092"/>
        <v>16.624125359836945</v>
      </c>
      <c r="DI320" s="76">
        <f t="shared" si="1092"/>
        <v>15.637625821910701</v>
      </c>
      <c r="DJ320" s="76">
        <f t="shared" si="1092"/>
        <v>16.127308886574923</v>
      </c>
      <c r="DK320" s="76">
        <f t="shared" si="1092"/>
        <v>15.695045049051435</v>
      </c>
      <c r="DL320" s="76">
        <f t="shared" si="1092"/>
        <v>15.343180660497497</v>
      </c>
      <c r="DM320" s="76">
        <f t="shared" si="1092"/>
        <v>15.594767720810431</v>
      </c>
      <c r="DN320" s="76">
        <f t="shared" si="1092"/>
        <v>15.695251877541857</v>
      </c>
      <c r="DO320" s="76">
        <f t="shared" si="1092"/>
        <v>15.690224099126354</v>
      </c>
      <c r="DP320" s="76">
        <f t="shared" si="1092"/>
        <v>15.60620997379398</v>
      </c>
      <c r="DQ320" s="76">
        <f t="shared" si="1092"/>
        <v>15.833063409586794</v>
      </c>
      <c r="DR320" s="76">
        <f t="shared" si="1092"/>
        <v>15.979178929316273</v>
      </c>
      <c r="DS320" s="76">
        <f t="shared" si="1092"/>
        <v>15.973668259663089</v>
      </c>
      <c r="DT320" s="76">
        <f t="shared" si="1092"/>
        <v>16.147595204269034</v>
      </c>
      <c r="DU320" s="76">
        <f t="shared" si="1092"/>
        <v>16.220643366167732</v>
      </c>
      <c r="DV320" s="76">
        <f t="shared" si="1092"/>
        <v>16.777153149603535</v>
      </c>
      <c r="DW320" s="76">
        <f t="shared" si="1092"/>
        <v>16.950493580276579</v>
      </c>
      <c r="DX320" s="76">
        <f t="shared" si="1092"/>
        <v>17.293791910015141</v>
      </c>
      <c r="DY320" s="76">
        <f t="shared" ref="DY320:EP320" si="1093">DY329/(DY314*4)</f>
        <v>17.387594009453426</v>
      </c>
      <c r="DZ320" s="76">
        <f t="shared" si="1093"/>
        <v>18.11816290241843</v>
      </c>
      <c r="EA320" s="76">
        <f t="shared" si="1093"/>
        <v>18.199902431423762</v>
      </c>
      <c r="EB320" s="76">
        <f t="shared" ref="EB320:EC320" si="1094">EB329/(EB314*4)</f>
        <v>18.25774340988421</v>
      </c>
      <c r="EC320" s="76">
        <f t="shared" si="1094"/>
        <v>18.144506990381007</v>
      </c>
      <c r="ED320" s="76">
        <f t="shared" si="1093"/>
        <v>18.635912822359572</v>
      </c>
      <c r="EE320" s="76">
        <f t="shared" si="1093"/>
        <v>18.846835150143974</v>
      </c>
      <c r="EF320" s="76">
        <f t="shared" si="1093"/>
        <v>19.129556468438217</v>
      </c>
      <c r="EG320" s="76">
        <f t="shared" si="1093"/>
        <v>19.237495151387179</v>
      </c>
      <c r="EH320" s="76">
        <f t="shared" si="1093"/>
        <v>19.275578707069954</v>
      </c>
      <c r="EI320" s="76">
        <f t="shared" si="1093"/>
        <v>19.476917809851209</v>
      </c>
      <c r="EJ320" s="76">
        <f t="shared" si="1093"/>
        <v>19.67277071954733</v>
      </c>
      <c r="EK320" s="76">
        <f t="shared" si="1093"/>
        <v>19.893258330553945</v>
      </c>
      <c r="EL320" s="76">
        <f t="shared" si="1093"/>
        <v>20.117714476529244</v>
      </c>
      <c r="EM320" s="76">
        <f t="shared" si="1093"/>
        <v>20.346134471959061</v>
      </c>
      <c r="EN320" s="76">
        <f t="shared" si="1093"/>
        <v>20.57851186142512</v>
      </c>
      <c r="EO320" s="76">
        <f t="shared" si="1093"/>
        <v>20.814838332915283</v>
      </c>
      <c r="EP320" s="76">
        <f t="shared" si="1093"/>
        <v>21.055103633783961</v>
      </c>
      <c r="EQ320" s="18"/>
      <c r="ER320" s="18"/>
      <c r="ES320" s="355">
        <f t="shared" si="838"/>
        <v>315</v>
      </c>
      <c r="ET320"/>
      <c r="EU320"/>
      <c r="EV320"/>
      <c r="EW320"/>
      <c r="EX320"/>
      <c r="EY320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</row>
    <row r="321" spans="1:257" s="4" customFormat="1" ht="12.75" hidden="1" customHeight="1" outlineLevel="2">
      <c r="A321" s="15"/>
      <c r="B321" s="51" t="s">
        <v>45</v>
      </c>
      <c r="C321" s="25"/>
      <c r="D321" s="25"/>
      <c r="E321" s="76">
        <f t="shared" ref="E321:AF321" si="1095">-E330/E314</f>
        <v>10.584953403690674</v>
      </c>
      <c r="F321" s="76">
        <f t="shared" si="1095"/>
        <v>10.834285371894225</v>
      </c>
      <c r="G321" s="76">
        <f t="shared" si="1095"/>
        <v>10.625645170177984</v>
      </c>
      <c r="H321" s="76">
        <f t="shared" si="1095"/>
        <v>10.210541368056255</v>
      </c>
      <c r="I321" s="76">
        <f t="shared" si="1095"/>
        <v>8.6741153003863793</v>
      </c>
      <c r="J321" s="76">
        <f t="shared" si="1095"/>
        <v>7.7664289756649696</v>
      </c>
      <c r="K321" s="76">
        <f t="shared" si="1095"/>
        <v>6.9356765322853979</v>
      </c>
      <c r="L321" s="76">
        <f t="shared" si="1095"/>
        <v>7.2781030392148018</v>
      </c>
      <c r="M321" s="76">
        <f t="shared" si="1095"/>
        <v>6.7314142312748135</v>
      </c>
      <c r="N321" s="76">
        <f t="shared" si="1095"/>
        <v>8.8187514240145806</v>
      </c>
      <c r="O321" s="76">
        <f t="shared" si="1095"/>
        <v>7.5261473949559461</v>
      </c>
      <c r="P321" s="76">
        <f t="shared" si="1095"/>
        <v>7.2484829229547261</v>
      </c>
      <c r="Q321" s="76">
        <f t="shared" si="1095"/>
        <v>7.8528366952655961</v>
      </c>
      <c r="R321" s="76">
        <f t="shared" si="1095"/>
        <v>8.0779461130307233</v>
      </c>
      <c r="S321" s="76">
        <f t="shared" si="1095"/>
        <v>6.194485148108078</v>
      </c>
      <c r="T321" s="76">
        <f t="shared" si="1095"/>
        <v>5.08620935065428</v>
      </c>
      <c r="U321" s="76">
        <f t="shared" si="1095"/>
        <v>5.5339773385722193</v>
      </c>
      <c r="V321" s="76">
        <f t="shared" si="1095"/>
        <v>5.8832373448769131</v>
      </c>
      <c r="W321" s="76">
        <f t="shared" si="1095"/>
        <v>5.9802040143532791</v>
      </c>
      <c r="X321" s="76">
        <f t="shared" si="1095"/>
        <v>5.8076690782784208</v>
      </c>
      <c r="Y321" s="76">
        <f t="shared" si="1095"/>
        <v>6.0018765514471406</v>
      </c>
      <c r="Z321" s="76">
        <f t="shared" si="1095"/>
        <v>6.4320371770549363</v>
      </c>
      <c r="AA321" s="76">
        <f t="shared" si="1095"/>
        <v>6.7810320144844161</v>
      </c>
      <c r="AB321" s="76">
        <f t="shared" si="1095"/>
        <v>7.9640045174999612</v>
      </c>
      <c r="AC321" s="76">
        <f t="shared" si="1095"/>
        <v>9.2910051212124785</v>
      </c>
      <c r="AD321" s="76">
        <f t="shared" si="1095"/>
        <v>10.288386321201294</v>
      </c>
      <c r="AE321" s="76">
        <f t="shared" si="1095"/>
        <v>11.249177995221924</v>
      </c>
      <c r="AF321" s="76">
        <f t="shared" si="1095"/>
        <v>12.435229471176736</v>
      </c>
      <c r="AG321" s="76"/>
      <c r="AH321" s="77"/>
      <c r="AI321" s="77"/>
      <c r="AJ321" s="77"/>
      <c r="AK321" s="77" t="s">
        <v>44</v>
      </c>
      <c r="AL321" s="77" t="s">
        <v>44</v>
      </c>
      <c r="AM321" s="77" t="s">
        <v>44</v>
      </c>
      <c r="AN321" s="77" t="s">
        <v>44</v>
      </c>
      <c r="AO321" s="77" t="s">
        <v>44</v>
      </c>
      <c r="AP321" s="77" t="s">
        <v>44</v>
      </c>
      <c r="AQ321" s="77" t="s">
        <v>44</v>
      </c>
      <c r="AR321" s="77" t="s">
        <v>44</v>
      </c>
      <c r="AS321" s="77" t="s">
        <v>44</v>
      </c>
      <c r="AT321" s="77" t="s">
        <v>44</v>
      </c>
      <c r="AU321" s="77" t="s">
        <v>44</v>
      </c>
      <c r="AV321" s="77" t="s">
        <v>44</v>
      </c>
      <c r="AW321" s="77" t="s">
        <v>44</v>
      </c>
      <c r="AX321" s="77" t="s">
        <v>44</v>
      </c>
      <c r="AY321" s="77" t="s">
        <v>44</v>
      </c>
      <c r="AZ321" s="77" t="s">
        <v>44</v>
      </c>
      <c r="BA321" s="77" t="s">
        <v>44</v>
      </c>
      <c r="BB321" s="77" t="s">
        <v>44</v>
      </c>
      <c r="BC321" s="77" t="s">
        <v>44</v>
      </c>
      <c r="BD321" s="77" t="s">
        <v>44</v>
      </c>
      <c r="BE321" s="77" t="s">
        <v>44</v>
      </c>
      <c r="BF321" s="77" t="s">
        <v>44</v>
      </c>
      <c r="BG321" s="77" t="s">
        <v>44</v>
      </c>
      <c r="BH321" s="77" t="s">
        <v>44</v>
      </c>
      <c r="BI321" s="77" t="s">
        <v>44</v>
      </c>
      <c r="BJ321" s="77" t="s">
        <v>44</v>
      </c>
      <c r="BK321" s="77" t="s">
        <v>44</v>
      </c>
      <c r="BL321" s="77" t="s">
        <v>44</v>
      </c>
      <c r="BM321" s="77" t="s">
        <v>44</v>
      </c>
      <c r="BN321" s="77" t="s">
        <v>44</v>
      </c>
      <c r="BO321" s="77" t="s">
        <v>44</v>
      </c>
      <c r="BP321" s="77" t="s">
        <v>44</v>
      </c>
      <c r="BQ321" s="77" t="s">
        <v>44</v>
      </c>
      <c r="BR321" s="77" t="s">
        <v>44</v>
      </c>
      <c r="BS321" s="77" t="s">
        <v>44</v>
      </c>
      <c r="BT321" s="77" t="s">
        <v>44</v>
      </c>
      <c r="BU321" s="77" t="s">
        <v>44</v>
      </c>
      <c r="BV321" s="77" t="s">
        <v>44</v>
      </c>
      <c r="BW321" s="77" t="s">
        <v>44</v>
      </c>
      <c r="BX321" s="77" t="s">
        <v>44</v>
      </c>
      <c r="BY321" s="77" t="s">
        <v>44</v>
      </c>
      <c r="BZ321" s="77" t="s">
        <v>44</v>
      </c>
      <c r="CA321" s="77" t="s">
        <v>44</v>
      </c>
      <c r="CB321" s="77" t="s">
        <v>44</v>
      </c>
      <c r="CC321" s="77" t="s">
        <v>44</v>
      </c>
      <c r="CD321" s="77" t="s">
        <v>44</v>
      </c>
      <c r="CE321" s="77" t="s">
        <v>44</v>
      </c>
      <c r="CF321" s="77" t="s">
        <v>44</v>
      </c>
      <c r="CG321" s="77" t="s">
        <v>44</v>
      </c>
      <c r="CH321" s="77" t="s">
        <v>44</v>
      </c>
      <c r="CI321" s="77" t="s">
        <v>44</v>
      </c>
      <c r="CJ321" s="77" t="s">
        <v>44</v>
      </c>
      <c r="CK321" s="77" t="s">
        <v>44</v>
      </c>
      <c r="CL321" s="77" t="s">
        <v>44</v>
      </c>
      <c r="CM321" s="77" t="s">
        <v>44</v>
      </c>
      <c r="CN321" s="77" t="s">
        <v>44</v>
      </c>
      <c r="CO321" s="77" t="s">
        <v>44</v>
      </c>
      <c r="CP321" s="77" t="s">
        <v>44</v>
      </c>
      <c r="CQ321" s="77" t="s">
        <v>44</v>
      </c>
      <c r="CR321" s="77" t="s">
        <v>44</v>
      </c>
      <c r="CS321" s="76">
        <f t="shared" ref="CS321:DX321" si="1096">-CS330/(CS314*4)</f>
        <v>4.207221350078493</v>
      </c>
      <c r="CT321" s="76">
        <f t="shared" si="1096"/>
        <v>5.1430110275323155</v>
      </c>
      <c r="CU321" s="76">
        <f t="shared" si="1096"/>
        <v>5.1822045768914258</v>
      </c>
      <c r="CV321" s="76">
        <f t="shared" si="1096"/>
        <v>5.0985698605900751</v>
      </c>
      <c r="CW321" s="76">
        <f t="shared" si="1096"/>
        <v>5.1505967658127192</v>
      </c>
      <c r="CX321" s="76">
        <f t="shared" si="1096"/>
        <v>5.4584972055475047</v>
      </c>
      <c r="CY321" s="76">
        <f t="shared" si="1096"/>
        <v>5.4602743369556954</v>
      </c>
      <c r="CZ321" s="76">
        <f t="shared" si="1096"/>
        <v>5.7594275242301558</v>
      </c>
      <c r="DA321" s="76">
        <f t="shared" si="1096"/>
        <v>5.3628311032222831</v>
      </c>
      <c r="DB321" s="76">
        <f t="shared" si="1096"/>
        <v>5.6172280677780808</v>
      </c>
      <c r="DC321" s="76">
        <f t="shared" si="1096"/>
        <v>5.6473654495082792</v>
      </c>
      <c r="DD321" s="76">
        <f t="shared" si="1096"/>
        <v>5.6869161536614046</v>
      </c>
      <c r="DE321" s="76">
        <f t="shared" si="1096"/>
        <v>5.4200366590820295</v>
      </c>
      <c r="DF321" s="76">
        <f t="shared" si="1096"/>
        <v>5.7158903903207872</v>
      </c>
      <c r="DG321" s="76">
        <f t="shared" si="1096"/>
        <v>5.6738541139727721</v>
      </c>
      <c r="DH321" s="76">
        <f t="shared" si="1096"/>
        <v>5.6706283751129414</v>
      </c>
      <c r="DI321" s="76">
        <f t="shared" si="1096"/>
        <v>5.374777128949181</v>
      </c>
      <c r="DJ321" s="76">
        <f t="shared" si="1096"/>
        <v>5.5947264983724061</v>
      </c>
      <c r="DK321" s="76">
        <f t="shared" si="1096"/>
        <v>5.5544235233427912</v>
      </c>
      <c r="DL321" s="76">
        <f t="shared" si="1096"/>
        <v>5.5518125477544791</v>
      </c>
      <c r="DM321" s="76">
        <f t="shared" si="1096"/>
        <v>5.7545664598782844</v>
      </c>
      <c r="DN321" s="76">
        <f t="shared" si="1096"/>
        <v>5.9358392175453494</v>
      </c>
      <c r="DO321" s="76">
        <f t="shared" si="1096"/>
        <v>6.0074235860700389</v>
      </c>
      <c r="DP321" s="76">
        <f t="shared" si="1096"/>
        <v>6.0238393369411849</v>
      </c>
      <c r="DQ321" s="76">
        <f t="shared" si="1096"/>
        <v>6.1072909403093636</v>
      </c>
      <c r="DR321" s="76">
        <f t="shared" si="1096"/>
        <v>6.1690301788348494</v>
      </c>
      <c r="DS321" s="76">
        <f t="shared" si="1096"/>
        <v>6.2110445805420875</v>
      </c>
      <c r="DT321" s="76">
        <f t="shared" si="1096"/>
        <v>6.3927336359541238</v>
      </c>
      <c r="DU321" s="76">
        <f t="shared" si="1096"/>
        <v>6.6467883281972275</v>
      </c>
      <c r="DV321" s="76">
        <f t="shared" si="1096"/>
        <v>7.0486371535717574</v>
      </c>
      <c r="DW321" s="76">
        <f t="shared" si="1096"/>
        <v>7.3291194697456854</v>
      </c>
      <c r="DX321" s="76">
        <f t="shared" si="1096"/>
        <v>7.7285132309467164</v>
      </c>
      <c r="DY321" s="76">
        <f t="shared" ref="DY321:EP321" si="1097">-DY330/(DY314*4)</f>
        <v>8.0776125399019918</v>
      </c>
      <c r="DZ321" s="76">
        <f t="shared" si="1097"/>
        <v>8.5873572063624888</v>
      </c>
      <c r="EA321" s="76">
        <f t="shared" si="1097"/>
        <v>8.8114904620224532</v>
      </c>
      <c r="EB321" s="76">
        <f t="shared" ref="EB321:EC321" si="1098">-EB330/(EB314*4)</f>
        <v>8.9752990013584881</v>
      </c>
      <c r="EC321" s="76">
        <f t="shared" si="1098"/>
        <v>9.1157745746555356</v>
      </c>
      <c r="ED321" s="76">
        <f t="shared" si="1097"/>
        <v>9.5403937031021471</v>
      </c>
      <c r="EE321" s="76">
        <f t="shared" si="1097"/>
        <v>9.7855581918081924</v>
      </c>
      <c r="EF321" s="76">
        <f t="shared" si="1097"/>
        <v>10.067558864448129</v>
      </c>
      <c r="EG321" s="76">
        <f t="shared" si="1097"/>
        <v>10.258690409342654</v>
      </c>
      <c r="EH321" s="76">
        <f t="shared" si="1097"/>
        <v>10.451296577317009</v>
      </c>
      <c r="EI321" s="76">
        <f t="shared" si="1097"/>
        <v>10.731232227366791</v>
      </c>
      <c r="EJ321" s="76">
        <f t="shared" si="1097"/>
        <v>11.013434740675001</v>
      </c>
      <c r="EK321" s="76">
        <f t="shared" si="1097"/>
        <v>11.30962373773972</v>
      </c>
      <c r="EL321" s="76">
        <f t="shared" si="1097"/>
        <v>11.60844674020076</v>
      </c>
      <c r="EM321" s="76">
        <f t="shared" si="1097"/>
        <v>11.909933214041638</v>
      </c>
      <c r="EN321" s="76">
        <f t="shared" si="1097"/>
        <v>12.214109712580369</v>
      </c>
      <c r="EO321" s="76">
        <f t="shared" si="1097"/>
        <v>12.520999838382686</v>
      </c>
      <c r="EP321" s="76">
        <f t="shared" si="1097"/>
        <v>12.8306242053832</v>
      </c>
      <c r="EQ321" s="18"/>
      <c r="ER321" s="18"/>
      <c r="ES321" s="355">
        <f t="shared" si="838"/>
        <v>316</v>
      </c>
      <c r="ET321"/>
      <c r="EU321"/>
      <c r="EV321"/>
      <c r="EW321"/>
      <c r="EX321"/>
      <c r="EY32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</row>
    <row r="322" spans="1:257" s="4" customFormat="1" ht="12.75" hidden="1" customHeight="1" outlineLevel="2">
      <c r="A322" s="15"/>
      <c r="B322" s="63" t="s">
        <v>43</v>
      </c>
      <c r="C322" s="18"/>
      <c r="D322" s="18"/>
      <c r="E322" s="18">
        <f t="shared" ref="E322:AF322" si="1099">E260/E314</f>
        <v>7.3813079882326313</v>
      </c>
      <c r="F322" s="18">
        <f t="shared" si="1099"/>
        <v>8.0021370935527685</v>
      </c>
      <c r="G322" s="18">
        <f t="shared" si="1099"/>
        <v>7.6831364913763025</v>
      </c>
      <c r="H322" s="18">
        <f t="shared" si="1099"/>
        <v>7.797449614750513</v>
      </c>
      <c r="I322" s="18">
        <f t="shared" si="1099"/>
        <v>7.5187261999414146</v>
      </c>
      <c r="J322" s="18">
        <f t="shared" si="1099"/>
        <v>7.83668364459536</v>
      </c>
      <c r="K322" s="18">
        <f t="shared" si="1099"/>
        <v>6.3317211245156502</v>
      </c>
      <c r="L322" s="18">
        <f t="shared" si="1099"/>
        <v>6.0766704856068054</v>
      </c>
      <c r="M322" s="18">
        <f t="shared" si="1099"/>
        <v>8.6313252692098317</v>
      </c>
      <c r="N322" s="18">
        <f t="shared" si="1099"/>
        <v>14.605425902418386</v>
      </c>
      <c r="O322" s="18">
        <f t="shared" si="1099"/>
        <v>12.824706409899045</v>
      </c>
      <c r="P322" s="18">
        <f t="shared" si="1099"/>
        <v>10.576372782631719</v>
      </c>
      <c r="Q322" s="18">
        <f t="shared" si="1099"/>
        <v>10.199690466792696</v>
      </c>
      <c r="R322" s="18">
        <f t="shared" si="1099"/>
        <v>14.600218540503825</v>
      </c>
      <c r="S322" s="18">
        <f t="shared" si="1099"/>
        <v>14.739705016365155</v>
      </c>
      <c r="T322" s="18">
        <f t="shared" si="1099"/>
        <v>12.72620346735242</v>
      </c>
      <c r="U322" s="18">
        <f t="shared" si="1099"/>
        <v>13.813011499892148</v>
      </c>
      <c r="V322" s="18">
        <f t="shared" si="1099"/>
        <v>12.263879631224583</v>
      </c>
      <c r="W322" s="18">
        <f t="shared" si="1099"/>
        <v>11.655920727300394</v>
      </c>
      <c r="X322" s="18">
        <f t="shared" si="1099"/>
        <v>11.089432655380765</v>
      </c>
      <c r="Y322" s="18">
        <f t="shared" si="1099"/>
        <v>10.263096902482975</v>
      </c>
      <c r="Z322" s="18">
        <f t="shared" si="1099"/>
        <v>10.242926153244801</v>
      </c>
      <c r="AA322" s="18">
        <f t="shared" si="1099"/>
        <v>9.7672160311021905</v>
      </c>
      <c r="AB322" s="18">
        <f t="shared" si="1099"/>
        <v>9.1790407270819845</v>
      </c>
      <c r="AC322" s="18">
        <f t="shared" si="1099"/>
        <v>9.2022897698446329</v>
      </c>
      <c r="AD322" s="18">
        <f t="shared" si="1099"/>
        <v>9.0047957587899834</v>
      </c>
      <c r="AE322" s="18">
        <f t="shared" si="1099"/>
        <v>8.5377582508159691</v>
      </c>
      <c r="AF322" s="18">
        <f t="shared" si="1099"/>
        <v>8.2370246951232016</v>
      </c>
      <c r="AG322" s="17"/>
      <c r="AH322" s="18"/>
      <c r="AI322" s="18"/>
      <c r="AJ322" s="18"/>
      <c r="AK322" s="18">
        <f t="shared" ref="AK322:BP322" si="1100">AK260/(4*AK314)</f>
        <v>8.1095289756803179</v>
      </c>
      <c r="AL322" s="18">
        <f t="shared" si="1100"/>
        <v>7.5782281265865628</v>
      </c>
      <c r="AM322" s="18">
        <f t="shared" si="1100"/>
        <v>6.6643298125557857</v>
      </c>
      <c r="AN322" s="18">
        <f t="shared" si="1100"/>
        <v>7.7212247710140227</v>
      </c>
      <c r="AO322" s="18">
        <f t="shared" si="1100"/>
        <v>8.0329416954046078</v>
      </c>
      <c r="AP322" s="18">
        <f t="shared" si="1100"/>
        <v>7.5004952311078501</v>
      </c>
      <c r="AQ322" s="18">
        <f t="shared" si="1100"/>
        <v>8.0165351941747574</v>
      </c>
      <c r="AR322" s="18">
        <f t="shared" si="1100"/>
        <v>7.932080191415313</v>
      </c>
      <c r="AS322" s="18">
        <f t="shared" si="1100"/>
        <v>7.5575088530750909</v>
      </c>
      <c r="AT322" s="18">
        <f t="shared" si="1100"/>
        <v>8.2664296765637655</v>
      </c>
      <c r="AU322" s="18">
        <f t="shared" si="1100"/>
        <v>7.8010670731707314</v>
      </c>
      <c r="AV322" s="18">
        <f t="shared" si="1100"/>
        <v>8.1582524959286271</v>
      </c>
      <c r="AW322" s="18">
        <f t="shared" si="1100"/>
        <v>6.6925031766200762</v>
      </c>
      <c r="AX322" s="18">
        <f t="shared" si="1100"/>
        <v>7.768323422957601</v>
      </c>
      <c r="AY322" s="18">
        <f t="shared" si="1100"/>
        <v>7.0000863110650782</v>
      </c>
      <c r="AZ322" s="18">
        <f t="shared" si="1100"/>
        <v>6.7288553895410885</v>
      </c>
      <c r="BA322" s="18">
        <f t="shared" si="1100"/>
        <v>6.7042910447761166</v>
      </c>
      <c r="BB322" s="18">
        <f t="shared" si="1100"/>
        <v>7.4265052812181658</v>
      </c>
      <c r="BC322" s="18">
        <f t="shared" si="1100"/>
        <v>7.6039951005941839</v>
      </c>
      <c r="BD322" s="18">
        <f t="shared" si="1100"/>
        <v>7.4956239679169618</v>
      </c>
      <c r="BE322" s="18">
        <f t="shared" si="1100"/>
        <v>5.9039753734906899</v>
      </c>
      <c r="BF322" s="18">
        <f t="shared" si="1100"/>
        <v>7.3932351347972833</v>
      </c>
      <c r="BG322" s="18">
        <f t="shared" si="1100"/>
        <v>5.2711935512870456</v>
      </c>
      <c r="BH322" s="18">
        <f t="shared" si="1100"/>
        <v>6.8422319561185434</v>
      </c>
      <c r="BI322" s="18">
        <f t="shared" si="1100"/>
        <v>6.5317413819171488</v>
      </c>
      <c r="BJ322" s="18">
        <f t="shared" si="1100"/>
        <v>6.5501568597444333</v>
      </c>
      <c r="BK322" s="18">
        <f t="shared" si="1100"/>
        <v>6.1118962529781236</v>
      </c>
      <c r="BL322" s="18">
        <f t="shared" si="1100"/>
        <v>6.2719096286313265</v>
      </c>
      <c r="BM322" s="18">
        <f t="shared" si="1100"/>
        <v>5.5579804614013666</v>
      </c>
      <c r="BN322" s="18">
        <f t="shared" si="1100"/>
        <v>9.532219935476693</v>
      </c>
      <c r="BO322" s="18">
        <f t="shared" si="1100"/>
        <v>7.86963439255618</v>
      </c>
      <c r="BP322" s="18">
        <f t="shared" si="1100"/>
        <v>8.9245817909188876</v>
      </c>
      <c r="BQ322" s="18">
        <f t="shared" ref="BQ322:CV322" si="1101">BQ260/(4*BQ314)</f>
        <v>12.302252081756246</v>
      </c>
      <c r="BR322" s="18">
        <f t="shared" si="1101"/>
        <v>15.554904937468372</v>
      </c>
      <c r="BS322" s="18">
        <f t="shared" si="1101"/>
        <v>15.274840489166557</v>
      </c>
      <c r="BT322" s="18">
        <f t="shared" si="1101"/>
        <v>16.042729717321439</v>
      </c>
      <c r="BU322" s="18">
        <f t="shared" si="1101"/>
        <v>12.953882794457275</v>
      </c>
      <c r="BV322" s="18">
        <f t="shared" si="1101"/>
        <v>12.998094428602764</v>
      </c>
      <c r="BW322" s="18">
        <f t="shared" si="1101"/>
        <v>12.475342225342224</v>
      </c>
      <c r="BX322" s="18">
        <f t="shared" si="1101"/>
        <v>12.040909513408003</v>
      </c>
      <c r="BY322" s="18">
        <f t="shared" si="1101"/>
        <v>11.594479992987683</v>
      </c>
      <c r="BZ322" s="18">
        <f t="shared" si="1101"/>
        <v>11.959628165978085</v>
      </c>
      <c r="CA322" s="18">
        <f t="shared" si="1101"/>
        <v>11.36572728826596</v>
      </c>
      <c r="CB322" s="18">
        <f t="shared" si="1101"/>
        <v>11.047014707111222</v>
      </c>
      <c r="CC322" s="18">
        <f t="shared" si="1101"/>
        <v>10.058760726803916</v>
      </c>
      <c r="CD322" s="18">
        <f t="shared" si="1101"/>
        <v>10.429488006190352</v>
      </c>
      <c r="CE322" s="18">
        <f t="shared" si="1101"/>
        <v>10.015521920668059</v>
      </c>
      <c r="CF322" s="18">
        <f t="shared" si="1101"/>
        <v>10.324448097698451</v>
      </c>
      <c r="CG322" s="18">
        <f t="shared" si="1101"/>
        <v>9.5734215965370666</v>
      </c>
      <c r="CH322" s="18">
        <f t="shared" si="1101"/>
        <v>11.112976050255202</v>
      </c>
      <c r="CI322" s="18">
        <f t="shared" si="1101"/>
        <v>11.957761385503527</v>
      </c>
      <c r="CJ322" s="18">
        <f t="shared" si="1101"/>
        <v>12.390024326048811</v>
      </c>
      <c r="CK322" s="18">
        <f t="shared" si="1101"/>
        <v>12.278005894234909</v>
      </c>
      <c r="CL322" s="18">
        <f t="shared" si="1101"/>
        <v>13.299542303737853</v>
      </c>
      <c r="CM322" s="18">
        <f t="shared" si="1101"/>
        <v>13.716656045156592</v>
      </c>
      <c r="CN322" s="18">
        <f t="shared" si="1101"/>
        <v>13.174963934426229</v>
      </c>
      <c r="CO322" s="18">
        <f t="shared" si="1101"/>
        <v>12.0086133797474</v>
      </c>
      <c r="CP322" s="18">
        <f t="shared" si="1101"/>
        <v>12.981891142233538</v>
      </c>
      <c r="CQ322" s="18">
        <f t="shared" si="1101"/>
        <v>11.546990669339914</v>
      </c>
      <c r="CR322" s="18">
        <f t="shared" si="1101"/>
        <v>12.375175746924429</v>
      </c>
      <c r="CS322" s="18">
        <f t="shared" si="1101"/>
        <v>10.526887755102042</v>
      </c>
      <c r="CT322" s="18">
        <f t="shared" si="1101"/>
        <v>13.170296867012343</v>
      </c>
      <c r="CU322" s="18">
        <f t="shared" si="1101"/>
        <v>13.511433473990159</v>
      </c>
      <c r="CV322" s="18">
        <f t="shared" si="1101"/>
        <v>13.143783890044723</v>
      </c>
      <c r="CW322" s="18">
        <f t="shared" ref="CW322:EA322" si="1102">CW260/(4*CW314)</f>
        <v>12.856079453305831</v>
      </c>
      <c r="CX322" s="18">
        <f t="shared" si="1102"/>
        <v>13.031395793194593</v>
      </c>
      <c r="CY322" s="18">
        <f t="shared" si="1102"/>
        <v>12.482479671707576</v>
      </c>
      <c r="CZ322" s="18">
        <f t="shared" si="1102"/>
        <v>12.405927953625321</v>
      </c>
      <c r="DA322" s="18">
        <f t="shared" si="1102"/>
        <v>11.17906881485527</v>
      </c>
      <c r="DB322" s="18">
        <f t="shared" si="1102"/>
        <v>11.398688166165618</v>
      </c>
      <c r="DC322" s="18">
        <f t="shared" si="1102"/>
        <v>11.228302543296438</v>
      </c>
      <c r="DD322" s="18">
        <f t="shared" si="1102"/>
        <v>11.230526867992264</v>
      </c>
      <c r="DE322" s="18">
        <f t="shared" si="1102"/>
        <v>10.564107426049784</v>
      </c>
      <c r="DF322" s="18">
        <f t="shared" si="1102"/>
        <v>11.102357801780085</v>
      </c>
      <c r="DG322" s="18">
        <f t="shared" si="1102"/>
        <v>10.928912727912552</v>
      </c>
      <c r="DH322" s="18">
        <f t="shared" si="1102"/>
        <v>10.953496984724001</v>
      </c>
      <c r="DI322" s="18">
        <f t="shared" si="1102"/>
        <v>10.262848692961519</v>
      </c>
      <c r="DJ322" s="18">
        <f t="shared" si="1102"/>
        <v>10.532582388202517</v>
      </c>
      <c r="DK322" s="18">
        <f t="shared" si="1102"/>
        <v>10.140621525708644</v>
      </c>
      <c r="DL322" s="18">
        <f t="shared" si="1102"/>
        <v>9.791368112743017</v>
      </c>
      <c r="DM322" s="18">
        <f t="shared" si="1102"/>
        <v>9.8402012609321474</v>
      </c>
      <c r="DN322" s="18">
        <f t="shared" si="1102"/>
        <v>9.7594126599965083</v>
      </c>
      <c r="DO322" s="18">
        <f t="shared" si="1102"/>
        <v>9.6828005130563159</v>
      </c>
      <c r="DP322" s="18">
        <f t="shared" si="1102"/>
        <v>9.5823706368527954</v>
      </c>
      <c r="DQ322" s="18">
        <f t="shared" si="1102"/>
        <v>9.7257724692774286</v>
      </c>
      <c r="DR322" s="18">
        <f t="shared" si="1102"/>
        <v>9.8101487504814227</v>
      </c>
      <c r="DS322" s="18">
        <f t="shared" si="1102"/>
        <v>9.7626236791210026</v>
      </c>
      <c r="DT322" s="18">
        <f t="shared" si="1102"/>
        <v>9.7548615683149116</v>
      </c>
      <c r="DU322" s="18">
        <f t="shared" si="1102"/>
        <v>9.5738550379705032</v>
      </c>
      <c r="DV322" s="18">
        <f t="shared" si="1102"/>
        <v>9.7285159960317742</v>
      </c>
      <c r="DW322" s="18">
        <f t="shared" si="1102"/>
        <v>9.6213741105308905</v>
      </c>
      <c r="DX322" s="18">
        <f t="shared" si="1102"/>
        <v>9.5652786790684257</v>
      </c>
      <c r="DY322" s="18">
        <f t="shared" si="1102"/>
        <v>9.3099814695514329</v>
      </c>
      <c r="DZ322" s="18">
        <f t="shared" si="1102"/>
        <v>9.5308056960559444</v>
      </c>
      <c r="EA322" s="18">
        <f t="shared" si="1102"/>
        <v>9.3884119694013091</v>
      </c>
      <c r="EB322" s="18">
        <f t="shared" ref="EB322:EC322" si="1103">EB260/(4*EB314)</f>
        <v>9.2824444085257216</v>
      </c>
      <c r="EC322" s="18">
        <f t="shared" si="1103"/>
        <v>9.0287324157254698</v>
      </c>
      <c r="ED322" s="18">
        <f t="shared" ref="ED322:EP322" si="1104">ED260/(4*ED314)</f>
        <v>9.095519119257423</v>
      </c>
      <c r="EE322" s="18">
        <f t="shared" si="1104"/>
        <v>9.06127695833578</v>
      </c>
      <c r="EF322" s="18">
        <f t="shared" si="1104"/>
        <v>9.061997603990088</v>
      </c>
      <c r="EG322" s="18">
        <f t="shared" si="1104"/>
        <v>8.9788047420445256</v>
      </c>
      <c r="EH322" s="18">
        <f t="shared" si="1104"/>
        <v>8.8242821297529446</v>
      </c>
      <c r="EI322" s="18">
        <f t="shared" si="1104"/>
        <v>8.7456855824844162</v>
      </c>
      <c r="EJ322" s="18">
        <f t="shared" si="1104"/>
        <v>8.6593359788723276</v>
      </c>
      <c r="EK322" s="18">
        <f t="shared" si="1104"/>
        <v>8.5836345928142226</v>
      </c>
      <c r="EL322" s="18">
        <f t="shared" si="1104"/>
        <v>8.5092677363284821</v>
      </c>
      <c r="EM322" s="18">
        <f t="shared" si="1104"/>
        <v>8.4362012579174195</v>
      </c>
      <c r="EN322" s="18">
        <f t="shared" si="1104"/>
        <v>8.3644021488447517</v>
      </c>
      <c r="EO322" s="18">
        <f t="shared" si="1104"/>
        <v>8.2938384945325936</v>
      </c>
      <c r="EP322" s="18">
        <f t="shared" si="1104"/>
        <v>8.224479428400759</v>
      </c>
      <c r="EQ322" s="18"/>
      <c r="ER322" s="18"/>
      <c r="ES322" s="355">
        <f t="shared" si="838"/>
        <v>317</v>
      </c>
      <c r="ET322"/>
      <c r="EU322"/>
      <c r="EV322"/>
      <c r="EW322"/>
      <c r="EX322"/>
      <c r="EY322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</row>
    <row r="323" spans="1:257" s="4" customFormat="1" ht="12.75" hidden="1" customHeight="1" outlineLevel="2">
      <c r="A323" s="15"/>
      <c r="B323" s="63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7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18"/>
      <c r="DV323" s="18"/>
      <c r="DW323" s="18"/>
      <c r="DX323" s="18"/>
      <c r="DY323" s="18"/>
      <c r="DZ323" s="18"/>
      <c r="EA323" s="18"/>
      <c r="EB323" s="18"/>
      <c r="EC323" s="18"/>
      <c r="ED323" s="18"/>
      <c r="EE323" s="18"/>
      <c r="EF323" s="18"/>
      <c r="EG323" s="18"/>
      <c r="EH323" s="18"/>
      <c r="EI323" s="18"/>
      <c r="EJ323" s="18"/>
      <c r="EK323" s="18"/>
      <c r="EL323" s="18"/>
      <c r="EM323" s="18"/>
      <c r="EN323" s="18"/>
      <c r="EO323" s="18"/>
      <c r="EP323" s="18"/>
      <c r="EQ323" s="18"/>
      <c r="ER323" s="18"/>
      <c r="ES323" s="355">
        <f t="shared" si="838"/>
        <v>318</v>
      </c>
      <c r="ET323"/>
      <c r="EU323"/>
      <c r="EV323"/>
      <c r="EW323"/>
      <c r="EX323"/>
      <c r="EY323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</row>
    <row r="324" spans="1:257" s="4" customFormat="1" outlineLevel="1" collapsed="1">
      <c r="A324" s="15" t="s">
        <v>0</v>
      </c>
      <c r="B324" s="75" t="s">
        <v>42</v>
      </c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7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0"/>
      <c r="DA324" s="10"/>
      <c r="DB324" s="10"/>
      <c r="DC324" s="10"/>
      <c r="DD324" s="10"/>
      <c r="DE324" s="10"/>
      <c r="DF324" s="10"/>
      <c r="DG324" s="10"/>
      <c r="DH324" s="10"/>
      <c r="DI324" s="10"/>
      <c r="DJ324" s="10"/>
      <c r="DK324" s="10"/>
      <c r="DL324" s="10"/>
      <c r="DM324" s="10"/>
      <c r="DN324" s="10"/>
      <c r="DO324" s="10"/>
      <c r="DP324" s="10"/>
      <c r="DQ324" s="10"/>
      <c r="DR324" s="10"/>
      <c r="DS324" s="10"/>
      <c r="DT324" s="10"/>
      <c r="DU324" s="10"/>
      <c r="DV324" s="10"/>
      <c r="DW324" s="10"/>
      <c r="DX324" s="10"/>
      <c r="DY324" s="10"/>
      <c r="DZ324" s="10"/>
      <c r="EA324" s="10"/>
      <c r="EB324" s="10"/>
      <c r="EC324" s="10"/>
      <c r="ED324" s="10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355">
        <f t="shared" si="838"/>
        <v>319</v>
      </c>
      <c r="ET324"/>
      <c r="EU324"/>
      <c r="EV324"/>
      <c r="EW324"/>
      <c r="EX324"/>
      <c r="EY324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</row>
    <row r="325" spans="1:257" s="4" customFormat="1" hidden="1" outlineLevel="2">
      <c r="A325" s="15"/>
      <c r="B325" s="28" t="s">
        <v>41</v>
      </c>
      <c r="C325" s="10"/>
      <c r="D325" s="10"/>
      <c r="E325" s="74">
        <v>418.00400000000002</v>
      </c>
      <c r="F325" s="74">
        <v>444.43200000000002</v>
      </c>
      <c r="G325" s="74">
        <v>501.68200000000002</v>
      </c>
      <c r="H325" s="74">
        <v>568.11</v>
      </c>
      <c r="I325" s="74">
        <v>643.61900000000003</v>
      </c>
      <c r="J325" s="74">
        <v>829.21699999999998</v>
      </c>
      <c r="K325" s="74">
        <v>881.26900000000001</v>
      </c>
      <c r="L325" s="74">
        <v>891.74900000000002</v>
      </c>
      <c r="M325" s="74">
        <v>997.17700000000002</v>
      </c>
      <c r="N325" s="74">
        <v>1235.7840000000001</v>
      </c>
      <c r="O325" s="74">
        <v>1490.3889999999999</v>
      </c>
      <c r="P325" s="57">
        <v>1531.9369999999999</v>
      </c>
      <c r="Q325" s="57">
        <v>1549.1120000000001</v>
      </c>
      <c r="R325" s="57">
        <v>1911.039</v>
      </c>
      <c r="S325" s="57">
        <v>2651.68</v>
      </c>
      <c r="T325" s="57">
        <v>3263.8180000000002</v>
      </c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7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59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  <c r="CQ325" s="10"/>
      <c r="CR325" s="10"/>
      <c r="CS325" s="10"/>
      <c r="CT325" s="10"/>
      <c r="CU325" s="10"/>
      <c r="CV325" s="10"/>
      <c r="CW325" s="10"/>
      <c r="CX325" s="10"/>
      <c r="CY325" s="10"/>
      <c r="CZ325" s="10"/>
      <c r="DA325" s="10"/>
      <c r="DB325" s="10"/>
      <c r="DC325" s="10"/>
      <c r="DD325" s="10"/>
      <c r="DE325" s="10"/>
      <c r="DF325" s="10"/>
      <c r="DG325" s="10"/>
      <c r="DH325" s="10"/>
      <c r="DI325" s="10"/>
      <c r="DJ325" s="10"/>
      <c r="DK325" s="10"/>
      <c r="DL325" s="10"/>
      <c r="DM325" s="10"/>
      <c r="DN325" s="10"/>
      <c r="DO325" s="10"/>
      <c r="DP325" s="10"/>
      <c r="DQ325" s="10"/>
      <c r="DR325" s="10"/>
      <c r="DS325" s="10"/>
      <c r="DT325" s="10"/>
      <c r="DU325" s="10"/>
      <c r="DV325" s="10"/>
      <c r="DW325" s="10"/>
      <c r="DX325" s="10"/>
      <c r="DY325" s="10"/>
      <c r="DZ325" s="10"/>
      <c r="EA325" s="10"/>
      <c r="EB325" s="10"/>
      <c r="EC325" s="10"/>
      <c r="ED325" s="10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355">
        <f t="shared" si="838"/>
        <v>320</v>
      </c>
      <c r="ET325"/>
      <c r="EU325"/>
      <c r="EV325"/>
      <c r="EW325"/>
      <c r="EX325"/>
      <c r="EY325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</row>
    <row r="326" spans="1:257" s="4" customFormat="1" hidden="1" outlineLevel="2">
      <c r="A326" s="15"/>
      <c r="B326" s="28" t="s">
        <v>40</v>
      </c>
      <c r="C326" s="10"/>
      <c r="D326" s="10"/>
      <c r="E326" s="74">
        <v>350.18599999999998</v>
      </c>
      <c r="F326" s="74">
        <v>389.1</v>
      </c>
      <c r="G326" s="74">
        <v>392.80599999999998</v>
      </c>
      <c r="H326" s="74">
        <v>401.80399999999997</v>
      </c>
      <c r="I326" s="74">
        <v>409.92099999999999</v>
      </c>
      <c r="J326" s="74">
        <v>435.74700000000001</v>
      </c>
      <c r="K326" s="74">
        <v>446.88900000000001</v>
      </c>
      <c r="L326" s="74">
        <v>457.72399999999999</v>
      </c>
      <c r="M326" s="74">
        <v>30.838000000000001</v>
      </c>
      <c r="N326" s="74">
        <v>72.302999999999997</v>
      </c>
      <c r="O326" s="74">
        <v>45.003999999999998</v>
      </c>
      <c r="P326" s="57">
        <v>1.228</v>
      </c>
      <c r="Q326" s="57">
        <v>34.774000000000001</v>
      </c>
      <c r="R326" s="57">
        <v>220.60300000000001</v>
      </c>
      <c r="S326" s="57">
        <v>214.642</v>
      </c>
      <c r="T326" s="57">
        <v>279.42200000000003</v>
      </c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7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59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0"/>
      <c r="CW326" s="10"/>
      <c r="CX326" s="10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  <c r="DV326" s="10"/>
      <c r="DW326" s="10"/>
      <c r="DX326" s="10"/>
      <c r="DY326" s="10"/>
      <c r="DZ326" s="10"/>
      <c r="EA326" s="10"/>
      <c r="EB326" s="10"/>
      <c r="EC326" s="10"/>
      <c r="ED326" s="10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355">
        <f t="shared" si="838"/>
        <v>321</v>
      </c>
      <c r="ET326"/>
      <c r="EU326"/>
      <c r="EV326"/>
      <c r="EW326"/>
      <c r="EX326"/>
      <c r="EY326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</row>
    <row r="327" spans="1:257" s="4" customFormat="1" hidden="1" outlineLevel="2">
      <c r="A327" s="15"/>
      <c r="B327" s="28" t="s">
        <v>39</v>
      </c>
      <c r="C327" s="10"/>
      <c r="D327" s="10"/>
      <c r="E327" s="74">
        <v>47.502000000000002</v>
      </c>
      <c r="F327" s="74">
        <v>47.826999999999998</v>
      </c>
      <c r="G327" s="74">
        <v>46.642000000000003</v>
      </c>
      <c r="H327" s="74">
        <v>46.97</v>
      </c>
      <c r="I327" s="74">
        <v>47.682000000000002</v>
      </c>
      <c r="J327" s="74">
        <v>48.451000000000001</v>
      </c>
      <c r="K327" s="74">
        <v>49.064999999999998</v>
      </c>
      <c r="L327" s="74">
        <v>50.649000000000001</v>
      </c>
      <c r="M327" s="74">
        <v>50.579000000000001</v>
      </c>
      <c r="N327" s="74">
        <v>48.924999999999997</v>
      </c>
      <c r="O327" s="74">
        <v>56.247</v>
      </c>
      <c r="P327" s="57">
        <v>56.307000000000002</v>
      </c>
      <c r="Q327" s="57">
        <v>57.488999999999997</v>
      </c>
      <c r="R327" s="57">
        <v>58.286000000000001</v>
      </c>
      <c r="S327" s="57">
        <v>59.466999999999999</v>
      </c>
      <c r="T327" s="57">
        <v>60.811</v>
      </c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7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59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  <c r="CQ327" s="10"/>
      <c r="CR327" s="10"/>
      <c r="CS327" s="10"/>
      <c r="CT327" s="10"/>
      <c r="CU327" s="10"/>
      <c r="CV327" s="10"/>
      <c r="CW327" s="10"/>
      <c r="CX327" s="10"/>
      <c r="CY327" s="10"/>
      <c r="CZ327" s="10"/>
      <c r="DA327" s="10"/>
      <c r="DB327" s="10"/>
      <c r="DC327" s="10"/>
      <c r="DD327" s="10"/>
      <c r="DE327" s="10"/>
      <c r="DF327" s="10"/>
      <c r="DG327" s="10"/>
      <c r="DH327" s="10"/>
      <c r="DI327" s="10"/>
      <c r="DJ327" s="10"/>
      <c r="DK327" s="10"/>
      <c r="DL327" s="10"/>
      <c r="DM327" s="10"/>
      <c r="DN327" s="10"/>
      <c r="DO327" s="10"/>
      <c r="DP327" s="10"/>
      <c r="DQ327" s="10"/>
      <c r="DR327" s="10"/>
      <c r="DS327" s="10"/>
      <c r="DT327" s="10"/>
      <c r="DU327" s="10"/>
      <c r="DV327" s="10"/>
      <c r="DW327" s="10"/>
      <c r="DX327" s="10"/>
      <c r="DY327" s="10"/>
      <c r="DZ327" s="10"/>
      <c r="EA327" s="10"/>
      <c r="EB327" s="10"/>
      <c r="EC327" s="10"/>
      <c r="ED327" s="10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355">
        <f t="shared" si="838"/>
        <v>322</v>
      </c>
      <c r="ET327"/>
      <c r="EU327"/>
      <c r="EV327"/>
      <c r="EW327"/>
      <c r="EX327"/>
      <c r="EY327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</row>
    <row r="328" spans="1:257" s="4" customFormat="1" hidden="1" outlineLevel="2">
      <c r="A328" s="15"/>
      <c r="B328" s="73" t="s">
        <v>38</v>
      </c>
      <c r="C328" s="68"/>
      <c r="D328" s="68"/>
      <c r="E328" s="72">
        <v>57.63</v>
      </c>
      <c r="F328" s="72">
        <v>61.743000000000002</v>
      </c>
      <c r="G328" s="72">
        <v>55.655000000000001</v>
      </c>
      <c r="H328" s="72">
        <v>53.546999999999997</v>
      </c>
      <c r="I328" s="72">
        <v>59.658999999999999</v>
      </c>
      <c r="J328" s="72">
        <v>65.12</v>
      </c>
      <c r="K328" s="72">
        <v>71.138999999999996</v>
      </c>
      <c r="L328" s="72">
        <v>80.268000000000001</v>
      </c>
      <c r="M328" s="72">
        <v>78.42</v>
      </c>
      <c r="N328" s="72">
        <v>82.31</v>
      </c>
      <c r="O328" s="72">
        <v>87.57</v>
      </c>
      <c r="P328" s="71">
        <v>93.64</v>
      </c>
      <c r="Q328" s="71">
        <v>96.614000000000004</v>
      </c>
      <c r="R328" s="71">
        <v>113.788</v>
      </c>
      <c r="S328" s="71">
        <v>131.482</v>
      </c>
      <c r="T328" s="71">
        <v>150.19999999999999</v>
      </c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17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  <c r="BJ328" s="68"/>
      <c r="BK328" s="68"/>
      <c r="BL328" s="68"/>
      <c r="BM328" s="68"/>
      <c r="BN328" s="68"/>
      <c r="BO328" s="68"/>
      <c r="BP328" s="68"/>
      <c r="BQ328" s="68"/>
      <c r="BR328" s="68"/>
      <c r="BS328" s="68"/>
      <c r="BT328" s="68"/>
      <c r="BU328" s="68"/>
      <c r="BV328" s="68"/>
      <c r="BW328" s="68"/>
      <c r="BX328" s="68"/>
      <c r="BY328" s="67"/>
      <c r="BZ328" s="68"/>
      <c r="CA328" s="68"/>
      <c r="CB328" s="68"/>
      <c r="CC328" s="68"/>
      <c r="CD328" s="68"/>
      <c r="CE328" s="68"/>
      <c r="CF328" s="68"/>
      <c r="CG328" s="68"/>
      <c r="CH328" s="68"/>
      <c r="CI328" s="68"/>
      <c r="CJ328" s="68"/>
      <c r="CK328" s="68"/>
      <c r="CL328" s="68"/>
      <c r="CM328" s="68"/>
      <c r="CN328" s="68"/>
      <c r="CO328" s="68"/>
      <c r="CP328" s="68"/>
      <c r="CQ328" s="68"/>
      <c r="CR328" s="68"/>
      <c r="CS328" s="68"/>
      <c r="CT328" s="70"/>
      <c r="CU328" s="70"/>
      <c r="CV328" s="70"/>
      <c r="CW328" s="70"/>
      <c r="CX328" s="70"/>
      <c r="CY328" s="70"/>
      <c r="CZ328" s="70"/>
      <c r="DA328" s="70"/>
      <c r="DB328" s="70"/>
      <c r="DC328" s="70"/>
      <c r="DD328" s="70"/>
      <c r="DE328" s="68"/>
      <c r="DF328" s="68"/>
      <c r="DG328" s="68"/>
      <c r="DH328" s="68"/>
      <c r="DI328" s="68"/>
      <c r="DJ328" s="68"/>
      <c r="DK328" s="68"/>
      <c r="DL328" s="68"/>
      <c r="DM328" s="68"/>
      <c r="DN328" s="68"/>
      <c r="DO328" s="68"/>
      <c r="DP328" s="68"/>
      <c r="DQ328" s="68"/>
      <c r="DR328" s="68"/>
      <c r="DS328" s="68"/>
      <c r="DT328" s="68"/>
      <c r="DU328" s="68"/>
      <c r="DV328" s="68"/>
      <c r="DW328" s="68"/>
      <c r="DX328" s="68"/>
      <c r="DY328" s="68"/>
      <c r="DZ328" s="68"/>
      <c r="EA328" s="68"/>
      <c r="EB328" s="68"/>
      <c r="EC328" s="68"/>
      <c r="ED328" s="68"/>
      <c r="EE328" s="68"/>
      <c r="EF328" s="68"/>
      <c r="EG328" s="68"/>
      <c r="EH328" s="68"/>
      <c r="EI328" s="68"/>
      <c r="EJ328" s="68"/>
      <c r="EK328" s="68"/>
      <c r="EL328" s="68"/>
      <c r="EM328" s="68"/>
      <c r="EN328" s="68"/>
      <c r="EO328" s="68"/>
      <c r="EP328" s="68"/>
      <c r="EQ328" s="5"/>
      <c r="ER328" s="5"/>
      <c r="ES328" s="355">
        <f t="shared" ref="ES328:ES374" si="1105">ES327+1</f>
        <v>323</v>
      </c>
      <c r="ET328"/>
      <c r="EU328"/>
      <c r="EV328"/>
      <c r="EW328"/>
      <c r="EX328"/>
      <c r="EY328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</row>
    <row r="329" spans="1:257" s="4" customFormat="1" hidden="1" outlineLevel="2">
      <c r="A329" s="15"/>
      <c r="B329" s="65" t="s">
        <v>37</v>
      </c>
      <c r="C329" s="10"/>
      <c r="D329" s="10"/>
      <c r="E329" s="59">
        <f t="shared" ref="E329:T329" si="1106">SUM(E325:E328)</f>
        <v>873.322</v>
      </c>
      <c r="F329" s="59">
        <f t="shared" si="1106"/>
        <v>943.10200000000009</v>
      </c>
      <c r="G329" s="59">
        <f t="shared" si="1106"/>
        <v>996.78500000000008</v>
      </c>
      <c r="H329" s="59">
        <f t="shared" si="1106"/>
        <v>1070.431</v>
      </c>
      <c r="I329" s="59">
        <f t="shared" si="1106"/>
        <v>1160.8810000000001</v>
      </c>
      <c r="J329" s="59">
        <f t="shared" si="1106"/>
        <v>1378.5349999999999</v>
      </c>
      <c r="K329" s="59">
        <f t="shared" si="1106"/>
        <v>1448.3619999999999</v>
      </c>
      <c r="L329" s="59">
        <f t="shared" si="1106"/>
        <v>1480.3899999999999</v>
      </c>
      <c r="M329" s="59">
        <f t="shared" si="1106"/>
        <v>1157.0140000000001</v>
      </c>
      <c r="N329" s="59">
        <f t="shared" si="1106"/>
        <v>1439.3219999999999</v>
      </c>
      <c r="O329" s="59">
        <f t="shared" si="1106"/>
        <v>1679.2099999999998</v>
      </c>
      <c r="P329" s="59">
        <f t="shared" si="1106"/>
        <v>1683.1120000000001</v>
      </c>
      <c r="Q329" s="59">
        <f t="shared" si="1106"/>
        <v>1737.989</v>
      </c>
      <c r="R329" s="59">
        <f t="shared" si="1106"/>
        <v>2303.7159999999999</v>
      </c>
      <c r="S329" s="59">
        <f t="shared" si="1106"/>
        <v>3057.2709999999997</v>
      </c>
      <c r="T329" s="59">
        <f t="shared" si="1106"/>
        <v>3754.2510000000002</v>
      </c>
      <c r="U329" s="62">
        <f>CW329</f>
        <v>4574.3440000000001</v>
      </c>
      <c r="V329" s="62">
        <f>DA329</f>
        <v>4846.1149999999998</v>
      </c>
      <c r="W329" s="62">
        <f t="shared" ref="W329:AF330" si="1107">INDEX($AH329:$EQ329,1,MATCH(W$4,$AH$4:$EQ$4,0))</f>
        <v>5563.6329999999998</v>
      </c>
      <c r="X329" s="62">
        <f t="shared" si="1107"/>
        <v>6630.5410000000002</v>
      </c>
      <c r="Y329" s="62">
        <f t="shared" si="1107"/>
        <v>7410.6959999999999</v>
      </c>
      <c r="Z329" s="62">
        <f t="shared" si="1107"/>
        <v>8446.6860000000015</v>
      </c>
      <c r="AA329" s="62">
        <f t="shared" si="1107"/>
        <v>9432.3690000000006</v>
      </c>
      <c r="AB329" s="62">
        <f t="shared" si="1107"/>
        <v>9608.4540000000015</v>
      </c>
      <c r="AC329" s="62">
        <f t="shared" si="1107"/>
        <v>10050.315000000001</v>
      </c>
      <c r="AD329" s="62">
        <f t="shared" si="1107"/>
        <v>10502.931</v>
      </c>
      <c r="AE329" s="62">
        <f t="shared" si="1107"/>
        <v>10812.931</v>
      </c>
      <c r="AF329" s="62">
        <f t="shared" si="1107"/>
        <v>11112.931</v>
      </c>
      <c r="AG329" s="17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59"/>
      <c r="BZ329" s="10"/>
      <c r="CA329" s="10"/>
      <c r="CB329" s="10"/>
      <c r="CC329" s="10"/>
      <c r="CD329" s="10"/>
      <c r="CE329" s="10"/>
      <c r="CF329" s="10"/>
      <c r="CG329" s="10"/>
      <c r="CH329" s="10"/>
      <c r="CI329" s="10"/>
      <c r="CJ329" s="10"/>
      <c r="CK329" s="10"/>
      <c r="CL329" s="10"/>
      <c r="CM329" s="10"/>
      <c r="CN329" s="10"/>
      <c r="CO329" s="10"/>
      <c r="CP329" s="10"/>
      <c r="CQ329" s="10"/>
      <c r="CR329" s="10"/>
      <c r="CS329" s="59">
        <f>T329</f>
        <v>3754.2510000000002</v>
      </c>
      <c r="CT329" s="62">
        <f t="shared" ref="CT329:EA329" si="1108">CT331-CT330</f>
        <v>4012.2260000000001</v>
      </c>
      <c r="CU329" s="62">
        <f t="shared" si="1108"/>
        <v>4270.5990000000002</v>
      </c>
      <c r="CV329" s="62">
        <f t="shared" si="1108"/>
        <v>4454.2719999999999</v>
      </c>
      <c r="CW329" s="62">
        <f t="shared" si="1108"/>
        <v>4574.3440000000001</v>
      </c>
      <c r="CX329" s="62">
        <f t="shared" si="1108"/>
        <v>4644.8829999999998</v>
      </c>
      <c r="CY329" s="62">
        <f t="shared" si="1108"/>
        <v>4722.174</v>
      </c>
      <c r="CZ329" s="62">
        <f t="shared" si="1108"/>
        <v>4738.1059999999998</v>
      </c>
      <c r="DA329" s="62">
        <f t="shared" si="1108"/>
        <v>4846.1149999999998</v>
      </c>
      <c r="DB329" s="62">
        <f t="shared" si="1108"/>
        <v>4980.8989999999994</v>
      </c>
      <c r="DC329" s="62">
        <f t="shared" si="1108"/>
        <v>5141.0709999999999</v>
      </c>
      <c r="DD329" s="62">
        <f t="shared" si="1108"/>
        <v>5353.2880000000005</v>
      </c>
      <c r="DE329" s="62">
        <f t="shared" si="1108"/>
        <v>5563.6329999999998</v>
      </c>
      <c r="DF329" s="62">
        <f t="shared" si="1108"/>
        <v>5804.8520000000008</v>
      </c>
      <c r="DG329" s="62">
        <f t="shared" si="1108"/>
        <v>6039.0240000000003</v>
      </c>
      <c r="DH329" s="62">
        <f t="shared" si="1108"/>
        <v>6329.27</v>
      </c>
      <c r="DI329" s="62">
        <f t="shared" si="1108"/>
        <v>6630.5410000000002</v>
      </c>
      <c r="DJ329" s="62">
        <f t="shared" si="1108"/>
        <v>6876.6200000000008</v>
      </c>
      <c r="DK329" s="62">
        <f t="shared" si="1108"/>
        <v>7058.5640000000003</v>
      </c>
      <c r="DL329" s="62">
        <f t="shared" si="1108"/>
        <v>7229.0930000000008</v>
      </c>
      <c r="DM329" s="62">
        <f t="shared" si="1108"/>
        <v>7410.6959999999999</v>
      </c>
      <c r="DN329" s="62">
        <f t="shared" si="1108"/>
        <v>7548.6</v>
      </c>
      <c r="DO329" s="62">
        <f t="shared" si="1108"/>
        <v>7780.0290000000005</v>
      </c>
      <c r="DP329" s="62">
        <f t="shared" si="1108"/>
        <v>8051.4310000000005</v>
      </c>
      <c r="DQ329" s="62">
        <f t="shared" si="1108"/>
        <v>8446.6860000000015</v>
      </c>
      <c r="DR329" s="62">
        <f t="shared" si="1108"/>
        <v>8795.7710000000006</v>
      </c>
      <c r="DS329" s="62">
        <f t="shared" si="1108"/>
        <v>9118.2810000000009</v>
      </c>
      <c r="DT329" s="62">
        <f t="shared" si="1108"/>
        <v>9320.0689999999995</v>
      </c>
      <c r="DU329" s="62">
        <f t="shared" si="1108"/>
        <v>9432.3690000000006</v>
      </c>
      <c r="DV329" s="62">
        <f t="shared" si="1108"/>
        <v>9538.0800000000017</v>
      </c>
      <c r="DW329" s="62">
        <f t="shared" si="1108"/>
        <v>9595.1320000000014</v>
      </c>
      <c r="DX329" s="62">
        <f t="shared" si="1108"/>
        <v>9593.9040000000005</v>
      </c>
      <c r="DY329" s="62">
        <f t="shared" si="1108"/>
        <v>9608.4540000000015</v>
      </c>
      <c r="DZ329" s="62">
        <f t="shared" si="1108"/>
        <v>9700.2469999999994</v>
      </c>
      <c r="EA329" s="62">
        <f t="shared" si="1108"/>
        <v>9811.7129999999997</v>
      </c>
      <c r="EB329" s="62">
        <f t="shared" ref="EB329:EC329" si="1109">EB331-EB330</f>
        <v>9958.3019999999997</v>
      </c>
      <c r="EC329" s="62">
        <f t="shared" si="1109"/>
        <v>10050.315000000001</v>
      </c>
      <c r="ED329" s="62">
        <f t="shared" ref="ED329" si="1110">ED331-ED330</f>
        <v>10142.931</v>
      </c>
      <c r="EE329" s="62">
        <f t="shared" ref="EE329:EP329" si="1111">ED329-EE232-EE235</f>
        <v>10262.931</v>
      </c>
      <c r="EF329" s="62">
        <f t="shared" si="1111"/>
        <v>10382.931</v>
      </c>
      <c r="EG329" s="62">
        <f t="shared" si="1111"/>
        <v>10502.931</v>
      </c>
      <c r="EH329" s="62">
        <f t="shared" si="1111"/>
        <v>10582.931</v>
      </c>
      <c r="EI329" s="62">
        <f t="shared" si="1111"/>
        <v>10662.931</v>
      </c>
      <c r="EJ329" s="62">
        <f t="shared" si="1111"/>
        <v>10737.931</v>
      </c>
      <c r="EK329" s="62">
        <f t="shared" si="1111"/>
        <v>10812.931</v>
      </c>
      <c r="EL329" s="62">
        <f t="shared" si="1111"/>
        <v>10887.931</v>
      </c>
      <c r="EM329" s="62">
        <f t="shared" si="1111"/>
        <v>10962.931</v>
      </c>
      <c r="EN329" s="62">
        <f t="shared" si="1111"/>
        <v>11037.931</v>
      </c>
      <c r="EO329" s="62">
        <f t="shared" si="1111"/>
        <v>11112.931</v>
      </c>
      <c r="EP329" s="62">
        <f t="shared" si="1111"/>
        <v>11187.931</v>
      </c>
      <c r="EQ329" s="5"/>
      <c r="ER329" s="5"/>
      <c r="ES329" s="355">
        <f t="shared" si="1105"/>
        <v>324</v>
      </c>
      <c r="ET329"/>
      <c r="EU329"/>
      <c r="EV329"/>
      <c r="EW329"/>
      <c r="EX329"/>
      <c r="EY329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</row>
    <row r="330" spans="1:257" s="4" customFormat="1" hidden="1" outlineLevel="2">
      <c r="A330" s="15"/>
      <c r="B330" s="69" t="s">
        <v>36</v>
      </c>
      <c r="C330" s="68"/>
      <c r="D330" s="68"/>
      <c r="E330" s="67">
        <v>-514.524</v>
      </c>
      <c r="F330" s="67">
        <v>-542.45100000000002</v>
      </c>
      <c r="G330" s="67">
        <v>-578.49199999999996</v>
      </c>
      <c r="H330" s="67">
        <v>-606.93499999999995</v>
      </c>
      <c r="I330" s="67">
        <v>-621.85599999999999</v>
      </c>
      <c r="J330" s="67">
        <v>-686.16399999999999</v>
      </c>
      <c r="K330" s="67">
        <v>-757.14700000000005</v>
      </c>
      <c r="L330" s="67">
        <v>-806.78499999999997</v>
      </c>
      <c r="M330" s="67">
        <v>-506.96300000000002</v>
      </c>
      <c r="N330" s="67">
        <v>-541.87699999999995</v>
      </c>
      <c r="O330" s="67">
        <v>-621.005</v>
      </c>
      <c r="P330" s="66">
        <v>-684.43799999999999</v>
      </c>
      <c r="Q330" s="66">
        <v>-756.024</v>
      </c>
      <c r="R330" s="66">
        <v>-820.58199999999999</v>
      </c>
      <c r="S330" s="66">
        <v>-904.65499999999997</v>
      </c>
      <c r="T330" s="66">
        <v>-1072</v>
      </c>
      <c r="U330" s="66">
        <f>CW330</f>
        <v>-1308.4369999999999</v>
      </c>
      <c r="V330" s="66">
        <f>DA330</f>
        <v>-1571.095</v>
      </c>
      <c r="W330" s="66">
        <f t="shared" si="1107"/>
        <v>-1886.5630000000001</v>
      </c>
      <c r="X330" s="66">
        <f t="shared" si="1107"/>
        <v>-2278.9700000000003</v>
      </c>
      <c r="Y330" s="66">
        <f t="shared" si="1107"/>
        <v>-2734.5930000000003</v>
      </c>
      <c r="Z330" s="66">
        <f t="shared" si="1107"/>
        <v>-3258.1420000000007</v>
      </c>
      <c r="AA330" s="66">
        <f t="shared" si="1107"/>
        <v>-3865.1340000000009</v>
      </c>
      <c r="AB330" s="66">
        <f t="shared" si="1107"/>
        <v>-4463.7210000000005</v>
      </c>
      <c r="AC330" s="66">
        <f t="shared" si="1107"/>
        <v>-5049.2640000000001</v>
      </c>
      <c r="AD330" s="66">
        <f t="shared" si="1107"/>
        <v>-5600.8496257850002</v>
      </c>
      <c r="AE330" s="66">
        <f t="shared" si="1107"/>
        <v>-6147.3178038570431</v>
      </c>
      <c r="AF330" s="66">
        <f t="shared" si="1107"/>
        <v>-6684.8949306957984</v>
      </c>
      <c r="AG330" s="17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  <c r="BJ330" s="68"/>
      <c r="BK330" s="68"/>
      <c r="BL330" s="68"/>
      <c r="BM330" s="68"/>
      <c r="BN330" s="68"/>
      <c r="BO330" s="68"/>
      <c r="BP330" s="68"/>
      <c r="BQ330" s="68"/>
      <c r="BR330" s="68"/>
      <c r="BS330" s="68"/>
      <c r="BT330" s="68"/>
      <c r="BU330" s="68"/>
      <c r="BV330" s="68"/>
      <c r="BW330" s="68"/>
      <c r="BX330" s="68"/>
      <c r="BY330" s="67"/>
      <c r="BZ330" s="68"/>
      <c r="CA330" s="68"/>
      <c r="CB330" s="68"/>
      <c r="CC330" s="68"/>
      <c r="CD330" s="68"/>
      <c r="CE330" s="68"/>
      <c r="CF330" s="68"/>
      <c r="CG330" s="68"/>
      <c r="CH330" s="68"/>
      <c r="CI330" s="68"/>
      <c r="CJ330" s="68"/>
      <c r="CK330" s="68"/>
      <c r="CL330" s="68"/>
      <c r="CM330" s="68"/>
      <c r="CN330" s="68"/>
      <c r="CO330" s="68"/>
      <c r="CP330" s="68"/>
      <c r="CQ330" s="68"/>
      <c r="CR330" s="68"/>
      <c r="CS330" s="67">
        <f>T330</f>
        <v>-1072</v>
      </c>
      <c r="CT330" s="67">
        <f t="shared" ref="CT330:DY330" si="1112">CS330-CT218</f>
        <v>-1126.7719999999999</v>
      </c>
      <c r="CU330" s="67">
        <f t="shared" si="1112"/>
        <v>-1183.885</v>
      </c>
      <c r="CV330" s="67">
        <f t="shared" si="1112"/>
        <v>-1244.9279999999999</v>
      </c>
      <c r="CW330" s="67">
        <f t="shared" si="1112"/>
        <v>-1308.4369999999999</v>
      </c>
      <c r="CX330" s="67">
        <f t="shared" si="1112"/>
        <v>-1371.2399999999998</v>
      </c>
      <c r="CY330" s="67">
        <f t="shared" si="1112"/>
        <v>-1437.0349999999999</v>
      </c>
      <c r="CZ330" s="67">
        <f t="shared" si="1112"/>
        <v>-1502.2429999999999</v>
      </c>
      <c r="DA330" s="67">
        <f t="shared" si="1112"/>
        <v>-1571.095</v>
      </c>
      <c r="DB330" s="67">
        <f t="shared" si="1112"/>
        <v>-1644.2750000000001</v>
      </c>
      <c r="DC330" s="67">
        <f t="shared" si="1112"/>
        <v>-1720.4360000000001</v>
      </c>
      <c r="DD330" s="67">
        <f t="shared" si="1112"/>
        <v>-1799.5450000000001</v>
      </c>
      <c r="DE330" s="67">
        <f t="shared" si="1112"/>
        <v>-1886.5630000000001</v>
      </c>
      <c r="DF330" s="67">
        <f t="shared" si="1112"/>
        <v>-1972.8510000000001</v>
      </c>
      <c r="DG330" s="67">
        <f t="shared" si="1112"/>
        <v>-2063.7850000000003</v>
      </c>
      <c r="DH330" s="67">
        <f t="shared" si="1112"/>
        <v>-2158.9670000000001</v>
      </c>
      <c r="DI330" s="67">
        <f t="shared" si="1112"/>
        <v>-2278.9700000000003</v>
      </c>
      <c r="DJ330" s="67">
        <f t="shared" si="1112"/>
        <v>-2385.5690000000004</v>
      </c>
      <c r="DK330" s="67">
        <f t="shared" si="1112"/>
        <v>-2498.0020000000004</v>
      </c>
      <c r="DL330" s="67">
        <f t="shared" si="1112"/>
        <v>-2615.7920000000004</v>
      </c>
      <c r="DM330" s="67">
        <f t="shared" si="1112"/>
        <v>-2734.5930000000003</v>
      </c>
      <c r="DN330" s="67">
        <f t="shared" si="1112"/>
        <v>-2854.8300000000004</v>
      </c>
      <c r="DO330" s="67">
        <f t="shared" si="1112"/>
        <v>-2978.7930000000006</v>
      </c>
      <c r="DP330" s="67">
        <f t="shared" si="1112"/>
        <v>-3107.7710000000006</v>
      </c>
      <c r="DQ330" s="67">
        <f t="shared" si="1112"/>
        <v>-3258.1420000000007</v>
      </c>
      <c r="DR330" s="67">
        <f t="shared" si="1112"/>
        <v>-3395.7550000000006</v>
      </c>
      <c r="DS330" s="67">
        <f t="shared" si="1112"/>
        <v>-3545.4630000000006</v>
      </c>
      <c r="DT330" s="67">
        <f t="shared" si="1112"/>
        <v>-3689.7580000000007</v>
      </c>
      <c r="DU330" s="67">
        <f t="shared" si="1112"/>
        <v>-3865.1340000000009</v>
      </c>
      <c r="DV330" s="67">
        <f t="shared" si="1112"/>
        <v>-4007.2630000000008</v>
      </c>
      <c r="DW330" s="67">
        <f t="shared" si="1112"/>
        <v>-4148.7800000000007</v>
      </c>
      <c r="DX330" s="67">
        <f t="shared" si="1112"/>
        <v>-4287.47</v>
      </c>
      <c r="DY330" s="67">
        <f t="shared" si="1112"/>
        <v>-4463.7210000000005</v>
      </c>
      <c r="DZ330" s="67">
        <f t="shared" ref="DZ330:EP330" si="1113">DY330-DZ218</f>
        <v>-4597.5680000000002</v>
      </c>
      <c r="EA330" s="67">
        <f t="shared" si="1113"/>
        <v>-4750.3450000000003</v>
      </c>
      <c r="EB330" s="67">
        <f t="shared" si="1113"/>
        <v>-4895.3879999999999</v>
      </c>
      <c r="EC330" s="67">
        <f t="shared" si="1113"/>
        <v>-5049.2640000000001</v>
      </c>
      <c r="ED330" s="67">
        <f t="shared" si="1113"/>
        <v>-5192.5309999999999</v>
      </c>
      <c r="EE330" s="66">
        <f t="shared" si="1113"/>
        <v>-5328.6670000000004</v>
      </c>
      <c r="EF330" s="66">
        <f t="shared" si="1113"/>
        <v>-5464.3592600000002</v>
      </c>
      <c r="EG330" s="66">
        <f t="shared" si="1113"/>
        <v>-5600.8496257850002</v>
      </c>
      <c r="EH330" s="66">
        <f t="shared" si="1113"/>
        <v>-5738.1079042630199</v>
      </c>
      <c r="EI330" s="66">
        <f t="shared" si="1113"/>
        <v>-5874.9741567175897</v>
      </c>
      <c r="EJ330" s="66">
        <f t="shared" si="1113"/>
        <v>-6011.430926751138</v>
      </c>
      <c r="EK330" s="66">
        <f t="shared" si="1113"/>
        <v>-6147.3178038570431</v>
      </c>
      <c r="EL330" s="66">
        <f t="shared" si="1113"/>
        <v>-6282.6205865451893</v>
      </c>
      <c r="EM330" s="66">
        <f t="shared" si="1113"/>
        <v>-6417.3259161387423</v>
      </c>
      <c r="EN330" s="66">
        <f t="shared" si="1113"/>
        <v>-6551.4212661126494</v>
      </c>
      <c r="EO330" s="66">
        <f t="shared" si="1113"/>
        <v>-6684.8949306957984</v>
      </c>
      <c r="EP330" s="66">
        <f t="shared" si="1113"/>
        <v>-6817.7360127749243</v>
      </c>
      <c r="EQ330" s="5"/>
      <c r="ER330" s="5"/>
      <c r="ES330" s="355">
        <f t="shared" si="1105"/>
        <v>325</v>
      </c>
      <c r="ET330"/>
      <c r="EU330"/>
      <c r="EV330"/>
      <c r="EW330"/>
      <c r="EX330"/>
      <c r="EY330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</row>
    <row r="331" spans="1:257" s="4" customFormat="1" hidden="1" outlineLevel="2">
      <c r="A331" s="15"/>
      <c r="B331" s="65" t="s">
        <v>35</v>
      </c>
      <c r="C331" s="10"/>
      <c r="D331" s="10"/>
      <c r="E331" s="59">
        <f t="shared" ref="E331:AF331" si="1114">SUM(E329:E330)</f>
        <v>358.798</v>
      </c>
      <c r="F331" s="59">
        <f t="shared" si="1114"/>
        <v>400.65100000000007</v>
      </c>
      <c r="G331" s="59">
        <f t="shared" si="1114"/>
        <v>418.29300000000012</v>
      </c>
      <c r="H331" s="59">
        <f t="shared" si="1114"/>
        <v>463.49600000000009</v>
      </c>
      <c r="I331" s="59">
        <f t="shared" si="1114"/>
        <v>539.02500000000009</v>
      </c>
      <c r="J331" s="59">
        <f t="shared" si="1114"/>
        <v>692.37099999999987</v>
      </c>
      <c r="K331" s="59">
        <f t="shared" si="1114"/>
        <v>691.2149999999998</v>
      </c>
      <c r="L331" s="59">
        <f t="shared" si="1114"/>
        <v>673.6049999999999</v>
      </c>
      <c r="M331" s="59">
        <f t="shared" si="1114"/>
        <v>650.05100000000016</v>
      </c>
      <c r="N331" s="59">
        <f t="shared" si="1114"/>
        <v>897.44499999999994</v>
      </c>
      <c r="O331" s="59">
        <f t="shared" si="1114"/>
        <v>1058.2049999999999</v>
      </c>
      <c r="P331" s="59">
        <f t="shared" si="1114"/>
        <v>998.67400000000009</v>
      </c>
      <c r="Q331" s="59">
        <f t="shared" si="1114"/>
        <v>981.96500000000003</v>
      </c>
      <c r="R331" s="59">
        <f t="shared" si="1114"/>
        <v>1483.134</v>
      </c>
      <c r="S331" s="59">
        <f t="shared" si="1114"/>
        <v>2152.616</v>
      </c>
      <c r="T331" s="59">
        <f t="shared" si="1114"/>
        <v>2682.2510000000002</v>
      </c>
      <c r="U331" s="62">
        <f t="shared" si="1114"/>
        <v>3265.9070000000002</v>
      </c>
      <c r="V331" s="62">
        <f t="shared" si="1114"/>
        <v>3275.0199999999995</v>
      </c>
      <c r="W331" s="62">
        <f t="shared" si="1114"/>
        <v>3677.0699999999997</v>
      </c>
      <c r="X331" s="62">
        <f t="shared" si="1114"/>
        <v>4351.5709999999999</v>
      </c>
      <c r="Y331" s="62">
        <f t="shared" si="1114"/>
        <v>4676.1029999999992</v>
      </c>
      <c r="Z331" s="62">
        <f t="shared" si="1114"/>
        <v>5188.5440000000008</v>
      </c>
      <c r="AA331" s="62">
        <f t="shared" si="1114"/>
        <v>5567.2349999999997</v>
      </c>
      <c r="AB331" s="62">
        <f t="shared" si="1114"/>
        <v>5144.7330000000011</v>
      </c>
      <c r="AC331" s="62">
        <f t="shared" si="1114"/>
        <v>5001.0510000000004</v>
      </c>
      <c r="AD331" s="62">
        <f t="shared" si="1114"/>
        <v>4902.0813742150003</v>
      </c>
      <c r="AE331" s="62">
        <f t="shared" si="1114"/>
        <v>4665.6131961429573</v>
      </c>
      <c r="AF331" s="62">
        <f t="shared" si="1114"/>
        <v>4428.0360693042021</v>
      </c>
      <c r="AG331" s="17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L331" s="10"/>
      <c r="BM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59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62">
        <f>SUM(CS329:CS330)</f>
        <v>2682.2510000000002</v>
      </c>
      <c r="CT331" s="62">
        <f t="shared" ref="CT331:EA331" si="1115">CT260</f>
        <v>2885.4540000000002</v>
      </c>
      <c r="CU331" s="62">
        <f t="shared" si="1115"/>
        <v>3086.7139999999999</v>
      </c>
      <c r="CV331" s="62">
        <f t="shared" si="1115"/>
        <v>3209.3440000000001</v>
      </c>
      <c r="CW331" s="62">
        <f t="shared" si="1115"/>
        <v>3265.9070000000002</v>
      </c>
      <c r="CX331" s="62">
        <f t="shared" si="1115"/>
        <v>3273.643</v>
      </c>
      <c r="CY331" s="62">
        <f t="shared" si="1115"/>
        <v>3285.1390000000001</v>
      </c>
      <c r="CZ331" s="62">
        <f t="shared" si="1115"/>
        <v>3235.8629999999998</v>
      </c>
      <c r="DA331" s="62">
        <f t="shared" si="1115"/>
        <v>3275.02</v>
      </c>
      <c r="DB331" s="62">
        <f t="shared" si="1115"/>
        <v>3336.6239999999998</v>
      </c>
      <c r="DC331" s="62">
        <f t="shared" si="1115"/>
        <v>3420.6350000000002</v>
      </c>
      <c r="DD331" s="62">
        <f t="shared" si="1115"/>
        <v>3553.7429999999999</v>
      </c>
      <c r="DE331" s="62">
        <f t="shared" si="1115"/>
        <v>3677.07</v>
      </c>
      <c r="DF331" s="62">
        <f t="shared" si="1115"/>
        <v>3832.0010000000002</v>
      </c>
      <c r="DG331" s="62">
        <f t="shared" si="1115"/>
        <v>3975.239</v>
      </c>
      <c r="DH331" s="62">
        <f t="shared" si="1115"/>
        <v>4170.3029999999999</v>
      </c>
      <c r="DI331" s="62">
        <f t="shared" si="1115"/>
        <v>4351.5709999999999</v>
      </c>
      <c r="DJ331" s="62">
        <f t="shared" si="1115"/>
        <v>4491.0510000000004</v>
      </c>
      <c r="DK331" s="62">
        <f t="shared" si="1115"/>
        <v>4560.5619999999999</v>
      </c>
      <c r="DL331" s="62">
        <f t="shared" si="1115"/>
        <v>4613.3010000000004</v>
      </c>
      <c r="DM331" s="62">
        <f t="shared" si="1115"/>
        <v>4676.1030000000001</v>
      </c>
      <c r="DN331" s="62">
        <f t="shared" si="1115"/>
        <v>4693.7700000000004</v>
      </c>
      <c r="DO331" s="62">
        <f t="shared" si="1115"/>
        <v>4801.2359999999999</v>
      </c>
      <c r="DP331" s="62">
        <f t="shared" si="1115"/>
        <v>4943.66</v>
      </c>
      <c r="DQ331" s="62">
        <f t="shared" si="1115"/>
        <v>5188.5439999999999</v>
      </c>
      <c r="DR331" s="62">
        <f t="shared" si="1115"/>
        <v>5400.0159999999996</v>
      </c>
      <c r="DS331" s="62">
        <f t="shared" si="1115"/>
        <v>5572.8180000000002</v>
      </c>
      <c r="DT331" s="62">
        <f t="shared" si="1115"/>
        <v>5630.3109999999997</v>
      </c>
      <c r="DU331" s="62">
        <f t="shared" si="1115"/>
        <v>5567.2349999999997</v>
      </c>
      <c r="DV331" s="62">
        <f t="shared" si="1115"/>
        <v>5530.817</v>
      </c>
      <c r="DW331" s="62">
        <f t="shared" si="1115"/>
        <v>5446.3519999999999</v>
      </c>
      <c r="DX331" s="62">
        <f t="shared" si="1115"/>
        <v>5306.4340000000002</v>
      </c>
      <c r="DY331" s="62">
        <f t="shared" si="1115"/>
        <v>5144.7330000000002</v>
      </c>
      <c r="DZ331" s="62">
        <f t="shared" si="1115"/>
        <v>5102.6790000000001</v>
      </c>
      <c r="EA331" s="62">
        <f t="shared" si="1115"/>
        <v>5061.3680000000004</v>
      </c>
      <c r="EB331" s="62">
        <f t="shared" ref="EB331:EC331" si="1116">EB260</f>
        <v>5062.9139999999998</v>
      </c>
      <c r="EC331" s="62">
        <f t="shared" si="1116"/>
        <v>5001.0510000000004</v>
      </c>
      <c r="ED331" s="62">
        <f t="shared" ref="ED331" si="1117">ED260</f>
        <v>4950.3999999999996</v>
      </c>
      <c r="EE331" s="62">
        <f t="shared" ref="EE331:EP331" si="1118">SUM(EE329:EE330)</f>
        <v>4934.2640000000001</v>
      </c>
      <c r="EF331" s="62">
        <f t="shared" si="1118"/>
        <v>4918.5717400000003</v>
      </c>
      <c r="EG331" s="62">
        <f t="shared" si="1118"/>
        <v>4902.0813742150003</v>
      </c>
      <c r="EH331" s="62">
        <f t="shared" si="1118"/>
        <v>4844.8230957369806</v>
      </c>
      <c r="EI331" s="62">
        <f t="shared" si="1118"/>
        <v>4787.9568432824108</v>
      </c>
      <c r="EJ331" s="62">
        <f t="shared" si="1118"/>
        <v>4726.5000732488625</v>
      </c>
      <c r="EK331" s="62">
        <f t="shared" si="1118"/>
        <v>4665.6131961429573</v>
      </c>
      <c r="EL331" s="62">
        <f t="shared" si="1118"/>
        <v>4605.3104134548112</v>
      </c>
      <c r="EM331" s="62">
        <f t="shared" si="1118"/>
        <v>4545.6050838612582</v>
      </c>
      <c r="EN331" s="62">
        <f t="shared" si="1118"/>
        <v>4486.5097338873511</v>
      </c>
      <c r="EO331" s="62">
        <f t="shared" si="1118"/>
        <v>4428.0360693042021</v>
      </c>
      <c r="EP331" s="62">
        <f t="shared" si="1118"/>
        <v>4370.1949872250761</v>
      </c>
      <c r="EQ331" s="5"/>
      <c r="ER331" s="5"/>
      <c r="ES331" s="355">
        <f t="shared" si="1105"/>
        <v>326</v>
      </c>
      <c r="ET331"/>
      <c r="EU331"/>
      <c r="EV331"/>
      <c r="EW331"/>
      <c r="EX331"/>
      <c r="EY33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</row>
    <row r="332" spans="1:257" s="4" customFormat="1" hidden="1" outlineLevel="2">
      <c r="A332" s="15"/>
      <c r="B332" s="47"/>
      <c r="C332" s="10"/>
      <c r="D332" s="10"/>
      <c r="E332" s="46">
        <f t="shared" ref="E332:AF332" si="1119">E331-E260</f>
        <v>0</v>
      </c>
      <c r="F332" s="46">
        <f t="shared" si="1119"/>
        <v>0</v>
      </c>
      <c r="G332" s="46">
        <f t="shared" si="1119"/>
        <v>0</v>
      </c>
      <c r="H332" s="46">
        <f t="shared" si="1119"/>
        <v>0</v>
      </c>
      <c r="I332" s="46">
        <f t="shared" si="1119"/>
        <v>0</v>
      </c>
      <c r="J332" s="46">
        <f t="shared" si="1119"/>
        <v>0</v>
      </c>
      <c r="K332" s="46">
        <f t="shared" si="1119"/>
        <v>0</v>
      </c>
      <c r="L332" s="46">
        <f t="shared" si="1119"/>
        <v>0</v>
      </c>
      <c r="M332" s="46">
        <f t="shared" si="1119"/>
        <v>0</v>
      </c>
      <c r="N332" s="46">
        <f t="shared" si="1119"/>
        <v>0</v>
      </c>
      <c r="O332" s="46">
        <f t="shared" si="1119"/>
        <v>0</v>
      </c>
      <c r="P332" s="46">
        <f t="shared" si="1119"/>
        <v>0</v>
      </c>
      <c r="Q332" s="46">
        <f t="shared" si="1119"/>
        <v>0</v>
      </c>
      <c r="R332" s="46">
        <f t="shared" si="1119"/>
        <v>0</v>
      </c>
      <c r="S332" s="46">
        <f t="shared" si="1119"/>
        <v>0</v>
      </c>
      <c r="T332" s="46">
        <f t="shared" si="1119"/>
        <v>0</v>
      </c>
      <c r="U332" s="45">
        <f t="shared" si="1119"/>
        <v>0</v>
      </c>
      <c r="V332" s="45">
        <f t="shared" si="1119"/>
        <v>0</v>
      </c>
      <c r="W332" s="44">
        <f t="shared" si="1119"/>
        <v>0</v>
      </c>
      <c r="X332" s="44">
        <f t="shared" si="1119"/>
        <v>0</v>
      </c>
      <c r="Y332" s="44">
        <f t="shared" si="1119"/>
        <v>0</v>
      </c>
      <c r="Z332" s="44">
        <f t="shared" si="1119"/>
        <v>0</v>
      </c>
      <c r="AA332" s="44">
        <f t="shared" si="1119"/>
        <v>0</v>
      </c>
      <c r="AB332" s="44">
        <f t="shared" si="1119"/>
        <v>0</v>
      </c>
      <c r="AC332" s="44">
        <f t="shared" si="1119"/>
        <v>0</v>
      </c>
      <c r="AD332" s="44">
        <f t="shared" si="1119"/>
        <v>0</v>
      </c>
      <c r="AE332" s="44">
        <f t="shared" si="1119"/>
        <v>0</v>
      </c>
      <c r="AF332" s="44">
        <f t="shared" si="1119"/>
        <v>0</v>
      </c>
      <c r="AG332" s="17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  <c r="CQ332" s="10"/>
      <c r="CR332" s="10"/>
      <c r="CS332" s="44">
        <f t="shared" ref="CS332:DX332" si="1120">CS331-CS260</f>
        <v>0</v>
      </c>
      <c r="CT332" s="44">
        <f t="shared" si="1120"/>
        <v>0</v>
      </c>
      <c r="CU332" s="44">
        <f t="shared" si="1120"/>
        <v>0</v>
      </c>
      <c r="CV332" s="44">
        <f t="shared" si="1120"/>
        <v>0</v>
      </c>
      <c r="CW332" s="44">
        <f t="shared" si="1120"/>
        <v>0</v>
      </c>
      <c r="CX332" s="44">
        <f t="shared" si="1120"/>
        <v>0</v>
      </c>
      <c r="CY332" s="44">
        <f t="shared" si="1120"/>
        <v>0</v>
      </c>
      <c r="CZ332" s="44">
        <f t="shared" si="1120"/>
        <v>0</v>
      </c>
      <c r="DA332" s="44">
        <f t="shared" si="1120"/>
        <v>0</v>
      </c>
      <c r="DB332" s="44">
        <f t="shared" si="1120"/>
        <v>0</v>
      </c>
      <c r="DC332" s="44">
        <f t="shared" si="1120"/>
        <v>0</v>
      </c>
      <c r="DD332" s="44">
        <f t="shared" si="1120"/>
        <v>0</v>
      </c>
      <c r="DE332" s="44">
        <f t="shared" si="1120"/>
        <v>0</v>
      </c>
      <c r="DF332" s="44">
        <f t="shared" si="1120"/>
        <v>0</v>
      </c>
      <c r="DG332" s="44">
        <f t="shared" si="1120"/>
        <v>0</v>
      </c>
      <c r="DH332" s="44">
        <f t="shared" si="1120"/>
        <v>0</v>
      </c>
      <c r="DI332" s="44">
        <f t="shared" si="1120"/>
        <v>0</v>
      </c>
      <c r="DJ332" s="44">
        <f t="shared" si="1120"/>
        <v>0</v>
      </c>
      <c r="DK332" s="44">
        <f t="shared" si="1120"/>
        <v>0</v>
      </c>
      <c r="DL332" s="44">
        <f t="shared" si="1120"/>
        <v>0</v>
      </c>
      <c r="DM332" s="44">
        <f t="shared" si="1120"/>
        <v>0</v>
      </c>
      <c r="DN332" s="44">
        <f t="shared" si="1120"/>
        <v>0</v>
      </c>
      <c r="DO332" s="44">
        <f t="shared" si="1120"/>
        <v>0</v>
      </c>
      <c r="DP332" s="44">
        <f t="shared" si="1120"/>
        <v>0</v>
      </c>
      <c r="DQ332" s="44">
        <f t="shared" si="1120"/>
        <v>0</v>
      </c>
      <c r="DR332" s="44">
        <f t="shared" si="1120"/>
        <v>0</v>
      </c>
      <c r="DS332" s="44">
        <f t="shared" si="1120"/>
        <v>0</v>
      </c>
      <c r="DT332" s="44">
        <f t="shared" si="1120"/>
        <v>0</v>
      </c>
      <c r="DU332" s="44">
        <f t="shared" si="1120"/>
        <v>0</v>
      </c>
      <c r="DV332" s="44">
        <f t="shared" si="1120"/>
        <v>0</v>
      </c>
      <c r="DW332" s="44">
        <f t="shared" si="1120"/>
        <v>0</v>
      </c>
      <c r="DX332" s="44">
        <f t="shared" si="1120"/>
        <v>0</v>
      </c>
      <c r="DY332" s="44">
        <f t="shared" ref="DY332:EP332" si="1121">DY331-DY260</f>
        <v>0</v>
      </c>
      <c r="DZ332" s="44">
        <f t="shared" si="1121"/>
        <v>0</v>
      </c>
      <c r="EA332" s="44">
        <f t="shared" si="1121"/>
        <v>0</v>
      </c>
      <c r="EB332" s="44">
        <f t="shared" ref="EB332" si="1122">EB331-EB260</f>
        <v>0</v>
      </c>
      <c r="EC332" s="44">
        <f t="shared" si="1121"/>
        <v>0</v>
      </c>
      <c r="ED332" s="44">
        <f t="shared" ref="ED332" si="1123">ED331-ED260</f>
        <v>0</v>
      </c>
      <c r="EE332" s="44">
        <f t="shared" si="1121"/>
        <v>0</v>
      </c>
      <c r="EF332" s="44">
        <f t="shared" si="1121"/>
        <v>0</v>
      </c>
      <c r="EG332" s="44">
        <f t="shared" si="1121"/>
        <v>0</v>
      </c>
      <c r="EH332" s="44">
        <f t="shared" si="1121"/>
        <v>0</v>
      </c>
      <c r="EI332" s="44">
        <f t="shared" si="1121"/>
        <v>0</v>
      </c>
      <c r="EJ332" s="44">
        <f t="shared" si="1121"/>
        <v>0</v>
      </c>
      <c r="EK332" s="44">
        <f t="shared" si="1121"/>
        <v>0</v>
      </c>
      <c r="EL332" s="44">
        <f t="shared" si="1121"/>
        <v>0</v>
      </c>
      <c r="EM332" s="44">
        <f t="shared" si="1121"/>
        <v>0</v>
      </c>
      <c r="EN332" s="44">
        <f t="shared" si="1121"/>
        <v>0</v>
      </c>
      <c r="EO332" s="44">
        <f t="shared" si="1121"/>
        <v>0</v>
      </c>
      <c r="EP332" s="44">
        <f t="shared" si="1121"/>
        <v>0</v>
      </c>
      <c r="EQ332" s="5"/>
      <c r="ER332" s="5"/>
      <c r="ES332" s="355">
        <f t="shared" si="1105"/>
        <v>327</v>
      </c>
      <c r="ET332"/>
      <c r="EU332"/>
      <c r="EV332"/>
      <c r="EW332"/>
      <c r="EX332"/>
      <c r="EY332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</row>
    <row r="333" spans="1:257" s="4" customFormat="1" outlineLevel="1" collapsed="1">
      <c r="A333" s="15" t="s">
        <v>0</v>
      </c>
      <c r="B333" s="64" t="s">
        <v>34</v>
      </c>
      <c r="C333" s="10"/>
      <c r="D333" s="10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17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  <c r="CP333" s="10"/>
      <c r="CQ333" s="10"/>
      <c r="CR333" s="10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4"/>
      <c r="DK333" s="44"/>
      <c r="DL333" s="44"/>
      <c r="DM333" s="44"/>
      <c r="DN333" s="44"/>
      <c r="DO333" s="44"/>
      <c r="DP333" s="44"/>
      <c r="DQ333" s="44"/>
      <c r="DR333" s="44"/>
      <c r="DS333" s="44"/>
      <c r="DT333" s="44"/>
      <c r="DU333" s="44"/>
      <c r="DV333" s="44"/>
      <c r="DW333" s="44"/>
      <c r="DX333" s="44"/>
      <c r="DY333" s="44"/>
      <c r="DZ333" s="44"/>
      <c r="EA333" s="44"/>
      <c r="EB333" s="44"/>
      <c r="EC333" s="44"/>
      <c r="ED333" s="44"/>
      <c r="EE333" s="44"/>
      <c r="EF333" s="44"/>
      <c r="EG333" s="44"/>
      <c r="EH333" s="44"/>
      <c r="EI333" s="44"/>
      <c r="EJ333" s="44"/>
      <c r="EK333" s="44"/>
      <c r="EL333" s="44"/>
      <c r="EM333" s="44"/>
      <c r="EN333" s="44"/>
      <c r="EO333" s="44"/>
      <c r="EP333" s="44"/>
      <c r="EQ333" s="5"/>
      <c r="ER333" s="5"/>
      <c r="ES333" s="355">
        <f t="shared" si="1105"/>
        <v>328</v>
      </c>
      <c r="ET333"/>
      <c r="EU333"/>
      <c r="EV333"/>
      <c r="EW333"/>
      <c r="EX333"/>
      <c r="EY333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</row>
    <row r="334" spans="1:257" s="4" customFormat="1" ht="11.45" hidden="1" customHeight="1" outlineLevel="2">
      <c r="A334" s="15"/>
      <c r="B334" s="63" t="s">
        <v>33</v>
      </c>
      <c r="C334" s="62"/>
      <c r="D334" s="62"/>
      <c r="E334" s="61">
        <f>24.307*2*2</f>
        <v>97.227999999999994</v>
      </c>
      <c r="F334" s="61">
        <f>24.416*2*2</f>
        <v>97.664000000000001</v>
      </c>
      <c r="G334" s="61">
        <f>24.536*2*2</f>
        <v>98.144000000000005</v>
      </c>
      <c r="H334" s="61">
        <f>49.38*2</f>
        <v>98.76</v>
      </c>
      <c r="I334" s="61">
        <f>49.779*2</f>
        <v>99.558000000000007</v>
      </c>
      <c r="J334" s="61">
        <f>49.948*2</f>
        <v>99.896000000000001</v>
      </c>
      <c r="K334" s="61">
        <f>49.243*2</f>
        <v>98.486000000000004</v>
      </c>
      <c r="L334" s="61">
        <f>49.534*2</f>
        <v>99.067999999999998</v>
      </c>
      <c r="M334" s="61">
        <f>50.096*2</f>
        <v>100.19199999999999</v>
      </c>
      <c r="N334" s="61">
        <f>49.825*2</f>
        <v>99.65</v>
      </c>
      <c r="O334" s="61">
        <f>50.039*2</f>
        <v>100.078</v>
      </c>
      <c r="P334" s="61">
        <f>50.312*2</f>
        <v>100.624</v>
      </c>
      <c r="Q334" s="57">
        <v>102.17400000000001</v>
      </c>
      <c r="R334" s="57">
        <v>104.658</v>
      </c>
      <c r="S334" s="57">
        <v>103.33799999999999</v>
      </c>
      <c r="T334" s="57">
        <v>104.28400000000001</v>
      </c>
      <c r="U334" s="18">
        <f>AVERAGE(CT334:CW334)</f>
        <v>105.337</v>
      </c>
      <c r="V334" s="18">
        <f>AVERAGE(CX334:DA334)</f>
        <v>105.71074999999999</v>
      </c>
      <c r="W334" s="18">
        <f t="shared" ref="W334:AF334" si="1124">AVERAGEIF($AH$5:$ER$5,W$5,$AH334:$ER334)</f>
        <v>106.64349999999999</v>
      </c>
      <c r="X334" s="18">
        <f t="shared" si="1124"/>
        <v>106.82050000000001</v>
      </c>
      <c r="Y334" s="18">
        <f t="shared" si="1124"/>
        <v>106.28625</v>
      </c>
      <c r="Z334" s="18">
        <f t="shared" si="1124"/>
        <v>107.801</v>
      </c>
      <c r="AA334" s="18">
        <f t="shared" si="1124"/>
        <v>107.75275000000001</v>
      </c>
      <c r="AB334" s="18">
        <f t="shared" si="1124"/>
        <v>107.99000000000001</v>
      </c>
      <c r="AC334" s="18">
        <f t="shared" si="1124"/>
        <v>108.44874999999999</v>
      </c>
      <c r="AD334" s="18">
        <f t="shared" si="1124"/>
        <v>108.81699102958439</v>
      </c>
      <c r="AE334" s="18">
        <f t="shared" si="1124"/>
        <v>108.89976136578773</v>
      </c>
      <c r="AF334" s="18">
        <f t="shared" si="1124"/>
        <v>108.94332780475533</v>
      </c>
      <c r="AG334" s="18"/>
      <c r="AH334" s="61">
        <f>24.247394*2*2</f>
        <v>96.989576</v>
      </c>
      <c r="AI334" s="61">
        <f>24.268234*2*2</f>
        <v>97.072935999999999</v>
      </c>
      <c r="AJ334" s="61">
        <f>24.344864*2*2</f>
        <v>97.379456000000005</v>
      </c>
      <c r="AK334" s="61">
        <f>E334*4-SUM(AH334:AJ334)</f>
        <v>97.470032000000003</v>
      </c>
      <c r="AL334" s="61">
        <f>24.368*2*2</f>
        <v>97.471999999999994</v>
      </c>
      <c r="AM334" s="61">
        <f>24.408*2*2</f>
        <v>97.632000000000005</v>
      </c>
      <c r="AN334" s="61">
        <f>24.442*2*2</f>
        <v>97.768000000000001</v>
      </c>
      <c r="AO334" s="57">
        <f>F334*4-SUM(AL334:AN334)</f>
        <v>97.784000000000049</v>
      </c>
      <c r="AP334" s="61">
        <f>24.479*2*2</f>
        <v>97.915999999999997</v>
      </c>
      <c r="AQ334" s="61">
        <f>24.497*2*2</f>
        <v>97.988</v>
      </c>
      <c r="AR334" s="61">
        <f>24.573*2*2</f>
        <v>98.292000000000002</v>
      </c>
      <c r="AS334" s="57">
        <f>G334*4-SUM(AP334:AR334)</f>
        <v>98.38</v>
      </c>
      <c r="AT334" s="61">
        <f>24.603*2*2</f>
        <v>98.412000000000006</v>
      </c>
      <c r="AU334" s="61">
        <f>24.655*2*2</f>
        <v>98.62</v>
      </c>
      <c r="AV334" s="57">
        <f>24.743*2*2</f>
        <v>98.971999999999994</v>
      </c>
      <c r="AW334" s="57">
        <f>H334*4-SUM(AT334:AV334)</f>
        <v>99.036000000000001</v>
      </c>
      <c r="AX334" s="57">
        <f>49.651*2</f>
        <v>99.302000000000007</v>
      </c>
      <c r="AY334" s="57">
        <f>49.714*2</f>
        <v>99.427999999999997</v>
      </c>
      <c r="AZ334" s="57">
        <f>49.834*2</f>
        <v>99.668000000000006</v>
      </c>
      <c r="BA334" s="61">
        <f>I334*4-SUM(AX334:AZ334)</f>
        <v>99.834000000000003</v>
      </c>
      <c r="BB334" s="57">
        <f>50.006*2</f>
        <v>100.012</v>
      </c>
      <c r="BC334" s="57">
        <f>50.052*2</f>
        <v>100.104</v>
      </c>
      <c r="BD334" s="57">
        <f>50.078*2</f>
        <v>100.15600000000001</v>
      </c>
      <c r="BE334" s="61">
        <f>J334*4-SUM(BB334:BD334)</f>
        <v>99.312000000000012</v>
      </c>
      <c r="BF334" s="57">
        <f>49.182*2</f>
        <v>98.364000000000004</v>
      </c>
      <c r="BG334" s="57">
        <f>49.198*2</f>
        <v>98.396000000000001</v>
      </c>
      <c r="BH334" s="57">
        <f>49.252*2</f>
        <v>98.504000000000005</v>
      </c>
      <c r="BI334" s="61">
        <f>K334*4-SUM(BF334:BH334)</f>
        <v>98.68</v>
      </c>
      <c r="BJ334" s="57">
        <f>49.427*2</f>
        <v>98.853999999999999</v>
      </c>
      <c r="BK334" s="57">
        <f>49.442*2</f>
        <v>98.884</v>
      </c>
      <c r="BL334" s="57">
        <f>49.571*2</f>
        <v>99.141999999999996</v>
      </c>
      <c r="BM334" s="57">
        <f>49.694*2</f>
        <v>99.388000000000005</v>
      </c>
      <c r="BN334" s="57">
        <f>49.818*2</f>
        <v>99.635999999999996</v>
      </c>
      <c r="BO334" s="57">
        <f>50.197*2</f>
        <v>100.39400000000001</v>
      </c>
      <c r="BP334" s="57">
        <f>50.467*2</f>
        <v>100.934</v>
      </c>
      <c r="BQ334" s="57">
        <f>49.907*2</f>
        <v>99.813999999999993</v>
      </c>
      <c r="BR334" s="57">
        <f>49.736*2</f>
        <v>99.471999999999994</v>
      </c>
      <c r="BS334" s="57">
        <f>49.788*2</f>
        <v>99.575999999999993</v>
      </c>
      <c r="BT334" s="57">
        <f>49.855*2</f>
        <v>99.71</v>
      </c>
      <c r="BU334" s="57">
        <f>49.921*2</f>
        <v>99.841999999999999</v>
      </c>
      <c r="BV334" s="57">
        <f>49.979*2</f>
        <v>99.957999999999998</v>
      </c>
      <c r="BW334" s="57">
        <f>50.023*2</f>
        <v>100.04600000000001</v>
      </c>
      <c r="BX334" s="57">
        <f>50.045*2</f>
        <v>100.09</v>
      </c>
      <c r="BY334" s="57">
        <f>50.108*2</f>
        <v>100.21599999999999</v>
      </c>
      <c r="BZ334" s="57">
        <f>50.154*2</f>
        <v>100.30800000000001</v>
      </c>
      <c r="CA334" s="57">
        <f>50.263*2</f>
        <v>100.526</v>
      </c>
      <c r="CB334" s="57">
        <f>50.404*2</f>
        <v>100.80800000000001</v>
      </c>
      <c r="CC334" s="57">
        <f>50.426*2</f>
        <v>100.852</v>
      </c>
      <c r="CD334" s="57">
        <f>50.543*2</f>
        <v>101.086</v>
      </c>
      <c r="CE334" s="57">
        <f>50.955*2</f>
        <v>101.91</v>
      </c>
      <c r="CF334" s="57">
        <v>102.46599999999999</v>
      </c>
      <c r="CG334" s="57">
        <v>103.23099999999999</v>
      </c>
      <c r="CH334" s="57">
        <v>103.98699999999999</v>
      </c>
      <c r="CI334" s="57">
        <v>104.627</v>
      </c>
      <c r="CJ334" s="57">
        <v>105.01900000000001</v>
      </c>
      <c r="CK334" s="57">
        <v>105.003</v>
      </c>
      <c r="CL334" s="57">
        <v>103.312</v>
      </c>
      <c r="CM334" s="57">
        <v>103.239</v>
      </c>
      <c r="CN334" s="57">
        <v>103.32299999999999</v>
      </c>
      <c r="CO334" s="57">
        <v>103.47499999999999</v>
      </c>
      <c r="CP334" s="57">
        <v>103.509</v>
      </c>
      <c r="CQ334" s="57">
        <v>103.883</v>
      </c>
      <c r="CR334" s="57">
        <v>104.53</v>
      </c>
      <c r="CS334" s="57">
        <v>105.211</v>
      </c>
      <c r="CT334" s="57">
        <v>105.249</v>
      </c>
      <c r="CU334" s="57">
        <v>105.249</v>
      </c>
      <c r="CV334" s="57">
        <v>105.425</v>
      </c>
      <c r="CW334" s="57">
        <v>105.425</v>
      </c>
      <c r="CX334" s="57">
        <v>105.575</v>
      </c>
      <c r="CY334" s="57">
        <v>105.711</v>
      </c>
      <c r="CZ334" s="57">
        <v>105.74299999999999</v>
      </c>
      <c r="DA334" s="57">
        <v>105.81399999999999</v>
      </c>
      <c r="DB334" s="57">
        <v>106.03100000000001</v>
      </c>
      <c r="DC334" s="57">
        <v>106.515</v>
      </c>
      <c r="DD334" s="57">
        <v>106.962</v>
      </c>
      <c r="DE334" s="57">
        <v>107.066</v>
      </c>
      <c r="DF334" s="57">
        <v>107.18600000000001</v>
      </c>
      <c r="DG334" s="57">
        <v>107.38500000000001</v>
      </c>
      <c r="DH334" s="57">
        <v>107.01600000000001</v>
      </c>
      <c r="DI334" s="57">
        <v>105.69499999999999</v>
      </c>
      <c r="DJ334" s="57">
        <v>105.867</v>
      </c>
      <c r="DK334" s="57">
        <v>106.32599999999999</v>
      </c>
      <c r="DL334" s="57">
        <v>106.43</v>
      </c>
      <c r="DM334" s="57">
        <v>106.52200000000001</v>
      </c>
      <c r="DN334" s="57">
        <v>107.149</v>
      </c>
      <c r="DO334" s="57">
        <v>107.69199999999999</v>
      </c>
      <c r="DP334" s="57">
        <v>108.137</v>
      </c>
      <c r="DQ334" s="57">
        <v>108.226</v>
      </c>
      <c r="DR334" s="57">
        <v>107.973</v>
      </c>
      <c r="DS334" s="57">
        <v>107.646</v>
      </c>
      <c r="DT334" s="57">
        <v>107.652</v>
      </c>
      <c r="DU334" s="57">
        <v>107.74</v>
      </c>
      <c r="DV334" s="57">
        <v>107.852</v>
      </c>
      <c r="DW334" s="57">
        <v>108.014</v>
      </c>
      <c r="DX334" s="57">
        <v>108.047</v>
      </c>
      <c r="DY334" s="57">
        <v>108.047</v>
      </c>
      <c r="DZ334" s="57">
        <v>108.07</v>
      </c>
      <c r="EA334" s="57">
        <v>108.565</v>
      </c>
      <c r="EB334" s="57">
        <v>108.572</v>
      </c>
      <c r="EC334" s="57">
        <v>108.58799999999999</v>
      </c>
      <c r="ED334" s="57">
        <v>108.68300000000001</v>
      </c>
      <c r="EE334" s="18">
        <f t="shared" ref="EE334:EP334" si="1125">AVERAGE(ED336:EE336)</f>
        <v>108.85076926635</v>
      </c>
      <c r="EF334" s="18">
        <f t="shared" si="1125"/>
        <v>108.86165434327663</v>
      </c>
      <c r="EG334" s="18">
        <f t="shared" si="1125"/>
        <v>108.87254050871096</v>
      </c>
      <c r="EH334" s="18">
        <f t="shared" si="1125"/>
        <v>108.88342776276181</v>
      </c>
      <c r="EI334" s="18">
        <f t="shared" si="1125"/>
        <v>108.89431610553808</v>
      </c>
      <c r="EJ334" s="18">
        <f t="shared" si="1125"/>
        <v>108.90520553714865</v>
      </c>
      <c r="EK334" s="18">
        <f t="shared" si="1125"/>
        <v>108.91609605770236</v>
      </c>
      <c r="EL334" s="18">
        <f t="shared" si="1125"/>
        <v>108.92698766730813</v>
      </c>
      <c r="EM334" s="18">
        <f t="shared" si="1125"/>
        <v>108.93788036607486</v>
      </c>
      <c r="EN334" s="18">
        <f t="shared" si="1125"/>
        <v>108.94877415411146</v>
      </c>
      <c r="EO334" s="18">
        <f t="shared" si="1125"/>
        <v>108.95966903152687</v>
      </c>
      <c r="EP334" s="18">
        <f t="shared" si="1125"/>
        <v>108.97056499843004</v>
      </c>
      <c r="EQ334" s="18"/>
      <c r="ER334" s="18"/>
      <c r="ES334" s="355">
        <f t="shared" si="1105"/>
        <v>329</v>
      </c>
      <c r="ET334"/>
      <c r="EU334"/>
      <c r="EV334"/>
      <c r="EW334"/>
      <c r="EX334"/>
      <c r="EY334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</row>
    <row r="335" spans="1:257" s="4" customFormat="1" hidden="1" outlineLevel="2">
      <c r="A335" s="15"/>
      <c r="B335" s="54" t="s">
        <v>32</v>
      </c>
      <c r="C335" s="10"/>
      <c r="D335" s="10"/>
      <c r="E335" s="59">
        <f t="shared" ref="E335:AF335" si="1126">E58</f>
        <v>97.227999999999994</v>
      </c>
      <c r="F335" s="59">
        <f t="shared" si="1126"/>
        <v>97.664000000000001</v>
      </c>
      <c r="G335" s="59">
        <f t="shared" si="1126"/>
        <v>98.144000000000005</v>
      </c>
      <c r="H335" s="59">
        <f t="shared" si="1126"/>
        <v>98.76</v>
      </c>
      <c r="I335" s="59">
        <f t="shared" si="1126"/>
        <v>101.122</v>
      </c>
      <c r="J335" s="59">
        <f t="shared" si="1126"/>
        <v>101.13</v>
      </c>
      <c r="K335" s="59">
        <f t="shared" si="1126"/>
        <v>99.634</v>
      </c>
      <c r="L335" s="59">
        <f t="shared" si="1126"/>
        <v>100.07</v>
      </c>
      <c r="M335" s="59">
        <f t="shared" si="1126"/>
        <v>101.544</v>
      </c>
      <c r="N335" s="59">
        <f t="shared" si="1126"/>
        <v>100.69</v>
      </c>
      <c r="O335" s="59">
        <f t="shared" si="1126"/>
        <v>101.19199999999999</v>
      </c>
      <c r="P335" s="59">
        <f t="shared" si="1126"/>
        <v>101.666</v>
      </c>
      <c r="Q335" s="59">
        <f t="shared" si="1126"/>
        <v>104.066</v>
      </c>
      <c r="R335" s="59">
        <f t="shared" si="1126"/>
        <v>106.09099999999999</v>
      </c>
      <c r="S335" s="59">
        <f t="shared" si="1126"/>
        <v>105.128</v>
      </c>
      <c r="T335" s="59">
        <f t="shared" si="1126"/>
        <v>106.42400000000001</v>
      </c>
      <c r="U335" s="59">
        <f t="shared" si="1126"/>
        <v>106.63</v>
      </c>
      <c r="V335" s="59">
        <f t="shared" si="1126"/>
        <v>107.3925</v>
      </c>
      <c r="W335" s="59">
        <f t="shared" si="1126"/>
        <v>108.50324999999999</v>
      </c>
      <c r="X335" s="59">
        <f t="shared" si="1126"/>
        <v>108.33525</v>
      </c>
      <c r="Y335" s="59">
        <f t="shared" si="1126"/>
        <v>107.76025000000001</v>
      </c>
      <c r="Z335" s="59">
        <f t="shared" si="1126"/>
        <v>109.06075</v>
      </c>
      <c r="AA335" s="59">
        <f t="shared" si="1126"/>
        <v>108.35550000000001</v>
      </c>
      <c r="AB335" s="59">
        <f t="shared" si="1126"/>
        <v>108.24225000000001</v>
      </c>
      <c r="AC335" s="59">
        <f t="shared" si="1126"/>
        <v>108.44874999999999</v>
      </c>
      <c r="AD335" s="59">
        <f t="shared" si="1126"/>
        <v>109.46432651671437</v>
      </c>
      <c r="AE335" s="59">
        <f t="shared" si="1126"/>
        <v>109.98875897944561</v>
      </c>
      <c r="AF335" s="59">
        <f t="shared" si="1126"/>
        <v>110.03276108280289</v>
      </c>
      <c r="AG335" s="12"/>
      <c r="AH335" s="59">
        <f t="shared" ref="AH335:BM335" si="1127">AH58</f>
        <v>96.989576</v>
      </c>
      <c r="AI335" s="59">
        <f t="shared" si="1127"/>
        <v>97.072935999999999</v>
      </c>
      <c r="AJ335" s="59">
        <f t="shared" si="1127"/>
        <v>97.379456000000005</v>
      </c>
      <c r="AK335" s="59">
        <f t="shared" si="1127"/>
        <v>97.470032000000003</v>
      </c>
      <c r="AL335" s="59">
        <f t="shared" si="1127"/>
        <v>97.471999999999994</v>
      </c>
      <c r="AM335" s="59">
        <f t="shared" si="1127"/>
        <v>97.632000000000005</v>
      </c>
      <c r="AN335" s="59">
        <f t="shared" si="1127"/>
        <v>97.768000000000001</v>
      </c>
      <c r="AO335" s="59">
        <f t="shared" si="1127"/>
        <v>97.784000000000049</v>
      </c>
      <c r="AP335" s="59">
        <f t="shared" si="1127"/>
        <v>97.915999999999997</v>
      </c>
      <c r="AQ335" s="59">
        <f t="shared" si="1127"/>
        <v>97.988</v>
      </c>
      <c r="AR335" s="59">
        <f t="shared" si="1127"/>
        <v>98.292000000000002</v>
      </c>
      <c r="AS335" s="59">
        <f t="shared" si="1127"/>
        <v>98.38</v>
      </c>
      <c r="AT335" s="59">
        <f t="shared" si="1127"/>
        <v>98.412000000000006</v>
      </c>
      <c r="AU335" s="59">
        <f t="shared" si="1127"/>
        <v>98.62</v>
      </c>
      <c r="AV335" s="59">
        <f t="shared" si="1127"/>
        <v>98.971999999999994</v>
      </c>
      <c r="AW335" s="59">
        <f t="shared" si="1127"/>
        <v>99.036000000000001</v>
      </c>
      <c r="AX335" s="59">
        <f t="shared" si="1127"/>
        <v>100.968</v>
      </c>
      <c r="AY335" s="59">
        <f t="shared" si="1127"/>
        <v>100.758</v>
      </c>
      <c r="AZ335" s="59">
        <f t="shared" si="1127"/>
        <v>101.06</v>
      </c>
      <c r="BA335" s="59">
        <f t="shared" si="1127"/>
        <v>101.702</v>
      </c>
      <c r="BB335" s="59">
        <f t="shared" si="1127"/>
        <v>102.13200000000001</v>
      </c>
      <c r="BC335" s="59">
        <f t="shared" si="1127"/>
        <v>101.218</v>
      </c>
      <c r="BD335" s="59">
        <f t="shared" si="1127"/>
        <v>101.08</v>
      </c>
      <c r="BE335" s="59">
        <f t="shared" si="1127"/>
        <v>100.08999999999997</v>
      </c>
      <c r="BF335" s="59">
        <f t="shared" si="1127"/>
        <v>99.328000000000003</v>
      </c>
      <c r="BG335" s="59">
        <f t="shared" si="1127"/>
        <v>99.188000000000002</v>
      </c>
      <c r="BH335" s="59">
        <f t="shared" si="1127"/>
        <v>99.866</v>
      </c>
      <c r="BI335" s="59">
        <f t="shared" si="1127"/>
        <v>100.154</v>
      </c>
      <c r="BJ335" s="59">
        <f t="shared" si="1127"/>
        <v>99.528000000000006</v>
      </c>
      <c r="BK335" s="59">
        <f t="shared" si="1127"/>
        <v>99.656000000000006</v>
      </c>
      <c r="BL335" s="59">
        <f t="shared" si="1127"/>
        <v>100.45399999999999</v>
      </c>
      <c r="BM335" s="59">
        <f t="shared" si="1127"/>
        <v>100.63800000000001</v>
      </c>
      <c r="BN335" s="59">
        <f t="shared" ref="BN335:CS335" si="1128">BN58</f>
        <v>100.86199999999999</v>
      </c>
      <c r="BO335" s="59">
        <f t="shared" si="1128"/>
        <v>102.27800000000001</v>
      </c>
      <c r="BP335" s="59">
        <f t="shared" si="1128"/>
        <v>102.512</v>
      </c>
      <c r="BQ335" s="59">
        <f t="shared" si="1128"/>
        <v>100.53400000000001</v>
      </c>
      <c r="BR335" s="59">
        <f t="shared" si="1128"/>
        <v>100.15600000000001</v>
      </c>
      <c r="BS335" s="59">
        <f t="shared" si="1128"/>
        <v>100.53</v>
      </c>
      <c r="BT335" s="59">
        <f t="shared" si="1128"/>
        <v>101.148</v>
      </c>
      <c r="BU335" s="59">
        <f t="shared" si="1128"/>
        <v>100.922</v>
      </c>
      <c r="BV335" s="59">
        <f t="shared" si="1128"/>
        <v>100.934</v>
      </c>
      <c r="BW335" s="59">
        <f t="shared" si="1128"/>
        <v>101.078</v>
      </c>
      <c r="BX335" s="59">
        <f t="shared" si="1128"/>
        <v>101.36199999999999</v>
      </c>
      <c r="BY335" s="59">
        <f t="shared" si="1128"/>
        <v>101.39</v>
      </c>
      <c r="BZ335" s="59">
        <f t="shared" si="1128"/>
        <v>101.334</v>
      </c>
      <c r="CA335" s="59">
        <f t="shared" si="1128"/>
        <v>101.806</v>
      </c>
      <c r="CB335" s="59">
        <f t="shared" si="1128"/>
        <v>101.76</v>
      </c>
      <c r="CC335" s="59">
        <f t="shared" si="1128"/>
        <v>101.76600000000001</v>
      </c>
      <c r="CD335" s="59">
        <f t="shared" si="1128"/>
        <v>102.512</v>
      </c>
      <c r="CE335" s="59">
        <f t="shared" si="1128"/>
        <v>103.782</v>
      </c>
      <c r="CF335" s="59">
        <f t="shared" si="1128"/>
        <v>104.47199999999999</v>
      </c>
      <c r="CG335" s="59">
        <f t="shared" si="1128"/>
        <v>105.495</v>
      </c>
      <c r="CH335" s="59">
        <f t="shared" si="1128"/>
        <v>106.173</v>
      </c>
      <c r="CI335" s="59">
        <f t="shared" si="1128"/>
        <v>106.114</v>
      </c>
      <c r="CJ335" s="59">
        <f t="shared" si="1128"/>
        <v>106.419</v>
      </c>
      <c r="CK335" s="59">
        <f t="shared" si="1128"/>
        <v>106.176</v>
      </c>
      <c r="CL335" s="59">
        <f t="shared" si="1128"/>
        <v>104.776</v>
      </c>
      <c r="CM335" s="59">
        <f t="shared" si="1128"/>
        <v>104.83199999999999</v>
      </c>
      <c r="CN335" s="59">
        <f t="shared" si="1128"/>
        <v>105.313</v>
      </c>
      <c r="CO335" s="59">
        <f t="shared" si="1128"/>
        <v>105.498</v>
      </c>
      <c r="CP335" s="59">
        <f t="shared" si="1128"/>
        <v>105.61499999999999</v>
      </c>
      <c r="CQ335" s="59">
        <f t="shared" si="1128"/>
        <v>106.09</v>
      </c>
      <c r="CR335" s="59">
        <f t="shared" si="1128"/>
        <v>106.68899999999999</v>
      </c>
      <c r="CS335" s="59">
        <f t="shared" si="1128"/>
        <v>107.3</v>
      </c>
      <c r="CT335" s="59">
        <f t="shared" ref="CT335:ED335" si="1129">CT58</f>
        <v>106.431</v>
      </c>
      <c r="CU335" s="59">
        <f t="shared" si="1129"/>
        <v>106.431</v>
      </c>
      <c r="CV335" s="59">
        <f t="shared" si="1129"/>
        <v>106.82899999999999</v>
      </c>
      <c r="CW335" s="59">
        <f t="shared" si="1129"/>
        <v>106.82899999999999</v>
      </c>
      <c r="CX335" s="59">
        <f t="shared" si="1129"/>
        <v>107.238</v>
      </c>
      <c r="CY335" s="59">
        <f t="shared" si="1129"/>
        <v>107.48399999999999</v>
      </c>
      <c r="CZ335" s="59">
        <f t="shared" si="1129"/>
        <v>107.444</v>
      </c>
      <c r="DA335" s="59">
        <f t="shared" si="1129"/>
        <v>107.404</v>
      </c>
      <c r="DB335" s="59">
        <f t="shared" si="1129"/>
        <v>107.852</v>
      </c>
      <c r="DC335" s="59">
        <f t="shared" si="1129"/>
        <v>108.595</v>
      </c>
      <c r="DD335" s="59">
        <f t="shared" si="1129"/>
        <v>108.78400000000001</v>
      </c>
      <c r="DE335" s="59">
        <f t="shared" si="1129"/>
        <v>108.782</v>
      </c>
      <c r="DF335" s="59">
        <f t="shared" si="1129"/>
        <v>108.788</v>
      </c>
      <c r="DG335" s="59">
        <f t="shared" si="1129"/>
        <v>109.042</v>
      </c>
      <c r="DH335" s="59">
        <f t="shared" si="1129"/>
        <v>108.425</v>
      </c>
      <c r="DI335" s="59">
        <f t="shared" si="1129"/>
        <v>107.086</v>
      </c>
      <c r="DJ335" s="59">
        <f t="shared" si="1129"/>
        <v>107.41200000000001</v>
      </c>
      <c r="DK335" s="59">
        <f t="shared" si="1129"/>
        <v>107.786</v>
      </c>
      <c r="DL335" s="59">
        <f t="shared" si="1129"/>
        <v>107.786</v>
      </c>
      <c r="DM335" s="59">
        <f t="shared" si="1129"/>
        <v>108.057</v>
      </c>
      <c r="DN335" s="59">
        <f t="shared" si="1129"/>
        <v>108.577</v>
      </c>
      <c r="DO335" s="59">
        <f t="shared" si="1129"/>
        <v>109.081</v>
      </c>
      <c r="DP335" s="59">
        <f t="shared" si="1129"/>
        <v>109.285</v>
      </c>
      <c r="DQ335" s="59">
        <f t="shared" si="1129"/>
        <v>109.3</v>
      </c>
      <c r="DR335" s="59">
        <f t="shared" si="1129"/>
        <v>108.843</v>
      </c>
      <c r="DS335" s="59">
        <f t="shared" si="1129"/>
        <v>108.37</v>
      </c>
      <c r="DT335" s="59">
        <f t="shared" si="1129"/>
        <v>108.46899999999999</v>
      </c>
      <c r="DU335" s="59">
        <f t="shared" si="1129"/>
        <v>107.74</v>
      </c>
      <c r="DV335" s="59">
        <f t="shared" si="1129"/>
        <v>108.40900000000001</v>
      </c>
      <c r="DW335" s="59">
        <f t="shared" si="1129"/>
        <v>108.46599999999999</v>
      </c>
      <c r="DX335" s="59">
        <f t="shared" si="1129"/>
        <v>108.047</v>
      </c>
      <c r="DY335" s="59">
        <f t="shared" si="1129"/>
        <v>108.047</v>
      </c>
      <c r="DZ335" s="59">
        <f t="shared" si="1129"/>
        <v>108.07</v>
      </c>
      <c r="EA335" s="59">
        <f t="shared" si="1129"/>
        <v>108.565</v>
      </c>
      <c r="EB335" s="59">
        <f t="shared" si="1129"/>
        <v>108.572</v>
      </c>
      <c r="EC335" s="59">
        <f t="shared" si="1129"/>
        <v>108.58799999999999</v>
      </c>
      <c r="ED335" s="59">
        <f t="shared" si="1129"/>
        <v>109.095</v>
      </c>
      <c r="EE335" s="59">
        <f t="shared" ref="EE335:EP335" si="1130">EE337*EE334</f>
        <v>108.85076926635</v>
      </c>
      <c r="EF335" s="59">
        <f t="shared" si="1130"/>
        <v>109.95027088670939</v>
      </c>
      <c r="EG335" s="59">
        <f t="shared" si="1130"/>
        <v>109.96126591379806</v>
      </c>
      <c r="EH335" s="59">
        <f t="shared" si="1130"/>
        <v>109.97226204038944</v>
      </c>
      <c r="EI335" s="59">
        <f t="shared" si="1130"/>
        <v>109.98325926659346</v>
      </c>
      <c r="EJ335" s="59">
        <f t="shared" si="1130"/>
        <v>109.99425759252013</v>
      </c>
      <c r="EK335" s="59">
        <f t="shared" si="1130"/>
        <v>110.00525701827938</v>
      </c>
      <c r="EL335" s="59">
        <f t="shared" si="1130"/>
        <v>110.01625754398121</v>
      </c>
      <c r="EM335" s="59">
        <f t="shared" si="1130"/>
        <v>110.02725916973561</v>
      </c>
      <c r="EN335" s="59">
        <f t="shared" si="1130"/>
        <v>110.03826189565258</v>
      </c>
      <c r="EO335" s="59">
        <f t="shared" si="1130"/>
        <v>110.04926572184215</v>
      </c>
      <c r="EP335" s="59">
        <f t="shared" si="1130"/>
        <v>110.06027064841433</v>
      </c>
      <c r="EQ335" s="5"/>
      <c r="ER335" s="5"/>
      <c r="ES335" s="355">
        <f t="shared" si="1105"/>
        <v>330</v>
      </c>
      <c r="ET335"/>
      <c r="EU335"/>
      <c r="EV335"/>
      <c r="EW335"/>
      <c r="EX335"/>
      <c r="EY335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</row>
    <row r="336" spans="1:257" s="4" customFormat="1" ht="11.45" hidden="1" customHeight="1" outlineLevel="2">
      <c r="A336" s="15"/>
      <c r="B336" s="5" t="s">
        <v>31</v>
      </c>
      <c r="C336" s="60"/>
      <c r="D336" s="60"/>
      <c r="E336" s="59">
        <f>AK336</f>
        <v>98.549927999999994</v>
      </c>
      <c r="F336" s="59">
        <f>AO336</f>
        <v>98.840447999999995</v>
      </c>
      <c r="G336" s="59">
        <f>AS336</f>
        <v>99.058479999999989</v>
      </c>
      <c r="H336" s="59">
        <f>AW336</f>
        <v>99.542543999999992</v>
      </c>
      <c r="I336" s="58">
        <f>BA336</f>
        <v>100.05650799999999</v>
      </c>
      <c r="J336" s="58">
        <f>BE336</f>
        <v>98.765663999999987</v>
      </c>
      <c r="K336" s="58">
        <f>BI336</f>
        <v>99.251334</v>
      </c>
      <c r="L336" s="12">
        <f>BM336</f>
        <v>99.960943999999998</v>
      </c>
      <c r="M336" s="12">
        <f>BQ336</f>
        <v>99.705593999999991</v>
      </c>
      <c r="N336" s="12">
        <f>BU336</f>
        <v>100.02134</v>
      </c>
      <c r="O336" s="12">
        <f>BY336</f>
        <v>100.280728</v>
      </c>
      <c r="P336" s="18">
        <f>CC336</f>
        <v>100.89087199999999</v>
      </c>
      <c r="Q336" s="18">
        <f>CG336</f>
        <v>103.86918</v>
      </c>
      <c r="R336" s="18">
        <f>CK336</f>
        <v>103.86914399999999</v>
      </c>
      <c r="S336" s="18">
        <f>CO336</f>
        <v>103.48494299999999</v>
      </c>
      <c r="T336" s="18">
        <f>CS336</f>
        <v>105.222421</v>
      </c>
      <c r="U336" s="18">
        <f>CW336</f>
        <v>105.48621799999999</v>
      </c>
      <c r="V336" s="18">
        <f>DA336</f>
        <v>105.81916099999999</v>
      </c>
      <c r="W336" s="18">
        <f t="shared" ref="W336:AF336" si="1131">INDEX($AH336:$EQ336,1,MATCH(W$4,$AH$4:$EQ$4,0))</f>
        <v>107.145588</v>
      </c>
      <c r="X336" s="18">
        <f t="shared" si="1131"/>
        <v>107.598889</v>
      </c>
      <c r="Y336" s="18">
        <f t="shared" si="1131"/>
        <v>106.71697</v>
      </c>
      <c r="Z336" s="18">
        <f t="shared" si="1131"/>
        <v>108.25649199999999</v>
      </c>
      <c r="AA336" s="18">
        <f t="shared" si="1131"/>
        <v>107.767915</v>
      </c>
      <c r="AB336" s="18">
        <f t="shared" si="1131"/>
        <v>108.077916</v>
      </c>
      <c r="AC336" s="18">
        <f t="shared" si="1131"/>
        <v>108.60404699999999</v>
      </c>
      <c r="AD336" s="18">
        <f t="shared" si="1131"/>
        <v>108.87798386356864</v>
      </c>
      <c r="AE336" s="18">
        <f t="shared" si="1131"/>
        <v>108.92154159022861</v>
      </c>
      <c r="AF336" s="18">
        <f t="shared" si="1131"/>
        <v>108.9651167425929</v>
      </c>
      <c r="AG336" s="18"/>
      <c r="AH336" s="18">
        <f>AI334*2-AI336</f>
        <v>95.777096</v>
      </c>
      <c r="AI336" s="18">
        <f>AJ334*2-AJ336</f>
        <v>98.368775999999997</v>
      </c>
      <c r="AJ336" s="18">
        <f>AK334*2-AK336</f>
        <v>96.390136000000012</v>
      </c>
      <c r="AK336" s="18">
        <f>(26.764476-2.126994)*2*2</f>
        <v>98.549927999999994</v>
      </c>
      <c r="AL336" s="18">
        <f>AM334*2-AM336</f>
        <v>96.455552000000111</v>
      </c>
      <c r="AM336" s="18">
        <f>AN334*2-AN336</f>
        <v>98.808447999999899</v>
      </c>
      <c r="AN336" s="18">
        <f>AO334*2-AO336</f>
        <v>96.727552000000102</v>
      </c>
      <c r="AO336" s="18">
        <f>(26.764476-2.054364)*2*2</f>
        <v>98.840447999999995</v>
      </c>
      <c r="AP336" s="18">
        <f>AQ334*2-AQ336</f>
        <v>98.423999999999992</v>
      </c>
      <c r="AQ336" s="18">
        <f>AR334*2-AR336</f>
        <v>97.552000000000007</v>
      </c>
      <c r="AR336" s="57">
        <f>(26.764-2.006)*2*2</f>
        <v>99.031999999999996</v>
      </c>
      <c r="AS336" s="57">
        <f>(26.764476-1.999856)*2*2</f>
        <v>99.058479999999989</v>
      </c>
      <c r="AT336" s="57">
        <f>(26.764-2)*4</f>
        <v>99.055999999999997</v>
      </c>
      <c r="AU336" s="57">
        <f>(26.764-1.943)*4</f>
        <v>99.283999999999992</v>
      </c>
      <c r="AV336" s="57">
        <f>(26.764-1.925)*4</f>
        <v>99.355999999999995</v>
      </c>
      <c r="AW336" s="57">
        <f>(53.528952-3.75768)*2</f>
        <v>99.542543999999992</v>
      </c>
      <c r="AX336" s="57">
        <f>(26.764-1.1846)*4</f>
        <v>102.3176</v>
      </c>
      <c r="AY336" s="57">
        <f>(26.764-1.833)*4</f>
        <v>99.724000000000004</v>
      </c>
      <c r="AZ336" s="57">
        <f>(53.529-3.23)*2</f>
        <v>100.59800000000001</v>
      </c>
      <c r="BA336" s="57">
        <f>(53.528952-3.500698)*2</f>
        <v>100.05650799999999</v>
      </c>
      <c r="BB336" s="57">
        <f>(53.529-3.262)*2</f>
        <v>100.53400000000001</v>
      </c>
      <c r="BC336" s="57">
        <f>(53.528952-3.234238)*2</f>
        <v>100.589428</v>
      </c>
      <c r="BD336" s="57">
        <f>(53.528952-3.22997)*2</f>
        <v>100.59796399999999</v>
      </c>
      <c r="BE336" s="57">
        <f>(53.528952-4.14612)*2</f>
        <v>98.765663999999987</v>
      </c>
      <c r="BF336" s="57">
        <f>(53.529-4.112)*2</f>
        <v>98.834000000000003</v>
      </c>
      <c r="BG336" s="57">
        <f>(53.529-4.096)*2</f>
        <v>98.866000000000014</v>
      </c>
      <c r="BH336" s="57">
        <f>(53.529-4.032)*2</f>
        <v>98.994</v>
      </c>
      <c r="BI336" s="57">
        <f>(53.528952-3.903285)*2</f>
        <v>99.251334</v>
      </c>
      <c r="BJ336" s="57">
        <f>(53.529-3.873)*2</f>
        <v>99.312000000000012</v>
      </c>
      <c r="BK336" s="57">
        <f>(53.529-3.81)*2</f>
        <v>99.438000000000002</v>
      </c>
      <c r="BL336" s="57">
        <f>(53.529-3.671)*2</f>
        <v>99.716000000000008</v>
      </c>
      <c r="BM336" s="57">
        <f>(53.528952-3.54848)*2</f>
        <v>99.960943999999998</v>
      </c>
      <c r="BN336" s="57">
        <f>(53.529-3.435)*2</f>
        <v>100.188</v>
      </c>
      <c r="BO336" s="57">
        <f>(53.529-2.92)*2</f>
        <v>101.218</v>
      </c>
      <c r="BP336" s="57">
        <f>(53.529-2.965)*2</f>
        <v>101.12800000000001</v>
      </c>
      <c r="BQ336" s="57">
        <f>(53.528952-3.676155)*2</f>
        <v>99.705593999999991</v>
      </c>
      <c r="BR336" s="57">
        <f>(53.529-3.669)*2</f>
        <v>99.720000000000013</v>
      </c>
      <c r="BS336" s="57">
        <f>(53.529-3.632)*2</f>
        <v>99.794000000000011</v>
      </c>
      <c r="BT336" s="57">
        <f>(53.529-3.548)*2</f>
        <v>99.962000000000003</v>
      </c>
      <c r="BU336" s="57">
        <f>(53.528952-3.518282)*2</f>
        <v>100.02134</v>
      </c>
      <c r="BV336" s="57">
        <f>(53.529-3.507)*2</f>
        <v>100.04400000000001</v>
      </c>
      <c r="BW336" s="57">
        <f>(53.529-3.497)*2</f>
        <v>100.06400000000001</v>
      </c>
      <c r="BX336" s="57">
        <f>(53.529-3.436)*2</f>
        <v>100.18600000000001</v>
      </c>
      <c r="BY336" s="57">
        <f>(53.528952-3.388588)*2</f>
        <v>100.280728</v>
      </c>
      <c r="BZ336" s="57">
        <f>(53.529-3.35)*2</f>
        <v>100.358</v>
      </c>
      <c r="CA336" s="57">
        <f>(53.529-3.142)*2</f>
        <v>100.774</v>
      </c>
      <c r="CB336" s="57">
        <f>(53.529-3.12)*2</f>
        <v>100.81800000000001</v>
      </c>
      <c r="CC336" s="57">
        <f>(53.528952-3.083516)*2</f>
        <v>100.89087199999999</v>
      </c>
      <c r="CD336" s="57">
        <f>(53.529-2.841)*2</f>
        <v>101.376</v>
      </c>
      <c r="CE336" s="57">
        <f>(53.529-2.366)*2</f>
        <v>102.32600000000001</v>
      </c>
      <c r="CF336" s="57">
        <f>(53.529-2.13)*2</f>
        <v>102.798</v>
      </c>
      <c r="CG336" s="57">
        <f>107.057904-3.188724</f>
        <v>103.86918</v>
      </c>
      <c r="CH336" s="57">
        <f>(53.529-1.44)*2</f>
        <v>104.17800000000001</v>
      </c>
      <c r="CI336" s="57">
        <f>(53.529-1.44)*2</f>
        <v>104.17800000000001</v>
      </c>
      <c r="CJ336" s="57">
        <f>107.057904-1.868</f>
        <v>105.189904</v>
      </c>
      <c r="CK336" s="57">
        <f>107.057904-3.18876</f>
        <v>103.86914399999999</v>
      </c>
      <c r="CL336" s="57">
        <f>107.057904-3.83</f>
        <v>103.227904</v>
      </c>
      <c r="CM336" s="57">
        <f>107.057904-3.797</f>
        <v>103.260904</v>
      </c>
      <c r="CN336" s="57">
        <f>107.057904-3.611</f>
        <v>103.44690399999999</v>
      </c>
      <c r="CO336" s="57">
        <f>107.057904-3.572961</f>
        <v>103.48494299999999</v>
      </c>
      <c r="CP336" s="57">
        <f>107.057904-3.453</f>
        <v>103.60490399999999</v>
      </c>
      <c r="CQ336" s="57">
        <f>107.057904-2.893</f>
        <v>104.16490399999999</v>
      </c>
      <c r="CR336" s="57">
        <f>107.057904-1.849</f>
        <v>105.20890399999999</v>
      </c>
      <c r="CS336" s="57">
        <f>107.057904-1.835483</f>
        <v>105.222421</v>
      </c>
      <c r="CT336" s="57">
        <f>107.057904-1.746</f>
        <v>105.311904</v>
      </c>
      <c r="CU336" s="57">
        <f>107.057904-1.738</f>
        <v>105.31990399999999</v>
      </c>
      <c r="CV336" s="57">
        <f>107.057904-1.603</f>
        <v>105.454904</v>
      </c>
      <c r="CW336" s="57">
        <f>107.057904-1.571686</f>
        <v>105.48621799999999</v>
      </c>
      <c r="CX336" s="57">
        <f>107.057904-1.572</f>
        <v>105.48590399999999</v>
      </c>
      <c r="CY336" s="57">
        <f>105.716278</f>
        <v>105.716278</v>
      </c>
      <c r="CZ336" s="57">
        <v>105.811476</v>
      </c>
      <c r="DA336" s="57">
        <f>105.819161</f>
        <v>105.81916099999999</v>
      </c>
      <c r="DB336" s="57">
        <f>106.251673</f>
        <v>106.251673</v>
      </c>
      <c r="DC336" s="57">
        <v>106.860855</v>
      </c>
      <c r="DD336" s="57">
        <v>106.986909</v>
      </c>
      <c r="DE336" s="57">
        <v>107.145588</v>
      </c>
      <c r="DF336" s="57">
        <v>107.145588</v>
      </c>
      <c r="DG336" s="57">
        <v>107.56399999999999</v>
      </c>
      <c r="DH336" s="57">
        <v>107.58713899999999</v>
      </c>
      <c r="DI336" s="57">
        <v>107.598889</v>
      </c>
      <c r="DJ336" s="57">
        <v>108.262523</v>
      </c>
      <c r="DK336" s="57">
        <v>106.40427699999999</v>
      </c>
      <c r="DL336" s="57">
        <v>106.455102</v>
      </c>
      <c r="DM336" s="57">
        <v>106.71697</v>
      </c>
      <c r="DN336" s="18">
        <f>DN334</f>
        <v>107.149</v>
      </c>
      <c r="DO336" s="18">
        <f>DO334</f>
        <v>107.69199999999999</v>
      </c>
      <c r="DP336" s="57">
        <v>108.22690900000001</v>
      </c>
      <c r="DQ336" s="56">
        <v>108.25649199999999</v>
      </c>
      <c r="DR336" s="56">
        <v>108.23228400000001</v>
      </c>
      <c r="DS336" s="56">
        <v>107.654499</v>
      </c>
      <c r="DT336" s="56">
        <v>107.656628</v>
      </c>
      <c r="DU336" s="56">
        <v>107.767915</v>
      </c>
      <c r="DV336" s="56">
        <v>108.010599</v>
      </c>
      <c r="DW336" s="56">
        <v>108.039174</v>
      </c>
      <c r="DX336" s="56">
        <v>108.063579</v>
      </c>
      <c r="DY336" s="56">
        <v>108.077916</v>
      </c>
      <c r="DZ336" s="56">
        <v>108.562523</v>
      </c>
      <c r="EA336" s="56">
        <v>108.566124</v>
      </c>
      <c r="EB336" s="56">
        <v>108.077916</v>
      </c>
      <c r="EC336" s="56">
        <v>108.60404699999999</v>
      </c>
      <c r="ED336" s="56">
        <v>108.845327</v>
      </c>
      <c r="EE336" s="56">
        <f t="shared" ref="EE336:EP336" si="1132">ED336*1.0001</f>
        <v>108.8562115327</v>
      </c>
      <c r="EF336" s="56">
        <f t="shared" si="1132"/>
        <v>108.86709715385327</v>
      </c>
      <c r="EG336" s="56">
        <f t="shared" si="1132"/>
        <v>108.87798386356864</v>
      </c>
      <c r="EH336" s="56">
        <f t="shared" si="1132"/>
        <v>108.88887166195499</v>
      </c>
      <c r="EI336" s="56">
        <f t="shared" si="1132"/>
        <v>108.89976054912118</v>
      </c>
      <c r="EJ336" s="56">
        <f t="shared" si="1132"/>
        <v>108.9106505251761</v>
      </c>
      <c r="EK336" s="56">
        <f t="shared" si="1132"/>
        <v>108.92154159022861</v>
      </c>
      <c r="EL336" s="56">
        <f t="shared" si="1132"/>
        <v>108.93243374438764</v>
      </c>
      <c r="EM336" s="56">
        <f t="shared" si="1132"/>
        <v>108.94332698776208</v>
      </c>
      <c r="EN336" s="56">
        <f t="shared" si="1132"/>
        <v>108.95422132046085</v>
      </c>
      <c r="EO336" s="56">
        <f t="shared" si="1132"/>
        <v>108.9651167425929</v>
      </c>
      <c r="EP336" s="56">
        <f t="shared" si="1132"/>
        <v>108.97601325426716</v>
      </c>
      <c r="EQ336" s="18"/>
      <c r="ER336" s="18"/>
      <c r="ES336" s="355">
        <f t="shared" si="1105"/>
        <v>331</v>
      </c>
      <c r="ET336"/>
      <c r="EU336"/>
      <c r="EV336"/>
      <c r="EW336"/>
      <c r="EX336"/>
      <c r="EY336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</row>
    <row r="337" spans="1:257" s="4" customFormat="1" hidden="1" outlineLevel="2">
      <c r="A337" s="15"/>
      <c r="B337" s="51" t="s">
        <v>30</v>
      </c>
      <c r="C337" s="10"/>
      <c r="D337" s="10"/>
      <c r="E337" s="50">
        <f t="shared" ref="E337:AF337" si="1133">E335/E334</f>
        <v>1</v>
      </c>
      <c r="F337" s="50">
        <f t="shared" si="1133"/>
        <v>1</v>
      </c>
      <c r="G337" s="50">
        <f t="shared" si="1133"/>
        <v>1</v>
      </c>
      <c r="H337" s="50">
        <f t="shared" si="1133"/>
        <v>1</v>
      </c>
      <c r="I337" s="50">
        <f t="shared" si="1133"/>
        <v>1.0157094357058196</v>
      </c>
      <c r="J337" s="50">
        <f t="shared" si="1133"/>
        <v>1.0123528469608392</v>
      </c>
      <c r="K337" s="50">
        <f t="shared" si="1133"/>
        <v>1.0116564790934752</v>
      </c>
      <c r="L337" s="50">
        <f t="shared" si="1133"/>
        <v>1.0101142649493278</v>
      </c>
      <c r="M337" s="50">
        <f t="shared" si="1133"/>
        <v>1.0134940913446184</v>
      </c>
      <c r="N337" s="50">
        <f t="shared" si="1133"/>
        <v>1.0104365278474661</v>
      </c>
      <c r="O337" s="50">
        <f t="shared" si="1133"/>
        <v>1.0111313175722936</v>
      </c>
      <c r="P337" s="50">
        <f t="shared" si="1133"/>
        <v>1.0103553824137383</v>
      </c>
      <c r="Q337" s="50">
        <f t="shared" si="1133"/>
        <v>1.0185174310489948</v>
      </c>
      <c r="R337" s="50">
        <f t="shared" si="1133"/>
        <v>1.0136922165529629</v>
      </c>
      <c r="S337" s="50">
        <f t="shared" si="1133"/>
        <v>1.0173217983703962</v>
      </c>
      <c r="T337" s="50">
        <f t="shared" si="1133"/>
        <v>1.0205208852748264</v>
      </c>
      <c r="U337" s="50">
        <f t="shared" si="1133"/>
        <v>1.0122748891652504</v>
      </c>
      <c r="V337" s="50">
        <f t="shared" si="1133"/>
        <v>1.0159089780367654</v>
      </c>
      <c r="W337" s="50">
        <f t="shared" si="1133"/>
        <v>1.0174389437706002</v>
      </c>
      <c r="X337" s="50">
        <f t="shared" si="1133"/>
        <v>1.0141803305545283</v>
      </c>
      <c r="Y337" s="50">
        <f t="shared" si="1133"/>
        <v>1.0138682096696423</v>
      </c>
      <c r="Z337" s="50">
        <f t="shared" si="1133"/>
        <v>1.0116858841754715</v>
      </c>
      <c r="AA337" s="50">
        <f t="shared" si="1133"/>
        <v>1.0055938247515726</v>
      </c>
      <c r="AB337" s="50">
        <f t="shared" si="1133"/>
        <v>1.0023358644318918</v>
      </c>
      <c r="AC337" s="50">
        <f t="shared" si="1133"/>
        <v>1</v>
      </c>
      <c r="AD337" s="50">
        <f t="shared" si="1133"/>
        <v>1.0059488456812227</v>
      </c>
      <c r="AE337" s="50">
        <f t="shared" si="1133"/>
        <v>1.01</v>
      </c>
      <c r="AF337" s="50">
        <f t="shared" si="1133"/>
        <v>1.01</v>
      </c>
      <c r="AG337" s="17"/>
      <c r="AH337" s="50">
        <f t="shared" ref="AH337:BM337" si="1134">AH335/AH334</f>
        <v>1</v>
      </c>
      <c r="AI337" s="50">
        <f t="shared" si="1134"/>
        <v>1</v>
      </c>
      <c r="AJ337" s="50">
        <f t="shared" si="1134"/>
        <v>1</v>
      </c>
      <c r="AK337" s="50">
        <f t="shared" si="1134"/>
        <v>1</v>
      </c>
      <c r="AL337" s="50">
        <f t="shared" si="1134"/>
        <v>1</v>
      </c>
      <c r="AM337" s="50">
        <f t="shared" si="1134"/>
        <v>1</v>
      </c>
      <c r="AN337" s="50">
        <f t="shared" si="1134"/>
        <v>1</v>
      </c>
      <c r="AO337" s="50">
        <f t="shared" si="1134"/>
        <v>1</v>
      </c>
      <c r="AP337" s="50">
        <f t="shared" si="1134"/>
        <v>1</v>
      </c>
      <c r="AQ337" s="50">
        <f t="shared" si="1134"/>
        <v>1</v>
      </c>
      <c r="AR337" s="50">
        <f t="shared" si="1134"/>
        <v>1</v>
      </c>
      <c r="AS337" s="50">
        <f t="shared" si="1134"/>
        <v>1</v>
      </c>
      <c r="AT337" s="50">
        <f t="shared" si="1134"/>
        <v>1</v>
      </c>
      <c r="AU337" s="50">
        <f t="shared" si="1134"/>
        <v>1</v>
      </c>
      <c r="AV337" s="50">
        <f t="shared" si="1134"/>
        <v>1</v>
      </c>
      <c r="AW337" s="50">
        <f t="shared" si="1134"/>
        <v>1</v>
      </c>
      <c r="AX337" s="50">
        <f t="shared" si="1134"/>
        <v>1.0167771041872269</v>
      </c>
      <c r="AY337" s="50">
        <f t="shared" si="1134"/>
        <v>1.0133765136581245</v>
      </c>
      <c r="AZ337" s="50">
        <f t="shared" si="1134"/>
        <v>1.0139663683428983</v>
      </c>
      <c r="BA337" s="50">
        <f t="shared" si="1134"/>
        <v>1.0187110603601979</v>
      </c>
      <c r="BB337" s="50">
        <f t="shared" si="1134"/>
        <v>1.0211974563052435</v>
      </c>
      <c r="BC337" s="50">
        <f t="shared" si="1134"/>
        <v>1.0111284264365061</v>
      </c>
      <c r="BD337" s="50">
        <f t="shared" si="1134"/>
        <v>1.0092256080514397</v>
      </c>
      <c r="BE337" s="50">
        <f t="shared" si="1134"/>
        <v>1.0078338972128238</v>
      </c>
      <c r="BF337" s="50">
        <f t="shared" si="1134"/>
        <v>1.0098003334553292</v>
      </c>
      <c r="BG337" s="50">
        <f t="shared" si="1134"/>
        <v>1.0080491076873044</v>
      </c>
      <c r="BH337" s="50">
        <f t="shared" si="1134"/>
        <v>1.0138268496710794</v>
      </c>
      <c r="BI337" s="50">
        <f t="shared" si="1134"/>
        <v>1.0149371706526145</v>
      </c>
      <c r="BJ337" s="50">
        <f t="shared" si="1134"/>
        <v>1.0068181358366886</v>
      </c>
      <c r="BK337" s="50">
        <f t="shared" si="1134"/>
        <v>1.0078071275433842</v>
      </c>
      <c r="BL337" s="50">
        <f t="shared" si="1134"/>
        <v>1.0132335438058542</v>
      </c>
      <c r="BM337" s="50">
        <f t="shared" si="1134"/>
        <v>1.0125769710629049</v>
      </c>
      <c r="BN337" s="50">
        <f t="shared" ref="BN337:CS337" si="1135">BN335/BN334</f>
        <v>1.012304789433538</v>
      </c>
      <c r="BO337" s="50">
        <f t="shared" si="1135"/>
        <v>1.0187660617168357</v>
      </c>
      <c r="BP337" s="50">
        <f t="shared" si="1135"/>
        <v>1.015633978639507</v>
      </c>
      <c r="BQ337" s="50">
        <f t="shared" si="1135"/>
        <v>1.0072134169555373</v>
      </c>
      <c r="BR337" s="50">
        <f t="shared" si="1135"/>
        <v>1.0068763069004345</v>
      </c>
      <c r="BS337" s="50">
        <f t="shared" si="1135"/>
        <v>1.0095806218365873</v>
      </c>
      <c r="BT337" s="50">
        <f t="shared" si="1135"/>
        <v>1.0144218232875339</v>
      </c>
      <c r="BU337" s="50">
        <f t="shared" si="1135"/>
        <v>1.0108170910037859</v>
      </c>
      <c r="BV337" s="50">
        <f t="shared" si="1135"/>
        <v>1.0097641009223874</v>
      </c>
      <c r="BW337" s="50">
        <f t="shared" si="1135"/>
        <v>1.0103152549827079</v>
      </c>
      <c r="BX337" s="50">
        <f t="shared" si="1135"/>
        <v>1.0127085622939354</v>
      </c>
      <c r="BY337" s="50">
        <f t="shared" si="1135"/>
        <v>1.011714696256087</v>
      </c>
      <c r="BZ337" s="50">
        <f t="shared" si="1135"/>
        <v>1.0102284962316066</v>
      </c>
      <c r="CA337" s="50">
        <f t="shared" si="1135"/>
        <v>1.012733024292223</v>
      </c>
      <c r="CB337" s="50">
        <f t="shared" si="1135"/>
        <v>1.0094436949448455</v>
      </c>
      <c r="CC337" s="50">
        <f t="shared" si="1135"/>
        <v>1.0090627850711935</v>
      </c>
      <c r="CD337" s="50">
        <f t="shared" si="1135"/>
        <v>1.014106800150367</v>
      </c>
      <c r="CE337" s="50">
        <f t="shared" si="1135"/>
        <v>1.0183691492493376</v>
      </c>
      <c r="CF337" s="50">
        <f t="shared" si="1135"/>
        <v>1.019577225616302</v>
      </c>
      <c r="CG337" s="50">
        <f t="shared" si="1135"/>
        <v>1.0219313965766099</v>
      </c>
      <c r="CH337" s="50">
        <f t="shared" si="1135"/>
        <v>1.0210218585015436</v>
      </c>
      <c r="CI337" s="50">
        <f t="shared" si="1135"/>
        <v>1.0142123925946458</v>
      </c>
      <c r="CJ337" s="50">
        <f t="shared" si="1135"/>
        <v>1.0133309210714252</v>
      </c>
      <c r="CK337" s="50">
        <f t="shared" si="1135"/>
        <v>1.0111711093968745</v>
      </c>
      <c r="CL337" s="50">
        <f t="shared" si="1135"/>
        <v>1.0141706674926436</v>
      </c>
      <c r="CM337" s="50">
        <f t="shared" si="1135"/>
        <v>1.0154302153256036</v>
      </c>
      <c r="CN337" s="50">
        <f t="shared" si="1135"/>
        <v>1.0192599905151807</v>
      </c>
      <c r="CO337" s="50">
        <f t="shared" si="1135"/>
        <v>1.0195506160908434</v>
      </c>
      <c r="CP337" s="50">
        <f t="shared" si="1135"/>
        <v>1.0203460568646203</v>
      </c>
      <c r="CQ337" s="50">
        <f t="shared" si="1135"/>
        <v>1.0212450545325029</v>
      </c>
      <c r="CR337" s="50">
        <f t="shared" si="1135"/>
        <v>1.0206543576006888</v>
      </c>
      <c r="CS337" s="50">
        <f t="shared" si="1135"/>
        <v>1.0198553383201376</v>
      </c>
      <c r="CT337" s="50">
        <f t="shared" ref="CT337:EB337" si="1136">CT335/CT334</f>
        <v>1.0112305105036627</v>
      </c>
      <c r="CU337" s="50">
        <f t="shared" si="1136"/>
        <v>1.0112305105036627</v>
      </c>
      <c r="CV337" s="50">
        <f t="shared" si="1136"/>
        <v>1.013317524306379</v>
      </c>
      <c r="CW337" s="50">
        <f t="shared" si="1136"/>
        <v>1.013317524306379</v>
      </c>
      <c r="CX337" s="50">
        <f t="shared" si="1136"/>
        <v>1.0157518351882548</v>
      </c>
      <c r="CY337" s="50">
        <f t="shared" si="1136"/>
        <v>1.0167721429179555</v>
      </c>
      <c r="CZ337" s="50">
        <f t="shared" si="1136"/>
        <v>1.0160861711886366</v>
      </c>
      <c r="DA337" s="50">
        <f t="shared" si="1136"/>
        <v>1.0150263670213773</v>
      </c>
      <c r="DB337" s="50">
        <f t="shared" si="1136"/>
        <v>1.0171742226330036</v>
      </c>
      <c r="DC337" s="50">
        <f t="shared" si="1136"/>
        <v>1.0195277660423414</v>
      </c>
      <c r="DD337" s="50">
        <f t="shared" si="1136"/>
        <v>1.0170340868719732</v>
      </c>
      <c r="DE337" s="50">
        <f t="shared" si="1136"/>
        <v>1.0160274970578895</v>
      </c>
      <c r="DF337" s="50">
        <f t="shared" si="1136"/>
        <v>1.014945981751348</v>
      </c>
      <c r="DG337" s="50">
        <f t="shared" si="1136"/>
        <v>1.0154304604926199</v>
      </c>
      <c r="DH337" s="50">
        <f t="shared" si="1136"/>
        <v>1.0131662555131942</v>
      </c>
      <c r="DI337" s="50">
        <f t="shared" si="1136"/>
        <v>1.0131605090117792</v>
      </c>
      <c r="DJ337" s="50">
        <f t="shared" si="1136"/>
        <v>1.0145937827651677</v>
      </c>
      <c r="DK337" s="50">
        <f t="shared" si="1136"/>
        <v>1.0137313545134774</v>
      </c>
      <c r="DL337" s="50">
        <f t="shared" si="1136"/>
        <v>1.0127407685802874</v>
      </c>
      <c r="DM337" s="50">
        <f t="shared" si="1136"/>
        <v>1.0144101687914233</v>
      </c>
      <c r="DN337" s="50">
        <f t="shared" si="1136"/>
        <v>1.0133272359051415</v>
      </c>
      <c r="DO337" s="50">
        <f t="shared" si="1136"/>
        <v>1.012897893993983</v>
      </c>
      <c r="DP337" s="50">
        <f t="shared" si="1136"/>
        <v>1.0106161628304835</v>
      </c>
      <c r="DQ337" s="50">
        <f t="shared" si="1136"/>
        <v>1.0099236782288914</v>
      </c>
      <c r="DR337" s="50">
        <f t="shared" si="1136"/>
        <v>1.0080575699480425</v>
      </c>
      <c r="DS337" s="50">
        <f t="shared" si="1136"/>
        <v>1.0067257492150197</v>
      </c>
      <c r="DT337" s="50">
        <f t="shared" si="1136"/>
        <v>1.0075892691264443</v>
      </c>
      <c r="DU337" s="50">
        <f t="shared" si="1136"/>
        <v>1</v>
      </c>
      <c r="DV337" s="50">
        <f t="shared" si="1136"/>
        <v>1.0051644846641694</v>
      </c>
      <c r="DW337" s="50">
        <f t="shared" si="1136"/>
        <v>1.0041846427314978</v>
      </c>
      <c r="DX337" s="50">
        <f t="shared" si="1136"/>
        <v>1</v>
      </c>
      <c r="DY337" s="50">
        <f t="shared" si="1136"/>
        <v>1</v>
      </c>
      <c r="DZ337" s="50">
        <f t="shared" si="1136"/>
        <v>1</v>
      </c>
      <c r="EA337" s="50">
        <f t="shared" si="1136"/>
        <v>1</v>
      </c>
      <c r="EB337" s="50">
        <f t="shared" si="1136"/>
        <v>1</v>
      </c>
      <c r="EC337" s="50">
        <f t="shared" ref="EC337:EP337" si="1137">IF(EC50&gt;0,1.01,1)</f>
        <v>1</v>
      </c>
      <c r="ED337" s="50">
        <f t="shared" si="1137"/>
        <v>1.01</v>
      </c>
      <c r="EE337" s="55">
        <f t="shared" si="1137"/>
        <v>1</v>
      </c>
      <c r="EF337" s="55">
        <f t="shared" si="1137"/>
        <v>1.01</v>
      </c>
      <c r="EG337" s="55">
        <f t="shared" si="1137"/>
        <v>1.01</v>
      </c>
      <c r="EH337" s="55">
        <f t="shared" si="1137"/>
        <v>1.01</v>
      </c>
      <c r="EI337" s="55">
        <f t="shared" si="1137"/>
        <v>1.01</v>
      </c>
      <c r="EJ337" s="55">
        <f t="shared" si="1137"/>
        <v>1.01</v>
      </c>
      <c r="EK337" s="55">
        <f t="shared" si="1137"/>
        <v>1.01</v>
      </c>
      <c r="EL337" s="55">
        <f t="shared" si="1137"/>
        <v>1.01</v>
      </c>
      <c r="EM337" s="55">
        <f t="shared" si="1137"/>
        <v>1.01</v>
      </c>
      <c r="EN337" s="55">
        <f t="shared" si="1137"/>
        <v>1.01</v>
      </c>
      <c r="EO337" s="55">
        <f t="shared" si="1137"/>
        <v>1.01</v>
      </c>
      <c r="EP337" s="55">
        <f t="shared" si="1137"/>
        <v>1.01</v>
      </c>
      <c r="EQ337" s="5"/>
      <c r="ER337" s="5"/>
      <c r="ES337" s="355">
        <f t="shared" si="1105"/>
        <v>332</v>
      </c>
      <c r="ET337"/>
      <c r="EU337"/>
      <c r="EV337"/>
      <c r="EW337"/>
      <c r="EX337"/>
      <c r="EY337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</row>
    <row r="338" spans="1:257" s="4" customFormat="1" hidden="1" outlineLevel="2">
      <c r="A338" s="15"/>
      <c r="B338" s="51"/>
      <c r="C338" s="10"/>
      <c r="D338" s="1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D338" s="50"/>
      <c r="AE338" s="50"/>
      <c r="AF338" s="50"/>
      <c r="AG338" s="17"/>
      <c r="AH338" s="50"/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0"/>
      <c r="AT338" s="50"/>
      <c r="AU338" s="50"/>
      <c r="AV338" s="50"/>
      <c r="AW338" s="50"/>
      <c r="AX338" s="50"/>
      <c r="AY338" s="50"/>
      <c r="AZ338" s="50"/>
      <c r="BA338" s="50"/>
      <c r="BB338" s="50"/>
      <c r="BC338" s="50"/>
      <c r="BD338" s="50"/>
      <c r="BE338" s="50"/>
      <c r="BF338" s="50"/>
      <c r="BG338" s="50"/>
      <c r="BH338" s="50"/>
      <c r="BI338" s="50"/>
      <c r="BJ338" s="50"/>
      <c r="BK338" s="50"/>
      <c r="BL338" s="50"/>
      <c r="BM338" s="50"/>
      <c r="BN338" s="50"/>
      <c r="BO338" s="50"/>
      <c r="BP338" s="50"/>
      <c r="BQ338" s="50"/>
      <c r="BR338" s="50"/>
      <c r="BS338" s="50"/>
      <c r="BT338" s="50"/>
      <c r="BU338" s="50"/>
      <c r="BV338" s="50"/>
      <c r="BW338" s="50"/>
      <c r="BX338" s="50"/>
      <c r="BY338" s="50"/>
      <c r="BZ338" s="50"/>
      <c r="CA338" s="50"/>
      <c r="CB338" s="50"/>
      <c r="CC338" s="50"/>
      <c r="CD338" s="50"/>
      <c r="CE338" s="50"/>
      <c r="CF338" s="50"/>
      <c r="CG338" s="50"/>
      <c r="CH338" s="50"/>
      <c r="CI338" s="50"/>
      <c r="CJ338" s="50"/>
      <c r="CK338" s="50"/>
      <c r="CL338" s="50"/>
      <c r="CM338" s="50"/>
      <c r="CN338" s="50"/>
      <c r="CO338" s="50"/>
      <c r="CP338" s="50"/>
      <c r="CQ338" s="50"/>
      <c r="CR338" s="50"/>
      <c r="CS338" s="50"/>
      <c r="CT338" s="50"/>
      <c r="CU338" s="50"/>
      <c r="CV338" s="50"/>
      <c r="CW338" s="50"/>
      <c r="CX338" s="50"/>
      <c r="CY338" s="50"/>
      <c r="CZ338" s="50"/>
      <c r="DA338" s="50"/>
      <c r="DB338" s="50"/>
      <c r="DC338" s="50"/>
      <c r="DD338" s="50"/>
      <c r="DE338" s="50"/>
      <c r="DF338" s="50"/>
      <c r="DG338" s="50"/>
      <c r="DH338" s="50"/>
      <c r="DI338" s="50"/>
      <c r="DJ338" s="50"/>
      <c r="DK338" s="50"/>
      <c r="DL338" s="50"/>
      <c r="DM338" s="50"/>
      <c r="DN338" s="50"/>
      <c r="DO338" s="50"/>
      <c r="DP338" s="50"/>
      <c r="DQ338" s="50"/>
      <c r="DR338" s="50"/>
      <c r="DS338" s="50"/>
      <c r="DT338" s="50"/>
      <c r="DU338" s="50"/>
      <c r="DV338" s="50"/>
      <c r="DW338" s="50"/>
      <c r="DX338" s="50"/>
      <c r="DY338" s="50"/>
      <c r="DZ338" s="50"/>
      <c r="EA338" s="50"/>
      <c r="EB338" s="50"/>
      <c r="EC338" s="50"/>
      <c r="ED338" s="50"/>
      <c r="EE338" s="49"/>
      <c r="EF338" s="49"/>
      <c r="EG338" s="49"/>
      <c r="EH338" s="49"/>
      <c r="EI338" s="49"/>
      <c r="EJ338" s="49"/>
      <c r="EK338" s="49"/>
      <c r="EL338" s="49"/>
      <c r="EM338" s="49"/>
      <c r="EN338" s="49"/>
      <c r="EO338" s="49"/>
      <c r="EP338" s="49"/>
      <c r="EQ338" s="5"/>
      <c r="ER338" s="5"/>
      <c r="ES338" s="355">
        <f t="shared" si="1105"/>
        <v>333</v>
      </c>
      <c r="ET338"/>
      <c r="EU338"/>
      <c r="EV338"/>
      <c r="EW338"/>
      <c r="EX338"/>
      <c r="EY338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</row>
    <row r="339" spans="1:257" s="4" customFormat="1" hidden="1" outlineLevel="2">
      <c r="A339" s="15"/>
      <c r="B339" s="54" t="s">
        <v>29</v>
      </c>
      <c r="C339" s="10"/>
      <c r="D339" s="10"/>
      <c r="E339" s="52">
        <f t="shared" ref="E339:AF339" si="1138">E50/E334</f>
        <v>0.25249928004278649</v>
      </c>
      <c r="F339" s="52">
        <f t="shared" si="1138"/>
        <v>0.25568274901703791</v>
      </c>
      <c r="G339" s="52">
        <f t="shared" si="1138"/>
        <v>9.9354010433648415E-2</v>
      </c>
      <c r="H339" s="52">
        <f t="shared" si="1138"/>
        <v>0.7347711624139327</v>
      </c>
      <c r="I339" s="52">
        <f t="shared" si="1138"/>
        <v>0.84562767432049657</v>
      </c>
      <c r="J339" s="52">
        <f t="shared" si="1138"/>
        <v>1.012593096820694</v>
      </c>
      <c r="K339" s="52">
        <f t="shared" si="1138"/>
        <v>0.43445768941778551</v>
      </c>
      <c r="L339" s="52">
        <f t="shared" si="1138"/>
        <v>0.83074252028909445</v>
      </c>
      <c r="M339" s="52">
        <f t="shared" si="1138"/>
        <v>1.4397756307888854</v>
      </c>
      <c r="N339" s="52">
        <f t="shared" si="1138"/>
        <v>0.6374009031610639</v>
      </c>
      <c r="O339" s="52">
        <f t="shared" si="1138"/>
        <v>0.17859069925458118</v>
      </c>
      <c r="P339" s="52">
        <f t="shared" si="1138"/>
        <v>4.331968516457347E-2</v>
      </c>
      <c r="Q339" s="52">
        <f t="shared" si="1138"/>
        <v>1.2489087243330017</v>
      </c>
      <c r="R339" s="52">
        <f t="shared" si="1138"/>
        <v>2.8077930019683159</v>
      </c>
      <c r="S339" s="52">
        <f t="shared" si="1138"/>
        <v>4.3474907584818707</v>
      </c>
      <c r="T339" s="52">
        <f t="shared" si="1138"/>
        <v>4.4276974416017802</v>
      </c>
      <c r="U339" s="52">
        <f t="shared" si="1138"/>
        <v>3.3563230393878691</v>
      </c>
      <c r="V339" s="52">
        <f t="shared" si="1138"/>
        <v>1.4833306924792418</v>
      </c>
      <c r="W339" s="52">
        <f t="shared" si="1138"/>
        <v>4.0713780024098982</v>
      </c>
      <c r="X339" s="52">
        <f t="shared" si="1138"/>
        <v>5.4394521650806738</v>
      </c>
      <c r="Y339" s="52">
        <f t="shared" si="1138"/>
        <v>6.9307083465641082</v>
      </c>
      <c r="Z339" s="52">
        <f t="shared" si="1138"/>
        <v>6.5743267687683833</v>
      </c>
      <c r="AA339" s="52">
        <f t="shared" si="1138"/>
        <v>3.9184608652679396</v>
      </c>
      <c r="AB339" s="52">
        <f t="shared" si="1138"/>
        <v>-0.52623391054727064</v>
      </c>
      <c r="AC339" s="52">
        <f t="shared" si="1138"/>
        <v>-1.1822394448990916</v>
      </c>
      <c r="AD339" s="52">
        <f t="shared" si="1138"/>
        <v>4.8701148640906213</v>
      </c>
      <c r="AE339" s="52">
        <f t="shared" si="1138"/>
        <v>1.790920888753899</v>
      </c>
      <c r="AF339" s="52">
        <f t="shared" si="1138"/>
        <v>2.3300024644913457</v>
      </c>
      <c r="AG339" s="53"/>
      <c r="AH339" s="52">
        <f t="shared" ref="AH339:BM339" si="1139">AH50/AH334</f>
        <v>7.4430679024723223E-2</v>
      </c>
      <c r="AI339" s="52">
        <f t="shared" si="1139"/>
        <v>7.4871537830070389E-2</v>
      </c>
      <c r="AJ339" s="52">
        <f t="shared" si="1139"/>
        <v>5.0636963919782001E-2</v>
      </c>
      <c r="AK339" s="52">
        <f t="shared" si="1139"/>
        <v>5.2652080795459487E-2</v>
      </c>
      <c r="AL339" s="52">
        <f t="shared" si="1139"/>
        <v>0.11544853906762972</v>
      </c>
      <c r="AM339" s="52">
        <f t="shared" si="1139"/>
        <v>6.3042854801704282E-2</v>
      </c>
      <c r="AN339" s="52">
        <f t="shared" si="1139"/>
        <v>4.7663857294820491E-2</v>
      </c>
      <c r="AO339" s="52">
        <f t="shared" si="1139"/>
        <v>2.968788349832252E-2</v>
      </c>
      <c r="AP339" s="52">
        <f t="shared" si="1139"/>
        <v>4.5099881531108374E-2</v>
      </c>
      <c r="AQ339" s="52">
        <f t="shared" si="1139"/>
        <v>5.9395027962607642E-2</v>
      </c>
      <c r="AR339" s="52">
        <f t="shared" si="1139"/>
        <v>4.6636552313514802E-2</v>
      </c>
      <c r="AS339" s="52">
        <f t="shared" si="1139"/>
        <v>-5.1524700142305466E-2</v>
      </c>
      <c r="AT339" s="52">
        <f t="shared" si="1139"/>
        <v>0.11271999349672812</v>
      </c>
      <c r="AU339" s="52">
        <f t="shared" si="1139"/>
        <v>0.11181301967146619</v>
      </c>
      <c r="AV339" s="52">
        <f t="shared" si="1139"/>
        <v>0.13294669199369522</v>
      </c>
      <c r="AW339" s="52">
        <f t="shared" si="1139"/>
        <v>0.37650955208207143</v>
      </c>
      <c r="AX339" s="52">
        <f t="shared" si="1139"/>
        <v>0.20266459890032426</v>
      </c>
      <c r="AY339" s="52">
        <f t="shared" si="1139"/>
        <v>0.2254696866073943</v>
      </c>
      <c r="AZ339" s="52">
        <f t="shared" si="1139"/>
        <v>0.23726772885981465</v>
      </c>
      <c r="BA339" s="52">
        <f t="shared" si="1139"/>
        <v>0.18027926357753929</v>
      </c>
      <c r="BB339" s="52">
        <f t="shared" si="1139"/>
        <v>0.29161500619925618</v>
      </c>
      <c r="BC339" s="52">
        <f t="shared" si="1139"/>
        <v>0.19316910413170302</v>
      </c>
      <c r="BD339" s="52">
        <f t="shared" si="1139"/>
        <v>0.33808259115779371</v>
      </c>
      <c r="BE339" s="52">
        <f t="shared" si="1139"/>
        <v>0.18921177702593972</v>
      </c>
      <c r="BF339" s="52">
        <f t="shared" si="1139"/>
        <v>0.1302407384815582</v>
      </c>
      <c r="BG339" s="52">
        <f t="shared" si="1139"/>
        <v>7.4718484491239509E-2</v>
      </c>
      <c r="BH339" s="52">
        <f t="shared" si="1139"/>
        <v>0.12381223097539172</v>
      </c>
      <c r="BI339" s="52">
        <f t="shared" si="1139"/>
        <v>0.10568504256181657</v>
      </c>
      <c r="BJ339" s="52">
        <f t="shared" si="1139"/>
        <v>0.20698201387905388</v>
      </c>
      <c r="BK339" s="52">
        <f t="shared" si="1139"/>
        <v>0.19490514137777604</v>
      </c>
      <c r="BL339" s="52">
        <f t="shared" si="1139"/>
        <v>0.18717596982106469</v>
      </c>
      <c r="BM339" s="52">
        <f t="shared" si="1139"/>
        <v>0.24156839859942847</v>
      </c>
      <c r="BN339" s="52">
        <f t="shared" ref="BN339:CS339" si="1140">BN50/BN334</f>
        <v>0.33963627604480301</v>
      </c>
      <c r="BO339" s="52">
        <f t="shared" si="1140"/>
        <v>0.41585154491304277</v>
      </c>
      <c r="BP339" s="52">
        <f t="shared" si="1140"/>
        <v>0.40062813323557989</v>
      </c>
      <c r="BQ339" s="52">
        <f t="shared" si="1140"/>
        <v>0.28280601919570392</v>
      </c>
      <c r="BR339" s="52">
        <f t="shared" si="1140"/>
        <v>0.15686826443622326</v>
      </c>
      <c r="BS339" s="52">
        <f t="shared" si="1140"/>
        <v>0.1091829356471439</v>
      </c>
      <c r="BT339" s="52">
        <f t="shared" si="1140"/>
        <v>0.28300070203590416</v>
      </c>
      <c r="BU339" s="52">
        <f t="shared" si="1140"/>
        <v>8.8369624005929376E-2</v>
      </c>
      <c r="BV339" s="52">
        <f t="shared" si="1140"/>
        <v>6.0725504711979673E-3</v>
      </c>
      <c r="BW339" s="52">
        <f t="shared" si="1140"/>
        <v>2.5728165044079779E-2</v>
      </c>
      <c r="BX339" s="52">
        <f t="shared" si="1140"/>
        <v>8.1546608052752476E-2</v>
      </c>
      <c r="BY339" s="52">
        <f t="shared" si="1140"/>
        <v>6.515925600702481E-2</v>
      </c>
      <c r="BZ339" s="52">
        <f t="shared" si="1140"/>
        <v>6.5677712645053121E-2</v>
      </c>
      <c r="CA339" s="52">
        <f t="shared" si="1140"/>
        <v>6.0163539780753193E-2</v>
      </c>
      <c r="CB339" s="52">
        <f t="shared" si="1140"/>
        <v>4.31215776525673E-2</v>
      </c>
      <c r="CC339" s="52">
        <f t="shared" si="1140"/>
        <v>-0.12517352159600187</v>
      </c>
      <c r="CD339" s="52">
        <f t="shared" si="1140"/>
        <v>0.38887679797400238</v>
      </c>
      <c r="CE339" s="52">
        <f t="shared" si="1140"/>
        <v>0.21931115690314995</v>
      </c>
      <c r="CF339" s="52">
        <f t="shared" si="1140"/>
        <v>0.29107216052153884</v>
      </c>
      <c r="CG339" s="52">
        <f t="shared" si="1140"/>
        <v>0.34990458292567173</v>
      </c>
      <c r="CH339" s="52">
        <f t="shared" si="1140"/>
        <v>0.48865723600065386</v>
      </c>
      <c r="CI339" s="52">
        <f t="shared" si="1140"/>
        <v>0.61717338736654959</v>
      </c>
      <c r="CJ339" s="52">
        <f t="shared" si="1140"/>
        <v>0.76152886620516314</v>
      </c>
      <c r="CK339" s="52">
        <f t="shared" si="1140"/>
        <v>0.93803034199022906</v>
      </c>
      <c r="CL339" s="52">
        <f t="shared" si="1140"/>
        <v>1.0723439677868978</v>
      </c>
      <c r="CM339" s="52">
        <f t="shared" si="1140"/>
        <v>1.0350836408721507</v>
      </c>
      <c r="CN339" s="52">
        <f t="shared" si="1140"/>
        <v>1.1149889182466628</v>
      </c>
      <c r="CO339" s="52">
        <f t="shared" si="1140"/>
        <v>1.125006040106306</v>
      </c>
      <c r="CP339" s="52">
        <f t="shared" si="1140"/>
        <v>1.0417451622564229</v>
      </c>
      <c r="CQ339" s="52">
        <f t="shared" si="1140"/>
        <v>0.98239365439966064</v>
      </c>
      <c r="CR339" s="52">
        <f t="shared" si="1140"/>
        <v>1.1993590356835362</v>
      </c>
      <c r="CS339" s="52">
        <f t="shared" si="1140"/>
        <v>1.2022031916814777</v>
      </c>
      <c r="CT339" s="52">
        <f t="shared" ref="CT339:DY339" si="1141">CT50/CT334</f>
        <v>1.3802981501011884</v>
      </c>
      <c r="CU339" s="52">
        <f t="shared" si="1141"/>
        <v>0.98564356906003858</v>
      </c>
      <c r="CV339" s="52">
        <f t="shared" si="1141"/>
        <v>0.5031444154612289</v>
      </c>
      <c r="CW339" s="52">
        <f t="shared" si="1141"/>
        <v>0.48838510789660933</v>
      </c>
      <c r="CX339" s="52">
        <f t="shared" si="1141"/>
        <v>0.59895808666824624</v>
      </c>
      <c r="CY339" s="52">
        <f t="shared" si="1141"/>
        <v>0.44221509587460089</v>
      </c>
      <c r="CZ339" s="52">
        <f t="shared" si="1141"/>
        <v>-0.34720974438024271</v>
      </c>
      <c r="DA339" s="52">
        <f t="shared" si="1141"/>
        <v>0.78947020243068033</v>
      </c>
      <c r="DB339" s="52">
        <f t="shared" si="1141"/>
        <v>0.98225990512208616</v>
      </c>
      <c r="DC339" s="52">
        <f t="shared" si="1141"/>
        <v>0.9274750035206305</v>
      </c>
      <c r="DD339" s="52">
        <f t="shared" si="1141"/>
        <v>1.0267758643256475</v>
      </c>
      <c r="DE339" s="52">
        <f t="shared" si="1141"/>
        <v>1.1340668372779406</v>
      </c>
      <c r="DF339" s="52">
        <f t="shared" si="1141"/>
        <v>1.3461272927434556</v>
      </c>
      <c r="DG339" s="52">
        <f t="shared" si="1141"/>
        <v>1.2079806304418674</v>
      </c>
      <c r="DH339" s="52">
        <f t="shared" si="1141"/>
        <v>1.4009587351424071</v>
      </c>
      <c r="DI339" s="52">
        <f t="shared" si="1141"/>
        <v>1.4864941577179627</v>
      </c>
      <c r="DJ339" s="52">
        <f t="shared" si="1141"/>
        <v>1.5075802658052073</v>
      </c>
      <c r="DK339" s="52">
        <f t="shared" si="1141"/>
        <v>1.4209130410247734</v>
      </c>
      <c r="DL339" s="52">
        <f t="shared" si="1141"/>
        <v>2.5007892511509908</v>
      </c>
      <c r="DM339" s="52">
        <f t="shared" si="1141"/>
        <v>1.5001314282495637</v>
      </c>
      <c r="DN339" s="52">
        <f t="shared" si="1141"/>
        <v>1.6162726670337566</v>
      </c>
      <c r="DO339" s="52">
        <f t="shared" si="1141"/>
        <v>1.6210117743193564</v>
      </c>
      <c r="DP339" s="52">
        <f t="shared" si="1141"/>
        <v>1.7781055512914163</v>
      </c>
      <c r="DQ339" s="52">
        <f t="shared" si="1141"/>
        <v>1.5586642766063608</v>
      </c>
      <c r="DR339" s="52">
        <f t="shared" si="1141"/>
        <v>1.8804886406786887</v>
      </c>
      <c r="DS339" s="52">
        <f t="shared" si="1141"/>
        <v>1.3891545807554393</v>
      </c>
      <c r="DT339" s="52">
        <f t="shared" si="1141"/>
        <v>0.84401590309515828</v>
      </c>
      <c r="DU339" s="52">
        <f t="shared" si="1141"/>
        <v>-0.19689994431037766</v>
      </c>
      <c r="DV339" s="52">
        <f t="shared" si="1141"/>
        <v>0.14836998850276334</v>
      </c>
      <c r="DW339" s="52">
        <f t="shared" si="1141"/>
        <v>0.19631714407391618</v>
      </c>
      <c r="DX339" s="52">
        <f t="shared" si="1141"/>
        <v>-0.19621090821586845</v>
      </c>
      <c r="DY339" s="52">
        <f t="shared" si="1141"/>
        <v>-0.67410478773126503</v>
      </c>
      <c r="DZ339" s="52">
        <f t="shared" ref="DZ339:EP339" si="1142">DZ50/DZ334</f>
        <v>-0.3244507263810491</v>
      </c>
      <c r="EA339" s="52">
        <f t="shared" si="1142"/>
        <v>-0.44966609865057794</v>
      </c>
      <c r="EB339" s="52">
        <f t="shared" ref="EB339:EC339" si="1143">EB50/EB334</f>
        <v>-0.20077920642522915</v>
      </c>
      <c r="EC339" s="52">
        <f t="shared" si="1143"/>
        <v>-0.20749990790879386</v>
      </c>
      <c r="ED339" s="52">
        <f t="shared" si="1142"/>
        <v>4.6015067121812967</v>
      </c>
      <c r="EE339" s="52">
        <f t="shared" si="1142"/>
        <v>-2.6017058300743696E-2</v>
      </c>
      <c r="EF339" s="52">
        <f t="shared" si="1142"/>
        <v>6.6248634920590646E-2</v>
      </c>
      <c r="EG339" s="52">
        <f t="shared" si="1142"/>
        <v>0.23390408797708834</v>
      </c>
      <c r="EH339" s="52">
        <f t="shared" si="1142"/>
        <v>0.34116368442823336</v>
      </c>
      <c r="EI339" s="52">
        <f t="shared" si="1142"/>
        <v>0.4249235867437296</v>
      </c>
      <c r="EJ339" s="52">
        <f t="shared" si="1142"/>
        <v>0.48608078273089811</v>
      </c>
      <c r="EK339" s="52">
        <f t="shared" si="1142"/>
        <v>0.53872014531224166</v>
      </c>
      <c r="EL339" s="52">
        <f t="shared" si="1142"/>
        <v>0.616322621999567</v>
      </c>
      <c r="EM339" s="52">
        <f t="shared" si="1142"/>
        <v>0.58013742089165588</v>
      </c>
      <c r="EN339" s="52">
        <f t="shared" si="1142"/>
        <v>0.56459743289655928</v>
      </c>
      <c r="EO339" s="52">
        <f t="shared" si="1142"/>
        <v>0.56895287056887456</v>
      </c>
      <c r="EP339" s="52">
        <f t="shared" si="1142"/>
        <v>0.55328301160240623</v>
      </c>
      <c r="EQ339" s="5"/>
      <c r="ER339" s="5"/>
      <c r="ES339" s="355">
        <f t="shared" si="1105"/>
        <v>334</v>
      </c>
      <c r="ET339"/>
      <c r="EU339"/>
      <c r="EV339"/>
      <c r="EW339"/>
      <c r="EX339"/>
      <c r="EY339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</row>
    <row r="340" spans="1:257" s="4" customFormat="1" hidden="1" outlineLevel="2">
      <c r="A340" s="15"/>
      <c r="B340" s="54" t="s">
        <v>28</v>
      </c>
      <c r="C340" s="10"/>
      <c r="D340" s="10"/>
      <c r="E340" s="52">
        <f t="shared" ref="E340:AF340" si="1144">E42/E334</f>
        <v>0.23419179660180239</v>
      </c>
      <c r="F340" s="52">
        <f t="shared" si="1144"/>
        <v>0.21472599934469189</v>
      </c>
      <c r="G340" s="52">
        <f t="shared" si="1144"/>
        <v>0.16207817085099435</v>
      </c>
      <c r="H340" s="52">
        <f t="shared" si="1144"/>
        <v>0.45646010530579184</v>
      </c>
      <c r="I340" s="52">
        <f t="shared" si="1144"/>
        <v>0.84562767432049657</v>
      </c>
      <c r="J340" s="52">
        <f t="shared" si="1144"/>
        <v>0.77817530231440746</v>
      </c>
      <c r="K340" s="52">
        <f t="shared" si="1144"/>
        <v>0.3546290843368603</v>
      </c>
      <c r="L340" s="52">
        <f t="shared" si="1144"/>
        <v>0.75251342512213848</v>
      </c>
      <c r="M340" s="52">
        <f t="shared" si="1144"/>
        <v>1.4300909254231875</v>
      </c>
      <c r="N340" s="52">
        <f t="shared" si="1144"/>
        <v>0.38553547415955863</v>
      </c>
      <c r="O340" s="52">
        <f t="shared" si="1144"/>
        <v>0.14819740602330159</v>
      </c>
      <c r="P340" s="52">
        <f t="shared" si="1144"/>
        <v>0.14010444824296431</v>
      </c>
      <c r="Q340" s="52">
        <f t="shared" si="1144"/>
        <v>1.0185285884863089</v>
      </c>
      <c r="R340" s="52">
        <f t="shared" si="1144"/>
        <v>2.6383296069101263</v>
      </c>
      <c r="S340" s="52">
        <f t="shared" si="1144"/>
        <v>3.5806650022257021</v>
      </c>
      <c r="T340" s="52">
        <f t="shared" si="1144"/>
        <v>4.2220434582486295</v>
      </c>
      <c r="U340" s="52">
        <f t="shared" si="1144"/>
        <v>3.3166876785934662</v>
      </c>
      <c r="V340" s="52">
        <f t="shared" si="1144"/>
        <v>2.5950019274293301</v>
      </c>
      <c r="W340" s="52">
        <f t="shared" si="1144"/>
        <v>4.0478482045319213</v>
      </c>
      <c r="X340" s="52">
        <f t="shared" si="1144"/>
        <v>5.2408334542526962</v>
      </c>
      <c r="Y340" s="52">
        <f t="shared" si="1144"/>
        <v>5.644674499288473</v>
      </c>
      <c r="Z340" s="52">
        <f t="shared" si="1144"/>
        <v>6.2319285053014397</v>
      </c>
      <c r="AA340" s="52">
        <f t="shared" si="1144"/>
        <v>2.9174878042555759</v>
      </c>
      <c r="AB340" s="52">
        <f t="shared" si="1144"/>
        <v>-1.0155732938234998</v>
      </c>
      <c r="AC340" s="52">
        <f t="shared" si="1144"/>
        <v>-1.2487189571110811</v>
      </c>
      <c r="AD340" s="52">
        <f t="shared" si="1144"/>
        <v>0.21984705929141765</v>
      </c>
      <c r="AE340" s="52">
        <f t="shared" si="1144"/>
        <v>1.7725553755983456</v>
      </c>
      <c r="AF340" s="52">
        <f t="shared" si="1144"/>
        <v>2.3300024644913457</v>
      </c>
      <c r="AG340" s="53"/>
      <c r="AH340" s="52">
        <f t="shared" ref="AH340:BM340" si="1145">AH42/AH334</f>
        <v>6.5042041218944996E-2</v>
      </c>
      <c r="AI340" s="52">
        <f t="shared" si="1145"/>
        <v>7.1346353426458647E-2</v>
      </c>
      <c r="AJ340" s="52">
        <f t="shared" si="1145"/>
        <v>5.0934768006919227E-2</v>
      </c>
      <c r="AK340" s="52">
        <f t="shared" si="1145"/>
        <v>4.6945711477759874E-2</v>
      </c>
      <c r="AL340" s="52">
        <f t="shared" si="1145"/>
        <v>7.4411112934996762E-2</v>
      </c>
      <c r="AM340" s="52">
        <f t="shared" si="1145"/>
        <v>6.3042854801704282E-2</v>
      </c>
      <c r="AN340" s="52">
        <f t="shared" si="1145"/>
        <v>4.7663857294820491E-2</v>
      </c>
      <c r="AO340" s="52">
        <f t="shared" si="1145"/>
        <v>2.968788349832252E-2</v>
      </c>
      <c r="AP340" s="52">
        <f t="shared" si="1145"/>
        <v>4.5099881531108374E-2</v>
      </c>
      <c r="AQ340" s="52">
        <f t="shared" si="1145"/>
        <v>4.8000517614955808E-2</v>
      </c>
      <c r="AR340" s="52">
        <f t="shared" si="1145"/>
        <v>3.9683039107411631E-2</v>
      </c>
      <c r="AS340" s="52">
        <f t="shared" si="1145"/>
        <v>2.9345395405570119E-2</v>
      </c>
      <c r="AT340" s="52">
        <f t="shared" si="1145"/>
        <v>9.620777953908069E-2</v>
      </c>
      <c r="AU340" s="52">
        <f t="shared" si="1145"/>
        <v>9.9391604137091819E-2</v>
      </c>
      <c r="AV340" s="52">
        <f t="shared" si="1145"/>
        <v>0.12431798892616094</v>
      </c>
      <c r="AW340" s="52">
        <f t="shared" si="1145"/>
        <v>0.13637465164182749</v>
      </c>
      <c r="AX340" s="52">
        <f t="shared" si="1145"/>
        <v>0.20266459890032426</v>
      </c>
      <c r="AY340" s="52">
        <f t="shared" si="1145"/>
        <v>0.2254696866073943</v>
      </c>
      <c r="AZ340" s="52">
        <f t="shared" si="1145"/>
        <v>0.23726772885981465</v>
      </c>
      <c r="BA340" s="52">
        <f t="shared" si="1145"/>
        <v>0.18027926357753929</v>
      </c>
      <c r="BB340" s="52">
        <f t="shared" si="1145"/>
        <v>0.25486941567011967</v>
      </c>
      <c r="BC340" s="52">
        <f t="shared" si="1145"/>
        <v>0.19316910413170302</v>
      </c>
      <c r="BD340" s="52">
        <f t="shared" si="1145"/>
        <v>0.20688326211110655</v>
      </c>
      <c r="BE340" s="52">
        <f t="shared" si="1145"/>
        <v>0.12273441275978861</v>
      </c>
      <c r="BF340" s="52">
        <f t="shared" si="1145"/>
        <v>6.5471107315684535E-2</v>
      </c>
      <c r="BG340" s="52">
        <f t="shared" si="1145"/>
        <v>7.4718484491239509E-2</v>
      </c>
      <c r="BH340" s="52">
        <f t="shared" si="1145"/>
        <v>0.11638106066758698</v>
      </c>
      <c r="BI340" s="52">
        <f t="shared" si="1145"/>
        <v>9.7993514389947911E-2</v>
      </c>
      <c r="BJ340" s="52">
        <f t="shared" si="1145"/>
        <v>0.18923867521799817</v>
      </c>
      <c r="BK340" s="52">
        <f t="shared" si="1145"/>
        <v>0.13426843574289071</v>
      </c>
      <c r="BL340" s="52">
        <f t="shared" si="1145"/>
        <v>0.18717596982106469</v>
      </c>
      <c r="BM340" s="52">
        <f t="shared" si="1145"/>
        <v>0.24156839859942847</v>
      </c>
      <c r="BN340" s="52">
        <f t="shared" ref="BN340:CS340" si="1146">BN42/BN334</f>
        <v>0.33963627604480301</v>
      </c>
      <c r="BO340" s="52">
        <f t="shared" si="1146"/>
        <v>0.41511444907066175</v>
      </c>
      <c r="BP340" s="52">
        <f t="shared" si="1146"/>
        <v>0.38652981156002952</v>
      </c>
      <c r="BQ340" s="52">
        <f t="shared" si="1146"/>
        <v>0.28808253351233287</v>
      </c>
      <c r="BR340" s="52">
        <f t="shared" si="1146"/>
        <v>0.18223218594177257</v>
      </c>
      <c r="BS340" s="52">
        <f t="shared" si="1146"/>
        <v>7.8382341126375835E-2</v>
      </c>
      <c r="BT340" s="52">
        <f t="shared" si="1146"/>
        <v>7.1036004412797116E-2</v>
      </c>
      <c r="BU340" s="52">
        <f t="shared" si="1146"/>
        <v>5.412161214719257E-2</v>
      </c>
      <c r="BV340" s="52">
        <f t="shared" si="1146"/>
        <v>6.0725504711979673E-3</v>
      </c>
      <c r="BW340" s="52">
        <f t="shared" si="1146"/>
        <v>2.5728165044079779E-2</v>
      </c>
      <c r="BX340" s="52">
        <f t="shared" si="1146"/>
        <v>8.1546608052752476E-2</v>
      </c>
      <c r="BY340" s="52">
        <f t="shared" si="1146"/>
        <v>3.4807815119342195E-2</v>
      </c>
      <c r="BZ340" s="52">
        <f t="shared" si="1146"/>
        <v>3.8571699166566872E-2</v>
      </c>
      <c r="CA340" s="52">
        <f t="shared" si="1146"/>
        <v>2.3569126395161413E-2</v>
      </c>
      <c r="CB340" s="52">
        <f t="shared" si="1146"/>
        <v>4.2646020157130433E-2</v>
      </c>
      <c r="CC340" s="52">
        <f t="shared" si="1146"/>
        <v>3.5303712370602605E-2</v>
      </c>
      <c r="CD340" s="52">
        <f t="shared" si="1146"/>
        <v>0.17559305937518552</v>
      </c>
      <c r="CE340" s="52">
        <f t="shared" si="1146"/>
        <v>0.21389804729663439</v>
      </c>
      <c r="CF340" s="52">
        <f t="shared" si="1146"/>
        <v>0.2876000819784123</v>
      </c>
      <c r="CG340" s="52">
        <f t="shared" si="1146"/>
        <v>0.33952553012176595</v>
      </c>
      <c r="CH340" s="52">
        <f t="shared" si="1146"/>
        <v>0.46602508005808413</v>
      </c>
      <c r="CI340" s="52">
        <f t="shared" si="1146"/>
        <v>0.59503808768291144</v>
      </c>
      <c r="CJ340" s="52">
        <f t="shared" si="1146"/>
        <v>0.69168198135575498</v>
      </c>
      <c r="CK340" s="52">
        <f t="shared" si="1146"/>
        <v>0.88345047284363332</v>
      </c>
      <c r="CL340" s="52">
        <f t="shared" si="1146"/>
        <v>0.90618011460430503</v>
      </c>
      <c r="CM340" s="52">
        <f t="shared" si="1146"/>
        <v>0.80147889847828802</v>
      </c>
      <c r="CN340" s="52">
        <f t="shared" si="1146"/>
        <v>0.88342614906651906</v>
      </c>
      <c r="CO340" s="52">
        <f t="shared" si="1146"/>
        <v>0.98939222034307817</v>
      </c>
      <c r="CP340" s="52">
        <f t="shared" si="1146"/>
        <v>1.0071120385666954</v>
      </c>
      <c r="CQ340" s="52">
        <f t="shared" si="1146"/>
        <v>0.93809728251975733</v>
      </c>
      <c r="CR340" s="52">
        <f t="shared" si="1146"/>
        <v>1.1263979718741033</v>
      </c>
      <c r="CS340" s="52">
        <f t="shared" si="1146"/>
        <v>1.1486601210899996</v>
      </c>
      <c r="CT340" s="52">
        <f t="shared" ref="CT340:DY340" si="1147">CT42/CT334</f>
        <v>1.3732822164581135</v>
      </c>
      <c r="CU340" s="52">
        <f t="shared" si="1147"/>
        <v>0.97353799085977066</v>
      </c>
      <c r="CV340" s="52">
        <f t="shared" si="1147"/>
        <v>0.49051126393170552</v>
      </c>
      <c r="CW340" s="52">
        <f t="shared" si="1147"/>
        <v>0.48050557268200178</v>
      </c>
      <c r="CX340" s="52">
        <f t="shared" si="1147"/>
        <v>0.59466066777172688</v>
      </c>
      <c r="CY340" s="52">
        <f t="shared" si="1147"/>
        <v>0.62030583382996984</v>
      </c>
      <c r="CZ340" s="52">
        <f t="shared" si="1147"/>
        <v>0.59976688764268082</v>
      </c>
      <c r="DA340" s="52">
        <f t="shared" si="1147"/>
        <v>0.78008581095129204</v>
      </c>
      <c r="DB340" s="52">
        <f t="shared" si="1147"/>
        <v>0.96792588959832426</v>
      </c>
      <c r="DC340" s="52">
        <f t="shared" si="1147"/>
        <v>0.94455006337135583</v>
      </c>
      <c r="DD340" s="52">
        <f t="shared" si="1147"/>
        <v>1.0217689459808146</v>
      </c>
      <c r="DE340" s="52">
        <f t="shared" si="1147"/>
        <v>1.1128402107111499</v>
      </c>
      <c r="DF340" s="52">
        <f t="shared" si="1147"/>
        <v>1.3178311533222624</v>
      </c>
      <c r="DG340" s="52">
        <f t="shared" si="1147"/>
        <v>1.1574149089723886</v>
      </c>
      <c r="DH340" s="52">
        <f t="shared" si="1147"/>
        <v>1.3837276668909306</v>
      </c>
      <c r="DI340" s="52">
        <f t="shared" si="1147"/>
        <v>1.3832764085339899</v>
      </c>
      <c r="DJ340" s="52">
        <f t="shared" si="1147"/>
        <v>1.4218769777173235</v>
      </c>
      <c r="DK340" s="52">
        <f t="shared" si="1147"/>
        <v>1.3883109493444692</v>
      </c>
      <c r="DL340" s="52">
        <f t="shared" si="1147"/>
        <v>1.4635546838297473</v>
      </c>
      <c r="DM340" s="52">
        <f t="shared" si="1147"/>
        <v>1.3710009199977469</v>
      </c>
      <c r="DN340" s="52">
        <f t="shared" si="1147"/>
        <v>1.5192024638587387</v>
      </c>
      <c r="DO340" s="52">
        <f t="shared" si="1147"/>
        <v>1.4557627307506604</v>
      </c>
      <c r="DP340" s="52">
        <f t="shared" si="1147"/>
        <v>1.6367210113097264</v>
      </c>
      <c r="DQ340" s="52">
        <f t="shared" si="1147"/>
        <v>1.6194167760057656</v>
      </c>
      <c r="DR340" s="52">
        <f t="shared" si="1147"/>
        <v>1.7220058718383304</v>
      </c>
      <c r="DS340" s="52">
        <f t="shared" si="1147"/>
        <v>0.97000570388124041</v>
      </c>
      <c r="DT340" s="52">
        <f t="shared" si="1147"/>
        <v>0.28001672054397492</v>
      </c>
      <c r="DU340" s="52">
        <f t="shared" si="1147"/>
        <v>-5.684425468721073E-2</v>
      </c>
      <c r="DV340" s="52">
        <f t="shared" si="1147"/>
        <v>4.6889255646627145E-2</v>
      </c>
      <c r="DW340" s="52">
        <f t="shared" si="1147"/>
        <v>-0.26902994056326046</v>
      </c>
      <c r="DX340" s="52">
        <f t="shared" si="1147"/>
        <v>-0.46847492295019699</v>
      </c>
      <c r="DY340" s="52">
        <f t="shared" si="1147"/>
        <v>-0.32441946560293206</v>
      </c>
      <c r="DZ340" s="52">
        <f t="shared" ref="DZ340:EP340" si="1148">DZ42/DZ334</f>
        <v>-0.39974081613768836</v>
      </c>
      <c r="EA340" s="52">
        <f t="shared" si="1148"/>
        <v>-0.46648827891125128</v>
      </c>
      <c r="EB340" s="52">
        <f t="shared" ref="EB340:EC340" si="1149">EB42/EB334</f>
        <v>-0.25299230004052592</v>
      </c>
      <c r="EC340" s="52">
        <f t="shared" si="1149"/>
        <v>-0.12993921980329415</v>
      </c>
      <c r="ED340" s="52">
        <f t="shared" si="1148"/>
        <v>1.9114341709374139E-2</v>
      </c>
      <c r="EE340" s="52">
        <f t="shared" si="1148"/>
        <v>-6.2764616696149134E-2</v>
      </c>
      <c r="EF340" s="52">
        <f t="shared" si="1148"/>
        <v>4.7876692917088279E-2</v>
      </c>
      <c r="EG340" s="52">
        <f t="shared" si="1148"/>
        <v>0.21553398298408527</v>
      </c>
      <c r="EH340" s="52">
        <f t="shared" si="1148"/>
        <v>0.32279541626204689</v>
      </c>
      <c r="EI340" s="52">
        <f t="shared" si="1148"/>
        <v>0.4249235867437296</v>
      </c>
      <c r="EJ340" s="52">
        <f t="shared" si="1148"/>
        <v>0.48608078273089811</v>
      </c>
      <c r="EK340" s="52">
        <f t="shared" si="1148"/>
        <v>0.53872014531224166</v>
      </c>
      <c r="EL340" s="52">
        <f t="shared" si="1148"/>
        <v>0.616322621999567</v>
      </c>
      <c r="EM340" s="52">
        <f t="shared" si="1148"/>
        <v>0.58013742089165588</v>
      </c>
      <c r="EN340" s="52">
        <f t="shared" si="1148"/>
        <v>0.56459743289655928</v>
      </c>
      <c r="EO340" s="52">
        <f t="shared" si="1148"/>
        <v>0.56895287056887456</v>
      </c>
      <c r="EP340" s="52">
        <f t="shared" si="1148"/>
        <v>0.55328301160240623</v>
      </c>
      <c r="EQ340" s="5"/>
      <c r="ER340" s="5"/>
      <c r="ES340" s="355">
        <f t="shared" si="1105"/>
        <v>335</v>
      </c>
      <c r="ET340"/>
      <c r="EU340"/>
      <c r="EV340"/>
      <c r="EW340"/>
      <c r="EX340"/>
      <c r="EY340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</row>
    <row r="341" spans="1:257" s="4" customFormat="1" hidden="1" outlineLevel="2">
      <c r="A341" s="15"/>
      <c r="B341" s="51"/>
      <c r="C341" s="10"/>
      <c r="D341" s="1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50"/>
      <c r="AG341" s="17"/>
      <c r="AH341" s="50"/>
      <c r="AI341" s="50"/>
      <c r="AJ341" s="50"/>
      <c r="AK341" s="50"/>
      <c r="AL341" s="50"/>
      <c r="AM341" s="50"/>
      <c r="AN341" s="50"/>
      <c r="AO341" s="50"/>
      <c r="AP341" s="50"/>
      <c r="AQ341" s="50"/>
      <c r="AR341" s="50"/>
      <c r="AS341" s="50"/>
      <c r="AT341" s="50"/>
      <c r="AU341" s="50"/>
      <c r="AV341" s="50"/>
      <c r="AW341" s="50"/>
      <c r="AX341" s="50"/>
      <c r="AY341" s="50"/>
      <c r="AZ341" s="50"/>
      <c r="BA341" s="50"/>
      <c r="BB341" s="50"/>
      <c r="BC341" s="50"/>
      <c r="BD341" s="50"/>
      <c r="BE341" s="50"/>
      <c r="BF341" s="50"/>
      <c r="BG341" s="50"/>
      <c r="BH341" s="50"/>
      <c r="BI341" s="50"/>
      <c r="BJ341" s="50"/>
      <c r="BK341" s="50"/>
      <c r="BL341" s="50"/>
      <c r="BM341" s="50"/>
      <c r="BN341" s="50"/>
      <c r="BO341" s="50"/>
      <c r="BP341" s="50"/>
      <c r="BQ341" s="50"/>
      <c r="BR341" s="50"/>
      <c r="BS341" s="50"/>
      <c r="BT341" s="50"/>
      <c r="BU341" s="50"/>
      <c r="BV341" s="50"/>
      <c r="BW341" s="50"/>
      <c r="BX341" s="50"/>
      <c r="BY341" s="50"/>
      <c r="BZ341" s="50"/>
      <c r="CA341" s="50"/>
      <c r="CB341" s="50"/>
      <c r="CC341" s="50"/>
      <c r="CD341" s="50"/>
      <c r="CE341" s="50"/>
      <c r="CF341" s="50"/>
      <c r="CG341" s="50"/>
      <c r="CH341" s="50"/>
      <c r="CI341" s="50"/>
      <c r="CJ341" s="50"/>
      <c r="CK341" s="50"/>
      <c r="CL341" s="50"/>
      <c r="CM341" s="50"/>
      <c r="CN341" s="50"/>
      <c r="CO341" s="50"/>
      <c r="CP341" s="50"/>
      <c r="CQ341" s="50"/>
      <c r="CR341" s="50"/>
      <c r="CS341" s="50"/>
      <c r="CT341" s="50"/>
      <c r="CU341" s="50"/>
      <c r="CV341" s="50"/>
      <c r="CW341" s="50"/>
      <c r="CX341" s="50"/>
      <c r="CY341" s="50"/>
      <c r="CZ341" s="50"/>
      <c r="DA341" s="50"/>
      <c r="DB341" s="50"/>
      <c r="DC341" s="50"/>
      <c r="DD341" s="50"/>
      <c r="DE341" s="50"/>
      <c r="DF341" s="50"/>
      <c r="DG341" s="50"/>
      <c r="DH341" s="50"/>
      <c r="DI341" s="50"/>
      <c r="DJ341" s="50"/>
      <c r="DK341" s="50"/>
      <c r="DL341" s="50"/>
      <c r="DM341" s="50"/>
      <c r="DN341" s="50"/>
      <c r="DO341" s="50"/>
      <c r="DP341" s="50"/>
      <c r="DQ341" s="50"/>
      <c r="DR341" s="50"/>
      <c r="DS341" s="50"/>
      <c r="DT341" s="50"/>
      <c r="DU341" s="50"/>
      <c r="DV341" s="50"/>
      <c r="DW341" s="50"/>
      <c r="DX341" s="50"/>
      <c r="DY341" s="50"/>
      <c r="DZ341" s="50"/>
      <c r="EA341" s="50"/>
      <c r="EB341" s="50"/>
      <c r="EC341" s="50"/>
      <c r="ED341" s="50"/>
      <c r="EE341" s="49"/>
      <c r="EF341" s="49"/>
      <c r="EG341" s="49"/>
      <c r="EH341" s="49"/>
      <c r="EI341" s="49"/>
      <c r="EJ341" s="49"/>
      <c r="EK341" s="49"/>
      <c r="EL341" s="49"/>
      <c r="EM341" s="49"/>
      <c r="EN341" s="49"/>
      <c r="EO341" s="49"/>
      <c r="EP341" s="49"/>
      <c r="EQ341" s="5"/>
      <c r="ER341" s="5"/>
      <c r="ES341" s="355">
        <f t="shared" si="1105"/>
        <v>336</v>
      </c>
      <c r="ET341"/>
      <c r="EU341"/>
      <c r="EV341"/>
      <c r="EW341"/>
      <c r="EX341"/>
      <c r="EY34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</row>
    <row r="342" spans="1:257" s="4" customFormat="1" ht="12.75" hidden="1" customHeight="1" outlineLevel="2">
      <c r="A342" s="15"/>
      <c r="B342" s="5" t="s">
        <v>27</v>
      </c>
      <c r="C342" s="48"/>
      <c r="D342" s="48"/>
      <c r="E342" s="48">
        <f t="shared" ref="E342:AF342" si="1150">E278/E336</f>
        <v>5.1641539504726977</v>
      </c>
      <c r="F342" s="48">
        <f t="shared" si="1150"/>
        <v>5.3048525235336861</v>
      </c>
      <c r="G342" s="48">
        <f t="shared" si="1150"/>
        <v>5.6778076950100598</v>
      </c>
      <c r="H342" s="48">
        <f t="shared" si="1150"/>
        <v>6.4893860860136341</v>
      </c>
      <c r="I342" s="48">
        <f t="shared" si="1150"/>
        <v>7.8013915896405255</v>
      </c>
      <c r="J342" s="48">
        <f t="shared" si="1150"/>
        <v>8.030604644140297</v>
      </c>
      <c r="K342" s="48">
        <f t="shared" si="1150"/>
        <v>8.5450639887621058</v>
      </c>
      <c r="L342" s="48">
        <f t="shared" si="1150"/>
        <v>9.5607640520081514</v>
      </c>
      <c r="M342" s="48">
        <f t="shared" si="1150"/>
        <v>10.295079331255979</v>
      </c>
      <c r="N342" s="48">
        <f t="shared" si="1150"/>
        <v>8.9497901147895043</v>
      </c>
      <c r="O342" s="48">
        <f t="shared" si="1150"/>
        <v>9.1468322806751061</v>
      </c>
      <c r="P342" s="48">
        <f t="shared" si="1150"/>
        <v>9.060383579596774</v>
      </c>
      <c r="Q342" s="48">
        <f t="shared" si="1150"/>
        <v>10.390358333434422</v>
      </c>
      <c r="R342" s="48">
        <f t="shared" si="1150"/>
        <v>13.304162783896629</v>
      </c>
      <c r="S342" s="48">
        <f t="shared" si="1150"/>
        <v>17.543769628398984</v>
      </c>
      <c r="T342" s="48">
        <f t="shared" si="1150"/>
        <v>21.530335250507115</v>
      </c>
      <c r="U342" s="48">
        <f t="shared" si="1150"/>
        <v>25.434687591131574</v>
      </c>
      <c r="V342" s="48">
        <f t="shared" si="1150"/>
        <v>26.530781131405874</v>
      </c>
      <c r="W342" s="48">
        <f t="shared" si="1150"/>
        <v>30.519660781552663</v>
      </c>
      <c r="X342" s="48">
        <f t="shared" si="1150"/>
        <v>35.641613362755074</v>
      </c>
      <c r="Y342" s="48">
        <f t="shared" si="1150"/>
        <v>41.640303318207017</v>
      </c>
      <c r="Z342" s="48">
        <f t="shared" si="1150"/>
        <v>45.179526046345565</v>
      </c>
      <c r="AA342" s="48">
        <f t="shared" si="1150"/>
        <v>45.444434922954564</v>
      </c>
      <c r="AB342" s="48">
        <f t="shared" si="1150"/>
        <v>42.200341834866606</v>
      </c>
      <c r="AC342" s="48">
        <f t="shared" si="1150"/>
        <v>38.346554433648322</v>
      </c>
      <c r="AD342" s="48">
        <f t="shared" si="1150"/>
        <v>40.534033529779741</v>
      </c>
      <c r="AE342" s="48">
        <f t="shared" si="1150"/>
        <v>39.783724606619415</v>
      </c>
      <c r="AF342" s="48">
        <f t="shared" si="1150"/>
        <v>39.583737878586092</v>
      </c>
      <c r="AG342" s="17"/>
      <c r="AH342" s="48"/>
      <c r="AI342" s="48"/>
      <c r="AJ342" s="48"/>
      <c r="AK342" s="48"/>
      <c r="AL342" s="48">
        <f t="shared" ref="AL342:BQ342" si="1151">AL278/AL336</f>
        <v>5.3668242964386268</v>
      </c>
      <c r="AM342" s="48">
        <f t="shared" si="1151"/>
        <v>5.2759962387021861</v>
      </c>
      <c r="AN342" s="48">
        <f t="shared" si="1151"/>
        <v>5.4196657432207056</v>
      </c>
      <c r="AO342" s="48">
        <f t="shared" si="1151"/>
        <v>5.3048525235336861</v>
      </c>
      <c r="AP342" s="48">
        <f t="shared" si="1151"/>
        <v>5.6591075347476227</v>
      </c>
      <c r="AQ342" s="48">
        <f t="shared" si="1151"/>
        <v>5.7947453665737241</v>
      </c>
      <c r="AR342" s="48">
        <f t="shared" si="1151"/>
        <v>5.7449612246546575</v>
      </c>
      <c r="AS342" s="48">
        <f t="shared" si="1151"/>
        <v>5.6778076950100598</v>
      </c>
      <c r="AT342" s="48">
        <f t="shared" si="1151"/>
        <v>5.8167703117428529</v>
      </c>
      <c r="AU342" s="48">
        <f t="shared" si="1151"/>
        <v>5.9752125216550516</v>
      </c>
      <c r="AV342" s="48">
        <f t="shared" si="1151"/>
        <v>6.1336809050283829</v>
      </c>
      <c r="AW342" s="48">
        <f t="shared" si="1151"/>
        <v>6.4893860860136341</v>
      </c>
      <c r="AX342" s="48">
        <f t="shared" si="1151"/>
        <v>6.6190078735232261</v>
      </c>
      <c r="AY342" s="48">
        <f t="shared" si="1151"/>
        <v>6.9738578476595405</v>
      </c>
      <c r="AZ342" s="48">
        <f t="shared" si="1151"/>
        <v>7.270313525119783</v>
      </c>
      <c r="BA342" s="48">
        <f t="shared" si="1151"/>
        <v>7.8013915896405255</v>
      </c>
      <c r="BB342" s="48">
        <f t="shared" si="1151"/>
        <v>7.969821155032129</v>
      </c>
      <c r="BC342" s="48">
        <f t="shared" si="1151"/>
        <v>8.1372964960095011</v>
      </c>
      <c r="BD342" s="48">
        <f t="shared" si="1151"/>
        <v>8.23475910506499</v>
      </c>
      <c r="BE342" s="48">
        <f t="shared" si="1151"/>
        <v>8.030604644140297</v>
      </c>
      <c r="BF342" s="48">
        <f t="shared" si="1151"/>
        <v>8.1109233664528393</v>
      </c>
      <c r="BG342" s="48">
        <f t="shared" si="1151"/>
        <v>8.2625270568243891</v>
      </c>
      <c r="BH342" s="48">
        <f t="shared" si="1151"/>
        <v>8.466098955492253</v>
      </c>
      <c r="BI342" s="48">
        <f t="shared" si="1151"/>
        <v>8.5450639887621058</v>
      </c>
      <c r="BJ342" s="48">
        <f t="shared" si="1151"/>
        <v>8.7564846141453181</v>
      </c>
      <c r="BK342" s="48">
        <f t="shared" si="1151"/>
        <v>9.1285725778877289</v>
      </c>
      <c r="BL342" s="48">
        <f t="shared" si="1151"/>
        <v>9.1780757350876492</v>
      </c>
      <c r="BM342" s="48">
        <f t="shared" si="1151"/>
        <v>9.5607640520081514</v>
      </c>
      <c r="BN342" s="48">
        <f t="shared" si="1151"/>
        <v>9.7871202139976834</v>
      </c>
      <c r="BO342" s="48">
        <f t="shared" si="1151"/>
        <v>9.9613408682250189</v>
      </c>
      <c r="BP342" s="48">
        <f t="shared" si="1151"/>
        <v>10.329641642275135</v>
      </c>
      <c r="BQ342" s="48">
        <f t="shared" si="1151"/>
        <v>10.295079331255979</v>
      </c>
      <c r="BR342" s="48">
        <f t="shared" ref="BR342:CW342" si="1152">BR278/BR336</f>
        <v>10.589761331728839</v>
      </c>
      <c r="BS342" s="48">
        <f t="shared" si="1152"/>
        <v>10.702386917049118</v>
      </c>
      <c r="BT342" s="48">
        <f t="shared" si="1152"/>
        <v>10.618705107941016</v>
      </c>
      <c r="BU342" s="48">
        <f t="shared" si="1152"/>
        <v>8.9497901147895043</v>
      </c>
      <c r="BV342" s="48">
        <f t="shared" si="1152"/>
        <v>8.9769901243452868</v>
      </c>
      <c r="BW342" s="48">
        <f t="shared" si="1152"/>
        <v>8.9261772465622009</v>
      </c>
      <c r="BX342" s="48">
        <f t="shared" si="1152"/>
        <v>9.1007526001636947</v>
      </c>
      <c r="BY342" s="48">
        <f t="shared" si="1152"/>
        <v>9.1468322806751061</v>
      </c>
      <c r="BZ342" s="48">
        <f t="shared" si="1152"/>
        <v>9.2274357799079301</v>
      </c>
      <c r="CA342" s="48">
        <f t="shared" si="1152"/>
        <v>9.2979538372993034</v>
      </c>
      <c r="CB342" s="48">
        <f t="shared" si="1152"/>
        <v>9.2910888928564326</v>
      </c>
      <c r="CC342" s="48">
        <f t="shared" si="1152"/>
        <v>9.060383579596774</v>
      </c>
      <c r="CD342" s="48">
        <f t="shared" si="1152"/>
        <v>9.4713640309343425</v>
      </c>
      <c r="CE342" s="48">
        <f t="shared" si="1152"/>
        <v>9.6720286144283953</v>
      </c>
      <c r="CF342" s="48">
        <f t="shared" si="1152"/>
        <v>9.9834627132823588</v>
      </c>
      <c r="CG342" s="48">
        <f t="shared" si="1152"/>
        <v>10.390358333434422</v>
      </c>
      <c r="CH342" s="48">
        <f t="shared" si="1152"/>
        <v>10.966538040661174</v>
      </c>
      <c r="CI342" s="48">
        <f t="shared" si="1152"/>
        <v>11.937856361227897</v>
      </c>
      <c r="CJ342" s="48">
        <f t="shared" si="1152"/>
        <v>12.563715240200239</v>
      </c>
      <c r="CK342" s="48">
        <f t="shared" si="1152"/>
        <v>13.304162783896629</v>
      </c>
      <c r="CL342" s="48">
        <f t="shared" si="1152"/>
        <v>14.127168560934843</v>
      </c>
      <c r="CM342" s="48">
        <f t="shared" si="1152"/>
        <v>15.195789879972384</v>
      </c>
      <c r="CN342" s="48">
        <f t="shared" si="1152"/>
        <v>16.283938280066845</v>
      </c>
      <c r="CO342" s="48">
        <f t="shared" si="1152"/>
        <v>17.543769628398984</v>
      </c>
      <c r="CP342" s="48">
        <f t="shared" si="1152"/>
        <v>18.474212378981598</v>
      </c>
      <c r="CQ342" s="48">
        <f t="shared" si="1152"/>
        <v>19.335495187515367</v>
      </c>
      <c r="CR342" s="48">
        <f t="shared" si="1152"/>
        <v>20.589245944430708</v>
      </c>
      <c r="CS342" s="48">
        <f t="shared" si="1152"/>
        <v>21.530335250507115</v>
      </c>
      <c r="CT342" s="48">
        <f t="shared" si="1152"/>
        <v>22.66073358620503</v>
      </c>
      <c r="CU342" s="48">
        <f t="shared" si="1152"/>
        <v>23.604816426722152</v>
      </c>
      <c r="CV342" s="48">
        <f t="shared" si="1152"/>
        <v>24.597642230085384</v>
      </c>
      <c r="CW342" s="48">
        <f t="shared" si="1152"/>
        <v>25.434687591131574</v>
      </c>
      <c r="CX342" s="48">
        <f t="shared" ref="CX342:EA342" si="1153">CX278/CX336</f>
        <v>26.126542936011628</v>
      </c>
      <c r="CY342" s="48">
        <f t="shared" si="1153"/>
        <v>26.436751774405074</v>
      </c>
      <c r="CZ342" s="48">
        <f t="shared" si="1153"/>
        <v>25.569315373693492</v>
      </c>
      <c r="DA342" s="48">
        <f t="shared" si="1153"/>
        <v>26.530781131405874</v>
      </c>
      <c r="DB342" s="48">
        <f t="shared" si="1153"/>
        <v>27.889838496943007</v>
      </c>
      <c r="DC342" s="48">
        <f t="shared" si="1153"/>
        <v>29.262296282394519</v>
      </c>
      <c r="DD342" s="48">
        <f t="shared" si="1153"/>
        <v>30.099364773684599</v>
      </c>
      <c r="DE342" s="48">
        <f t="shared" si="1153"/>
        <v>30.519660781552663</v>
      </c>
      <c r="DF342" s="48">
        <f t="shared" si="1153"/>
        <v>32.160054971185559</v>
      </c>
      <c r="DG342" s="48">
        <f t="shared" si="1153"/>
        <v>33.487932765609315</v>
      </c>
      <c r="DH342" s="48">
        <f t="shared" si="1153"/>
        <v>33.782755390493286</v>
      </c>
      <c r="DI342" s="48">
        <f t="shared" si="1153"/>
        <v>35.641613362755074</v>
      </c>
      <c r="DJ342" s="48">
        <f t="shared" si="1153"/>
        <v>36.858507352539711</v>
      </c>
      <c r="DK342" s="48">
        <f t="shared" si="1153"/>
        <v>39.233686066961383</v>
      </c>
      <c r="DL342" s="48">
        <f t="shared" si="1153"/>
        <v>40.345872760518333</v>
      </c>
      <c r="DM342" s="48">
        <f t="shared" si="1153"/>
        <v>41.640303318207017</v>
      </c>
      <c r="DN342" s="48">
        <f t="shared" si="1153"/>
        <v>42.637934091778732</v>
      </c>
      <c r="DO342" s="48">
        <f t="shared" si="1153"/>
        <v>43.53223080637374</v>
      </c>
      <c r="DP342" s="48">
        <f t="shared" si="1153"/>
        <v>44.527622977756849</v>
      </c>
      <c r="DQ342" s="48">
        <f t="shared" si="1153"/>
        <v>45.179526046345565</v>
      </c>
      <c r="DR342" s="48">
        <f t="shared" si="1153"/>
        <v>45.469076491077288</v>
      </c>
      <c r="DS342" s="48">
        <f t="shared" si="1153"/>
        <v>46.466947934985981</v>
      </c>
      <c r="DT342" s="48">
        <f t="shared" si="1153"/>
        <v>46.643751465074686</v>
      </c>
      <c r="DU342" s="48">
        <f t="shared" si="1153"/>
        <v>45.444434922954564</v>
      </c>
      <c r="DV342" s="48">
        <f t="shared" si="1153"/>
        <v>44.720546360454868</v>
      </c>
      <c r="DW342" s="48">
        <f t="shared" si="1153"/>
        <v>44.262648657421238</v>
      </c>
      <c r="DX342" s="48">
        <f t="shared" si="1153"/>
        <v>43.506443553937814</v>
      </c>
      <c r="DY342" s="48">
        <f t="shared" si="1153"/>
        <v>42.200341834866606</v>
      </c>
      <c r="DZ342" s="48">
        <f t="shared" si="1153"/>
        <v>41.228914696464813</v>
      </c>
      <c r="EA342" s="48">
        <f t="shared" si="1153"/>
        <v>40.043743295100043</v>
      </c>
      <c r="EB342" s="48">
        <f t="shared" ref="EB342:EC342" si="1154">EB278/EB336</f>
        <v>39.322593896055515</v>
      </c>
      <c r="EC342" s="48">
        <f t="shared" si="1154"/>
        <v>38.346554433648322</v>
      </c>
      <c r="ED342" s="48">
        <f t="shared" ref="ED342:EP342" si="1155">ED278/ED336</f>
        <v>42.173147222020837</v>
      </c>
      <c r="EE342" s="48">
        <f t="shared" si="1155"/>
        <v>41.508669845263654</v>
      </c>
      <c r="EF342" s="48">
        <f t="shared" si="1155"/>
        <v>40.937170902117934</v>
      </c>
      <c r="EG342" s="48">
        <f t="shared" si="1155"/>
        <v>40.534033529779741</v>
      </c>
      <c r="EH342" s="48">
        <f t="shared" si="1155"/>
        <v>40.238854563829761</v>
      </c>
      <c r="EI342" s="48">
        <f t="shared" si="1155"/>
        <v>40.028131261821699</v>
      </c>
      <c r="EJ342" s="48">
        <f t="shared" si="1155"/>
        <v>39.879260239363127</v>
      </c>
      <c r="EK342" s="48">
        <f t="shared" si="1155"/>
        <v>39.783724606619415</v>
      </c>
      <c r="EL342" s="48">
        <f t="shared" si="1155"/>
        <v>39.766487665338019</v>
      </c>
      <c r="EM342" s="48">
        <f t="shared" si="1155"/>
        <v>39.713766433133763</v>
      </c>
      <c r="EN342" s="48">
        <f t="shared" si="1155"/>
        <v>39.646215542384049</v>
      </c>
      <c r="EO342" s="48">
        <f t="shared" si="1155"/>
        <v>39.583737878586092</v>
      </c>
      <c r="EP342" s="48">
        <f t="shared" si="1155"/>
        <v>39.506315679690687</v>
      </c>
      <c r="EQ342" s="18"/>
      <c r="ER342" s="18"/>
      <c r="ES342" s="355">
        <f t="shared" si="1105"/>
        <v>337</v>
      </c>
      <c r="ET342"/>
      <c r="EU342"/>
      <c r="EV342"/>
      <c r="EW342"/>
      <c r="EX342"/>
      <c r="EY342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</row>
    <row r="343" spans="1:257" s="4" customFormat="1" ht="12.75" hidden="1" customHeight="1" outlineLevel="2">
      <c r="A343" s="15"/>
      <c r="B343" s="5" t="s">
        <v>26</v>
      </c>
      <c r="C343" s="48"/>
      <c r="D343" s="48"/>
      <c r="E343" s="48">
        <f t="shared" ref="E343:AF343" si="1156">E278/E336</f>
        <v>5.1641539504726977</v>
      </c>
      <c r="F343" s="48">
        <f t="shared" si="1156"/>
        <v>5.3048525235336861</v>
      </c>
      <c r="G343" s="48">
        <f t="shared" si="1156"/>
        <v>5.6778076950100598</v>
      </c>
      <c r="H343" s="48">
        <f t="shared" si="1156"/>
        <v>6.4893860860136341</v>
      </c>
      <c r="I343" s="48">
        <f t="shared" si="1156"/>
        <v>7.8013915896405255</v>
      </c>
      <c r="J343" s="48">
        <f t="shared" si="1156"/>
        <v>8.030604644140297</v>
      </c>
      <c r="K343" s="48">
        <f t="shared" si="1156"/>
        <v>8.5450639887621058</v>
      </c>
      <c r="L343" s="48">
        <f t="shared" si="1156"/>
        <v>9.5607640520081514</v>
      </c>
      <c r="M343" s="48">
        <f t="shared" si="1156"/>
        <v>10.295079331255979</v>
      </c>
      <c r="N343" s="48">
        <f t="shared" si="1156"/>
        <v>8.9497901147895043</v>
      </c>
      <c r="O343" s="48">
        <f t="shared" si="1156"/>
        <v>9.1468322806751061</v>
      </c>
      <c r="P343" s="48">
        <f t="shared" si="1156"/>
        <v>9.060383579596774</v>
      </c>
      <c r="Q343" s="48">
        <f t="shared" si="1156"/>
        <v>10.390358333434422</v>
      </c>
      <c r="R343" s="48">
        <f t="shared" si="1156"/>
        <v>13.304162783896629</v>
      </c>
      <c r="S343" s="48">
        <f t="shared" si="1156"/>
        <v>17.543769628398984</v>
      </c>
      <c r="T343" s="48">
        <f t="shared" si="1156"/>
        <v>21.530335250507115</v>
      </c>
      <c r="U343" s="48">
        <f t="shared" si="1156"/>
        <v>25.434687591131574</v>
      </c>
      <c r="V343" s="48">
        <f t="shared" si="1156"/>
        <v>26.530781131405874</v>
      </c>
      <c r="W343" s="48">
        <f t="shared" si="1156"/>
        <v>30.519660781552663</v>
      </c>
      <c r="X343" s="48">
        <f t="shared" si="1156"/>
        <v>35.641613362755074</v>
      </c>
      <c r="Y343" s="48">
        <f t="shared" si="1156"/>
        <v>41.640303318207017</v>
      </c>
      <c r="Z343" s="48">
        <f t="shared" si="1156"/>
        <v>45.179526046345565</v>
      </c>
      <c r="AA343" s="48">
        <f t="shared" si="1156"/>
        <v>45.444434922954564</v>
      </c>
      <c r="AB343" s="48">
        <f t="shared" si="1156"/>
        <v>42.200341834866606</v>
      </c>
      <c r="AC343" s="48">
        <f t="shared" si="1156"/>
        <v>38.346554433648322</v>
      </c>
      <c r="AD343" s="48">
        <f t="shared" si="1156"/>
        <v>40.534033529779741</v>
      </c>
      <c r="AE343" s="48">
        <f t="shared" si="1156"/>
        <v>39.783724606619415</v>
      </c>
      <c r="AF343" s="48">
        <f t="shared" si="1156"/>
        <v>39.583737878586092</v>
      </c>
      <c r="AG343" s="17"/>
      <c r="AH343" s="48"/>
      <c r="AI343" s="48"/>
      <c r="AJ343" s="48"/>
      <c r="AK343" s="48"/>
      <c r="AL343" s="48">
        <f t="shared" ref="AL343:BQ343" si="1157">AL278/AL336</f>
        <v>5.3668242964386268</v>
      </c>
      <c r="AM343" s="48">
        <f t="shared" si="1157"/>
        <v>5.2759962387021861</v>
      </c>
      <c r="AN343" s="48">
        <f t="shared" si="1157"/>
        <v>5.4196657432207056</v>
      </c>
      <c r="AO343" s="48">
        <f t="shared" si="1157"/>
        <v>5.3048525235336861</v>
      </c>
      <c r="AP343" s="48">
        <f t="shared" si="1157"/>
        <v>5.6591075347476227</v>
      </c>
      <c r="AQ343" s="48">
        <f t="shared" si="1157"/>
        <v>5.7947453665737241</v>
      </c>
      <c r="AR343" s="48">
        <f t="shared" si="1157"/>
        <v>5.7449612246546575</v>
      </c>
      <c r="AS343" s="48">
        <f t="shared" si="1157"/>
        <v>5.6778076950100598</v>
      </c>
      <c r="AT343" s="48">
        <f t="shared" si="1157"/>
        <v>5.8167703117428529</v>
      </c>
      <c r="AU343" s="48">
        <f t="shared" si="1157"/>
        <v>5.9752125216550516</v>
      </c>
      <c r="AV343" s="48">
        <f t="shared" si="1157"/>
        <v>6.1336809050283829</v>
      </c>
      <c r="AW343" s="48">
        <f t="shared" si="1157"/>
        <v>6.4893860860136341</v>
      </c>
      <c r="AX343" s="48">
        <f t="shared" si="1157"/>
        <v>6.6190078735232261</v>
      </c>
      <c r="AY343" s="48">
        <f t="shared" si="1157"/>
        <v>6.9738578476595405</v>
      </c>
      <c r="AZ343" s="48">
        <f t="shared" si="1157"/>
        <v>7.270313525119783</v>
      </c>
      <c r="BA343" s="48">
        <f t="shared" si="1157"/>
        <v>7.8013915896405255</v>
      </c>
      <c r="BB343" s="48">
        <f t="shared" si="1157"/>
        <v>7.969821155032129</v>
      </c>
      <c r="BC343" s="48">
        <f t="shared" si="1157"/>
        <v>8.1372964960095011</v>
      </c>
      <c r="BD343" s="48">
        <f t="shared" si="1157"/>
        <v>8.23475910506499</v>
      </c>
      <c r="BE343" s="48">
        <f t="shared" si="1157"/>
        <v>8.030604644140297</v>
      </c>
      <c r="BF343" s="48">
        <f t="shared" si="1157"/>
        <v>8.1109233664528393</v>
      </c>
      <c r="BG343" s="48">
        <f t="shared" si="1157"/>
        <v>8.2625270568243891</v>
      </c>
      <c r="BH343" s="48">
        <f t="shared" si="1157"/>
        <v>8.466098955492253</v>
      </c>
      <c r="BI343" s="48">
        <f t="shared" si="1157"/>
        <v>8.5450639887621058</v>
      </c>
      <c r="BJ343" s="48">
        <f t="shared" si="1157"/>
        <v>8.7564846141453181</v>
      </c>
      <c r="BK343" s="48">
        <f t="shared" si="1157"/>
        <v>9.1285725778877289</v>
      </c>
      <c r="BL343" s="48">
        <f t="shared" si="1157"/>
        <v>9.1780757350876492</v>
      </c>
      <c r="BM343" s="48">
        <f t="shared" si="1157"/>
        <v>9.5607640520081514</v>
      </c>
      <c r="BN343" s="48">
        <f t="shared" si="1157"/>
        <v>9.7871202139976834</v>
      </c>
      <c r="BO343" s="48">
        <f t="shared" si="1157"/>
        <v>9.9613408682250189</v>
      </c>
      <c r="BP343" s="48">
        <f t="shared" si="1157"/>
        <v>10.329641642275135</v>
      </c>
      <c r="BQ343" s="48">
        <f t="shared" si="1157"/>
        <v>10.295079331255979</v>
      </c>
      <c r="BR343" s="48">
        <f t="shared" ref="BR343:CW343" si="1158">BR278/BR336</f>
        <v>10.589761331728839</v>
      </c>
      <c r="BS343" s="48">
        <f t="shared" si="1158"/>
        <v>10.702386917049118</v>
      </c>
      <c r="BT343" s="48">
        <f t="shared" si="1158"/>
        <v>10.618705107941016</v>
      </c>
      <c r="BU343" s="48">
        <f t="shared" si="1158"/>
        <v>8.9497901147895043</v>
      </c>
      <c r="BV343" s="48">
        <f t="shared" si="1158"/>
        <v>8.9769901243452868</v>
      </c>
      <c r="BW343" s="48">
        <f t="shared" si="1158"/>
        <v>8.9261772465622009</v>
      </c>
      <c r="BX343" s="48">
        <f t="shared" si="1158"/>
        <v>9.1007526001636947</v>
      </c>
      <c r="BY343" s="48">
        <f t="shared" si="1158"/>
        <v>9.1468322806751061</v>
      </c>
      <c r="BZ343" s="48">
        <f t="shared" si="1158"/>
        <v>9.2274357799079301</v>
      </c>
      <c r="CA343" s="48">
        <f t="shared" si="1158"/>
        <v>9.2979538372993034</v>
      </c>
      <c r="CB343" s="48">
        <f t="shared" si="1158"/>
        <v>9.2910888928564326</v>
      </c>
      <c r="CC343" s="48">
        <f t="shared" si="1158"/>
        <v>9.060383579596774</v>
      </c>
      <c r="CD343" s="48">
        <f t="shared" si="1158"/>
        <v>9.4713640309343425</v>
      </c>
      <c r="CE343" s="48">
        <f t="shared" si="1158"/>
        <v>9.6720286144283953</v>
      </c>
      <c r="CF343" s="48">
        <f t="shared" si="1158"/>
        <v>9.9834627132823588</v>
      </c>
      <c r="CG343" s="48">
        <f t="shared" si="1158"/>
        <v>10.390358333434422</v>
      </c>
      <c r="CH343" s="48">
        <f t="shared" si="1158"/>
        <v>10.966538040661174</v>
      </c>
      <c r="CI343" s="48">
        <f t="shared" si="1158"/>
        <v>11.937856361227897</v>
      </c>
      <c r="CJ343" s="48">
        <f t="shared" si="1158"/>
        <v>12.563715240200239</v>
      </c>
      <c r="CK343" s="48">
        <f t="shared" si="1158"/>
        <v>13.304162783896629</v>
      </c>
      <c r="CL343" s="48">
        <f t="shared" si="1158"/>
        <v>14.127168560934843</v>
      </c>
      <c r="CM343" s="48">
        <f t="shared" si="1158"/>
        <v>15.195789879972384</v>
      </c>
      <c r="CN343" s="48">
        <f t="shared" si="1158"/>
        <v>16.283938280066845</v>
      </c>
      <c r="CO343" s="48">
        <f t="shared" si="1158"/>
        <v>17.543769628398984</v>
      </c>
      <c r="CP343" s="48">
        <f t="shared" si="1158"/>
        <v>18.474212378981598</v>
      </c>
      <c r="CQ343" s="48">
        <f t="shared" si="1158"/>
        <v>19.335495187515367</v>
      </c>
      <c r="CR343" s="48">
        <f t="shared" si="1158"/>
        <v>20.589245944430708</v>
      </c>
      <c r="CS343" s="48">
        <f t="shared" si="1158"/>
        <v>21.530335250507115</v>
      </c>
      <c r="CT343" s="48">
        <f t="shared" si="1158"/>
        <v>22.66073358620503</v>
      </c>
      <c r="CU343" s="48">
        <f t="shared" si="1158"/>
        <v>23.604816426722152</v>
      </c>
      <c r="CV343" s="48">
        <f t="shared" si="1158"/>
        <v>24.597642230085384</v>
      </c>
      <c r="CW343" s="48">
        <f t="shared" si="1158"/>
        <v>25.434687591131574</v>
      </c>
      <c r="CX343" s="48">
        <f t="shared" ref="CX343:EA343" si="1159">CX278/CX336</f>
        <v>26.126542936011628</v>
      </c>
      <c r="CY343" s="48">
        <f t="shared" si="1159"/>
        <v>26.436751774405074</v>
      </c>
      <c r="CZ343" s="48">
        <f t="shared" si="1159"/>
        <v>25.569315373693492</v>
      </c>
      <c r="DA343" s="48">
        <f t="shared" si="1159"/>
        <v>26.530781131405874</v>
      </c>
      <c r="DB343" s="48">
        <f t="shared" si="1159"/>
        <v>27.889838496943007</v>
      </c>
      <c r="DC343" s="48">
        <f t="shared" si="1159"/>
        <v>29.262296282394519</v>
      </c>
      <c r="DD343" s="48">
        <f t="shared" si="1159"/>
        <v>30.099364773684599</v>
      </c>
      <c r="DE343" s="48">
        <f t="shared" si="1159"/>
        <v>30.519660781552663</v>
      </c>
      <c r="DF343" s="48">
        <f t="shared" si="1159"/>
        <v>32.160054971185559</v>
      </c>
      <c r="DG343" s="48">
        <f t="shared" si="1159"/>
        <v>33.487932765609315</v>
      </c>
      <c r="DH343" s="48">
        <f t="shared" si="1159"/>
        <v>33.782755390493286</v>
      </c>
      <c r="DI343" s="48">
        <f t="shared" si="1159"/>
        <v>35.641613362755074</v>
      </c>
      <c r="DJ343" s="48">
        <f t="shared" si="1159"/>
        <v>36.858507352539711</v>
      </c>
      <c r="DK343" s="48">
        <f t="shared" si="1159"/>
        <v>39.233686066961383</v>
      </c>
      <c r="DL343" s="48">
        <f t="shared" si="1159"/>
        <v>40.345872760518333</v>
      </c>
      <c r="DM343" s="48">
        <f t="shared" si="1159"/>
        <v>41.640303318207017</v>
      </c>
      <c r="DN343" s="48">
        <f t="shared" si="1159"/>
        <v>42.637934091778732</v>
      </c>
      <c r="DO343" s="48">
        <f t="shared" si="1159"/>
        <v>43.53223080637374</v>
      </c>
      <c r="DP343" s="48">
        <f t="shared" si="1159"/>
        <v>44.527622977756849</v>
      </c>
      <c r="DQ343" s="48">
        <f t="shared" si="1159"/>
        <v>45.179526046345565</v>
      </c>
      <c r="DR343" s="48">
        <f t="shared" si="1159"/>
        <v>45.469076491077288</v>
      </c>
      <c r="DS343" s="48">
        <f t="shared" si="1159"/>
        <v>46.466947934985981</v>
      </c>
      <c r="DT343" s="48">
        <f t="shared" si="1159"/>
        <v>46.643751465074686</v>
      </c>
      <c r="DU343" s="48">
        <f t="shared" si="1159"/>
        <v>45.444434922954564</v>
      </c>
      <c r="DV343" s="48">
        <f t="shared" si="1159"/>
        <v>44.720546360454868</v>
      </c>
      <c r="DW343" s="48">
        <f t="shared" si="1159"/>
        <v>44.262648657421238</v>
      </c>
      <c r="DX343" s="48">
        <f t="shared" si="1159"/>
        <v>43.506443553937814</v>
      </c>
      <c r="DY343" s="48">
        <f t="shared" si="1159"/>
        <v>42.200341834866606</v>
      </c>
      <c r="DZ343" s="48">
        <f t="shared" si="1159"/>
        <v>41.228914696464813</v>
      </c>
      <c r="EA343" s="48">
        <f t="shared" si="1159"/>
        <v>40.043743295100043</v>
      </c>
      <c r="EB343" s="48">
        <f t="shared" ref="EB343:EC343" si="1160">EB278/EB336</f>
        <v>39.322593896055515</v>
      </c>
      <c r="EC343" s="48">
        <f t="shared" si="1160"/>
        <v>38.346554433648322</v>
      </c>
      <c r="ED343" s="48">
        <f t="shared" ref="ED343:EP343" si="1161">ED278/ED336</f>
        <v>42.173147222020837</v>
      </c>
      <c r="EE343" s="48">
        <f t="shared" si="1161"/>
        <v>41.508669845263654</v>
      </c>
      <c r="EF343" s="48">
        <f t="shared" si="1161"/>
        <v>40.937170902117934</v>
      </c>
      <c r="EG343" s="48">
        <f t="shared" si="1161"/>
        <v>40.534033529779741</v>
      </c>
      <c r="EH343" s="48">
        <f t="shared" si="1161"/>
        <v>40.238854563829761</v>
      </c>
      <c r="EI343" s="48">
        <f t="shared" si="1161"/>
        <v>40.028131261821699</v>
      </c>
      <c r="EJ343" s="48">
        <f t="shared" si="1161"/>
        <v>39.879260239363127</v>
      </c>
      <c r="EK343" s="48">
        <f t="shared" si="1161"/>
        <v>39.783724606619415</v>
      </c>
      <c r="EL343" s="48">
        <f t="shared" si="1161"/>
        <v>39.766487665338019</v>
      </c>
      <c r="EM343" s="48">
        <f t="shared" si="1161"/>
        <v>39.713766433133763</v>
      </c>
      <c r="EN343" s="48">
        <f t="shared" si="1161"/>
        <v>39.646215542384049</v>
      </c>
      <c r="EO343" s="48">
        <f t="shared" si="1161"/>
        <v>39.583737878586092</v>
      </c>
      <c r="EP343" s="48">
        <f t="shared" si="1161"/>
        <v>39.506315679690687</v>
      </c>
      <c r="EQ343" s="18"/>
      <c r="ER343" s="18"/>
      <c r="ES343" s="355">
        <f t="shared" si="1105"/>
        <v>338</v>
      </c>
      <c r="ET343"/>
      <c r="EU343"/>
      <c r="EV343"/>
      <c r="EW343"/>
      <c r="EX343"/>
      <c r="EY343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</row>
    <row r="344" spans="1:257" s="4" customFormat="1" ht="12.75" hidden="1" customHeight="1" outlineLevel="2">
      <c r="A344" s="15"/>
      <c r="B344" s="5" t="s">
        <v>25</v>
      </c>
      <c r="C344" s="48"/>
      <c r="D344" s="48"/>
      <c r="E344" s="48">
        <f t="shared" ref="E344:AF344" si="1162">IFERROR(E278/(E104+E143+E171),0)</f>
        <v>7.1679859154929568</v>
      </c>
      <c r="F344" s="48">
        <f t="shared" si="1162"/>
        <v>6.8991315789473688</v>
      </c>
      <c r="G344" s="48">
        <f t="shared" si="1162"/>
        <v>7.4004605263157899</v>
      </c>
      <c r="H344" s="48">
        <f t="shared" si="1162"/>
        <v>8.3892207792207785</v>
      </c>
      <c r="I344" s="48">
        <f t="shared" si="1162"/>
        <v>10.137402597402597</v>
      </c>
      <c r="J344" s="48">
        <f t="shared" si="1162"/>
        <v>8.8127555555555563</v>
      </c>
      <c r="K344" s="48">
        <f t="shared" si="1162"/>
        <v>9.5293146067415737</v>
      </c>
      <c r="L344" s="48">
        <f t="shared" si="1162"/>
        <v>10.860261363636363</v>
      </c>
      <c r="M344" s="48">
        <f t="shared" si="1162"/>
        <v>10.692468750000002</v>
      </c>
      <c r="N344" s="48">
        <f t="shared" si="1162"/>
        <v>8.0645945945945936</v>
      </c>
      <c r="O344" s="48">
        <f t="shared" si="1162"/>
        <v>7.2224488188976377</v>
      </c>
      <c r="P344" s="48">
        <f t="shared" si="1162"/>
        <v>7.1414843749999992</v>
      </c>
      <c r="Q344" s="48">
        <f t="shared" si="1162"/>
        <v>8.4315468750000004</v>
      </c>
      <c r="R344" s="48">
        <f t="shared" si="1162"/>
        <v>9.2744429530201327</v>
      </c>
      <c r="S344" s="48">
        <f t="shared" si="1162"/>
        <v>9.4068186528497399</v>
      </c>
      <c r="T344" s="48">
        <f t="shared" si="1162"/>
        <v>10.113723214285715</v>
      </c>
      <c r="U344" s="48">
        <f t="shared" si="1162"/>
        <v>10.563027559055119</v>
      </c>
      <c r="V344" s="48">
        <f t="shared" si="1162"/>
        <v>10.923988326848249</v>
      </c>
      <c r="W344" s="48">
        <f t="shared" si="1162"/>
        <v>11.595911347517729</v>
      </c>
      <c r="X344" s="48">
        <f t="shared" si="1162"/>
        <v>11.727822629969419</v>
      </c>
      <c r="Y344" s="48">
        <f t="shared" si="1162"/>
        <v>13.147121301775146</v>
      </c>
      <c r="Z344" s="48">
        <f t="shared" si="1162"/>
        <v>12.939092592592592</v>
      </c>
      <c r="AA344" s="48">
        <f t="shared" si="1162"/>
        <v>12.557569230769229</v>
      </c>
      <c r="AB344" s="48">
        <f t="shared" si="1162"/>
        <v>11.546645569620251</v>
      </c>
      <c r="AC344" s="48">
        <f t="shared" si="1162"/>
        <v>10.516643939393941</v>
      </c>
      <c r="AD344" s="48">
        <f t="shared" si="1162"/>
        <v>11.144605678234115</v>
      </c>
      <c r="AE344" s="48">
        <f t="shared" si="1162"/>
        <v>10.942688420086105</v>
      </c>
      <c r="AF344" s="48">
        <f t="shared" si="1162"/>
        <v>10.892036916788712</v>
      </c>
      <c r="AG344" s="17"/>
      <c r="AH344" s="48"/>
      <c r="AI344" s="48"/>
      <c r="AJ344" s="48"/>
      <c r="AK344" s="48"/>
      <c r="AL344" s="48">
        <f t="shared" ref="AL344:BQ344" si="1163">IFERROR(AL278/(AL104+AL143+AL171),0)</f>
        <v>0</v>
      </c>
      <c r="AM344" s="48">
        <f t="shared" si="1163"/>
        <v>0</v>
      </c>
      <c r="AN344" s="48">
        <f t="shared" si="1163"/>
        <v>0</v>
      </c>
      <c r="AO344" s="48">
        <f t="shared" si="1163"/>
        <v>6.8991315789473688</v>
      </c>
      <c r="AP344" s="48">
        <f t="shared" si="1163"/>
        <v>0</v>
      </c>
      <c r="AQ344" s="48">
        <f t="shared" si="1163"/>
        <v>0</v>
      </c>
      <c r="AR344" s="48">
        <f t="shared" si="1163"/>
        <v>0</v>
      </c>
      <c r="AS344" s="48">
        <f t="shared" si="1163"/>
        <v>7.4004605263157899</v>
      </c>
      <c r="AT344" s="48">
        <f t="shared" si="1163"/>
        <v>0</v>
      </c>
      <c r="AU344" s="48">
        <f t="shared" si="1163"/>
        <v>0</v>
      </c>
      <c r="AV344" s="48">
        <f t="shared" si="1163"/>
        <v>0</v>
      </c>
      <c r="AW344" s="48">
        <f t="shared" si="1163"/>
        <v>8.3892207792207785</v>
      </c>
      <c r="AX344" s="48">
        <f t="shared" si="1163"/>
        <v>0</v>
      </c>
      <c r="AY344" s="48">
        <f t="shared" si="1163"/>
        <v>0</v>
      </c>
      <c r="AZ344" s="48">
        <f t="shared" si="1163"/>
        <v>0</v>
      </c>
      <c r="BA344" s="48">
        <f t="shared" si="1163"/>
        <v>10.137402597402597</v>
      </c>
      <c r="BB344" s="48">
        <f t="shared" si="1163"/>
        <v>0</v>
      </c>
      <c r="BC344" s="48">
        <f t="shared" si="1163"/>
        <v>0</v>
      </c>
      <c r="BD344" s="48">
        <f t="shared" si="1163"/>
        <v>0</v>
      </c>
      <c r="BE344" s="48">
        <f t="shared" si="1163"/>
        <v>8.8127555555555563</v>
      </c>
      <c r="BF344" s="48">
        <f t="shared" si="1163"/>
        <v>0</v>
      </c>
      <c r="BG344" s="48">
        <f t="shared" si="1163"/>
        <v>0</v>
      </c>
      <c r="BH344" s="48">
        <f t="shared" si="1163"/>
        <v>0</v>
      </c>
      <c r="BI344" s="48">
        <f t="shared" si="1163"/>
        <v>9.5293146067415737</v>
      </c>
      <c r="BJ344" s="48">
        <f t="shared" si="1163"/>
        <v>0</v>
      </c>
      <c r="BK344" s="48">
        <f t="shared" si="1163"/>
        <v>0</v>
      </c>
      <c r="BL344" s="48">
        <f t="shared" si="1163"/>
        <v>0</v>
      </c>
      <c r="BM344" s="48">
        <f t="shared" si="1163"/>
        <v>10.860261363636363</v>
      </c>
      <c r="BN344" s="48">
        <f t="shared" si="1163"/>
        <v>0</v>
      </c>
      <c r="BO344" s="48">
        <f t="shared" si="1163"/>
        <v>0</v>
      </c>
      <c r="BP344" s="48">
        <f t="shared" si="1163"/>
        <v>0</v>
      </c>
      <c r="BQ344" s="48">
        <f t="shared" si="1163"/>
        <v>10.692468750000002</v>
      </c>
      <c r="BR344" s="48">
        <f t="shared" ref="BR344:CW344" si="1164">IFERROR(BR278/(BR104+BR143+BR171),0)</f>
        <v>0</v>
      </c>
      <c r="BS344" s="48">
        <f t="shared" si="1164"/>
        <v>0</v>
      </c>
      <c r="BT344" s="48">
        <f t="shared" si="1164"/>
        <v>0</v>
      </c>
      <c r="BU344" s="48">
        <f t="shared" si="1164"/>
        <v>8.0645945945945936</v>
      </c>
      <c r="BV344" s="48">
        <f t="shared" si="1164"/>
        <v>7.7103662955227161</v>
      </c>
      <c r="BW344" s="48">
        <f t="shared" si="1164"/>
        <v>7.3535187176462964</v>
      </c>
      <c r="BX344" s="48">
        <f t="shared" si="1164"/>
        <v>7.2941440000000002</v>
      </c>
      <c r="BY344" s="48">
        <f t="shared" si="1164"/>
        <v>7.2224488188976377</v>
      </c>
      <c r="BZ344" s="48">
        <f t="shared" si="1164"/>
        <v>7.1848011591453016</v>
      </c>
      <c r="CA344" s="48">
        <f t="shared" si="1164"/>
        <v>7.1840892460329551</v>
      </c>
      <c r="CB344" s="48">
        <f t="shared" si="1164"/>
        <v>7.1310339028587997</v>
      </c>
      <c r="CC344" s="48">
        <f t="shared" si="1164"/>
        <v>7.1414843749999992</v>
      </c>
      <c r="CD344" s="48">
        <f t="shared" si="1164"/>
        <v>7.3427350643868516</v>
      </c>
      <c r="CE344" s="48">
        <f t="shared" si="1164"/>
        <v>7.6778710331130489</v>
      </c>
      <c r="CF344" s="48">
        <f t="shared" si="1164"/>
        <v>7.956405066551989</v>
      </c>
      <c r="CG344" s="48">
        <f t="shared" si="1164"/>
        <v>8.4315468750000004</v>
      </c>
      <c r="CH344" s="48">
        <f t="shared" si="1164"/>
        <v>8.9244005269233977</v>
      </c>
      <c r="CI344" s="48">
        <f t="shared" si="1164"/>
        <v>9.4617942620615221</v>
      </c>
      <c r="CJ344" s="48">
        <f t="shared" si="1164"/>
        <v>9.5552467173839304</v>
      </c>
      <c r="CK344" s="48">
        <f t="shared" si="1164"/>
        <v>9.2744429530201327</v>
      </c>
      <c r="CL344" s="48">
        <f t="shared" si="1164"/>
        <v>9.2251727071442122</v>
      </c>
      <c r="CM344" s="48">
        <f t="shared" si="1164"/>
        <v>9.1973773732832615</v>
      </c>
      <c r="CN344" s="48">
        <f t="shared" si="1164"/>
        <v>9.2132381810364112</v>
      </c>
      <c r="CO344" s="48">
        <f t="shared" si="1164"/>
        <v>9.4068186528497399</v>
      </c>
      <c r="CP344" s="48">
        <f t="shared" si="1164"/>
        <v>9.6341507334249972</v>
      </c>
      <c r="CQ344" s="48">
        <f t="shared" si="1164"/>
        <v>9.7364552541906786</v>
      </c>
      <c r="CR344" s="48">
        <f t="shared" si="1164"/>
        <v>10.138556204805596</v>
      </c>
      <c r="CS344" s="48">
        <f t="shared" si="1164"/>
        <v>10.113723214285715</v>
      </c>
      <c r="CT344" s="48">
        <f t="shared" si="1164"/>
        <v>10.155085106382977</v>
      </c>
      <c r="CU344" s="48">
        <f t="shared" si="1164"/>
        <v>10.147171428571427</v>
      </c>
      <c r="CV344" s="48">
        <f t="shared" si="1164"/>
        <v>10.334430278884462</v>
      </c>
      <c r="CW344" s="48">
        <f t="shared" si="1164"/>
        <v>10.563027559055119</v>
      </c>
      <c r="CX344" s="48">
        <f t="shared" ref="CX344:EA344" si="1165">IFERROR(CX278/(CX104+CX143+CX171),0)</f>
        <v>10.80777254901961</v>
      </c>
      <c r="CY344" s="48">
        <f t="shared" si="1165"/>
        <v>10.959980392156863</v>
      </c>
      <c r="CZ344" s="48">
        <f t="shared" si="1165"/>
        <v>10.736218253968254</v>
      </c>
      <c r="DA344" s="48">
        <f t="shared" si="1165"/>
        <v>10.923988326848249</v>
      </c>
      <c r="DB344" s="48">
        <f t="shared" si="1165"/>
        <v>11.224780303030302</v>
      </c>
      <c r="DC344" s="48">
        <f t="shared" si="1165"/>
        <v>11.581459259259258</v>
      </c>
      <c r="DD344" s="48">
        <f t="shared" si="1165"/>
        <v>11.583589928057552</v>
      </c>
      <c r="DE344" s="48">
        <f t="shared" si="1165"/>
        <v>11.595911347517729</v>
      </c>
      <c r="DF344" s="48">
        <f t="shared" si="1165"/>
        <v>11.882096551724135</v>
      </c>
      <c r="DG344" s="48">
        <f t="shared" si="1165"/>
        <v>11.96709634551495</v>
      </c>
      <c r="DH344" s="48">
        <f t="shared" si="1165"/>
        <v>11.465583596214511</v>
      </c>
      <c r="DI344" s="48">
        <f t="shared" si="1165"/>
        <v>11.727822629969419</v>
      </c>
      <c r="DJ344" s="48">
        <f t="shared" si="1165"/>
        <v>12.055574018126887</v>
      </c>
      <c r="DK344" s="48">
        <f t="shared" si="1165"/>
        <v>12.461588059701491</v>
      </c>
      <c r="DL344" s="48">
        <f t="shared" si="1165"/>
        <v>12.707171597633137</v>
      </c>
      <c r="DM344" s="48">
        <f t="shared" si="1165"/>
        <v>13.147121301775146</v>
      </c>
      <c r="DN344" s="48">
        <f t="shared" si="1165"/>
        <v>13.166028818443802</v>
      </c>
      <c r="DO344" s="48">
        <f t="shared" si="1165"/>
        <v>12.914801652892562</v>
      </c>
      <c r="DP344" s="48">
        <f t="shared" si="1165"/>
        <v>12.81672074468085</v>
      </c>
      <c r="DQ344" s="48">
        <f t="shared" si="1165"/>
        <v>12.939092592592592</v>
      </c>
      <c r="DR344" s="48">
        <f t="shared" si="1165"/>
        <v>12.650956298200516</v>
      </c>
      <c r="DS344" s="48">
        <f t="shared" si="1165"/>
        <v>13.198881266490766</v>
      </c>
      <c r="DT344" s="48">
        <f t="shared" si="1165"/>
        <v>12.875664102564103</v>
      </c>
      <c r="DU344" s="48">
        <f t="shared" si="1165"/>
        <v>12.557569230769229</v>
      </c>
      <c r="DV344" s="48">
        <f t="shared" si="1165"/>
        <v>12.322176020408165</v>
      </c>
      <c r="DW344" s="48">
        <f t="shared" si="1165"/>
        <v>12.137309644670049</v>
      </c>
      <c r="DX344" s="48">
        <f t="shared" si="1165"/>
        <v>11.902435443037973</v>
      </c>
      <c r="DY344" s="48">
        <f t="shared" si="1165"/>
        <v>11.546645569620251</v>
      </c>
      <c r="DZ344" s="48">
        <f t="shared" si="1165"/>
        <v>11.274345088161207</v>
      </c>
      <c r="EA344" s="48">
        <f t="shared" si="1165"/>
        <v>10.978267676767677</v>
      </c>
      <c r="EB344" s="48">
        <f t="shared" ref="EB344:EC344" si="1166">IFERROR(EB278/(EB104+EB143+EB171),0)</f>
        <v>10.732080808080809</v>
      </c>
      <c r="EC344" s="48">
        <f t="shared" si="1166"/>
        <v>10.516643939393941</v>
      </c>
      <c r="ED344" s="48">
        <f t="shared" ref="ED344:EP344" si="1167">IFERROR(ED278/(ED104+ED143+ED171),0)</f>
        <v>11.591792929292929</v>
      </c>
      <c r="EE344" s="48">
        <f t="shared" si="1167"/>
        <v>11.410294305851076</v>
      </c>
      <c r="EF344" s="48">
        <f t="shared" si="1167"/>
        <v>11.254320610618102</v>
      </c>
      <c r="EG344" s="48">
        <f t="shared" si="1167"/>
        <v>11.144605678234115</v>
      </c>
      <c r="EH344" s="48">
        <f t="shared" si="1167"/>
        <v>11.064554218244774</v>
      </c>
      <c r="EI344" s="48">
        <f t="shared" si="1167"/>
        <v>11.007711893033269</v>
      </c>
      <c r="EJ344" s="48">
        <f t="shared" si="1167"/>
        <v>10.967869129120777</v>
      </c>
      <c r="EK344" s="48">
        <f t="shared" si="1167"/>
        <v>10.942688420086105</v>
      </c>
      <c r="EL344" s="48">
        <f t="shared" si="1167"/>
        <v>10.939041118311723</v>
      </c>
      <c r="EM344" s="48">
        <f t="shared" si="1167"/>
        <v>10.925630915253791</v>
      </c>
      <c r="EN344" s="48">
        <f t="shared" si="1167"/>
        <v>10.90813773415052</v>
      </c>
      <c r="EO344" s="48">
        <f t="shared" si="1167"/>
        <v>10.892036916788712</v>
      </c>
      <c r="EP344" s="48">
        <f t="shared" si="1167"/>
        <v>10.871820154386958</v>
      </c>
      <c r="EQ344" s="18"/>
      <c r="ER344" s="18"/>
      <c r="ES344" s="355">
        <f t="shared" si="1105"/>
        <v>339</v>
      </c>
      <c r="ET344"/>
      <c r="EU344"/>
      <c r="EV344"/>
      <c r="EW344"/>
      <c r="EX344"/>
      <c r="EY344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</row>
    <row r="345" spans="1:257" s="4" customFormat="1" ht="12.75" hidden="1" customHeight="1" outlineLevel="2">
      <c r="A345" s="15"/>
      <c r="B345" s="5" t="s">
        <v>24</v>
      </c>
      <c r="C345" s="48"/>
      <c r="D345" s="48"/>
      <c r="E345" s="48">
        <f t="shared" ref="E345:AF345" si="1168">IFERROR(E260/(E104+E143+E171),0)</f>
        <v>5.0534929577464789</v>
      </c>
      <c r="F345" s="48">
        <f t="shared" si="1168"/>
        <v>5.2717236842105262</v>
      </c>
      <c r="G345" s="48">
        <f t="shared" si="1168"/>
        <v>5.5038552631578952</v>
      </c>
      <c r="H345" s="48">
        <f t="shared" si="1168"/>
        <v>6.0194285714285716</v>
      </c>
      <c r="I345" s="48">
        <f t="shared" si="1168"/>
        <v>7.0003246753246753</v>
      </c>
      <c r="J345" s="48">
        <f t="shared" si="1168"/>
        <v>7.6930111111111108</v>
      </c>
      <c r="K345" s="48">
        <f t="shared" si="1168"/>
        <v>7.7664606741573037</v>
      </c>
      <c r="L345" s="48">
        <f t="shared" si="1168"/>
        <v>7.6546022727272733</v>
      </c>
      <c r="M345" s="48">
        <f t="shared" si="1168"/>
        <v>6.7713645833333338</v>
      </c>
      <c r="N345" s="48">
        <f t="shared" si="1168"/>
        <v>8.0850900900900911</v>
      </c>
      <c r="O345" s="48">
        <f t="shared" si="1168"/>
        <v>8.3323228346456695</v>
      </c>
      <c r="P345" s="48">
        <f t="shared" si="1168"/>
        <v>7.8021406249999998</v>
      </c>
      <c r="Q345" s="48">
        <f t="shared" si="1168"/>
        <v>7.6716015625000002</v>
      </c>
      <c r="R345" s="48">
        <f t="shared" si="1168"/>
        <v>9.9539194630872476</v>
      </c>
      <c r="S345" s="48">
        <f t="shared" si="1168"/>
        <v>11.153450777202073</v>
      </c>
      <c r="T345" s="48">
        <f t="shared" si="1168"/>
        <v>11.974334821428572</v>
      </c>
      <c r="U345" s="48">
        <f t="shared" si="1168"/>
        <v>12.857901574803151</v>
      </c>
      <c r="V345" s="48">
        <f t="shared" si="1168"/>
        <v>12.743268482490272</v>
      </c>
      <c r="W345" s="48">
        <f t="shared" si="1168"/>
        <v>13.039255319148937</v>
      </c>
      <c r="X345" s="48">
        <f t="shared" si="1168"/>
        <v>13.307556574923547</v>
      </c>
      <c r="Y345" s="48">
        <f t="shared" si="1168"/>
        <v>13.83462426035503</v>
      </c>
      <c r="Z345" s="48">
        <f t="shared" si="1168"/>
        <v>13.726306878306877</v>
      </c>
      <c r="AA345" s="48">
        <f t="shared" si="1168"/>
        <v>14.274961538461538</v>
      </c>
      <c r="AB345" s="48">
        <f t="shared" si="1168"/>
        <v>13.024640506329114</v>
      </c>
      <c r="AC345" s="48">
        <f t="shared" si="1168"/>
        <v>12.628916666666667</v>
      </c>
      <c r="AD345" s="48">
        <f t="shared" si="1168"/>
        <v>12.378993369229796</v>
      </c>
      <c r="AE345" s="48">
        <f t="shared" si="1168"/>
        <v>11.781851505411506</v>
      </c>
      <c r="AF345" s="48">
        <f t="shared" si="1168"/>
        <v>11.1819092659197</v>
      </c>
      <c r="AG345" s="17"/>
      <c r="AH345" s="48"/>
      <c r="AI345" s="48"/>
      <c r="AJ345" s="48"/>
      <c r="AK345" s="48"/>
      <c r="AL345" s="48">
        <f t="shared" ref="AL345:BQ345" si="1169">IFERROR(AL260/(AL104+AL143+AL171),0)</f>
        <v>0</v>
      </c>
      <c r="AM345" s="48">
        <f t="shared" si="1169"/>
        <v>0</v>
      </c>
      <c r="AN345" s="48">
        <f t="shared" si="1169"/>
        <v>0</v>
      </c>
      <c r="AO345" s="48">
        <f t="shared" si="1169"/>
        <v>5.2717236842105262</v>
      </c>
      <c r="AP345" s="48">
        <f t="shared" si="1169"/>
        <v>0</v>
      </c>
      <c r="AQ345" s="48">
        <f t="shared" si="1169"/>
        <v>0</v>
      </c>
      <c r="AR345" s="48">
        <f t="shared" si="1169"/>
        <v>0</v>
      </c>
      <c r="AS345" s="48">
        <f t="shared" si="1169"/>
        <v>5.5038552631578952</v>
      </c>
      <c r="AT345" s="48">
        <f t="shared" si="1169"/>
        <v>0</v>
      </c>
      <c r="AU345" s="48">
        <f t="shared" si="1169"/>
        <v>0</v>
      </c>
      <c r="AV345" s="48">
        <f t="shared" si="1169"/>
        <v>0</v>
      </c>
      <c r="AW345" s="48">
        <f t="shared" si="1169"/>
        <v>6.0194285714285716</v>
      </c>
      <c r="AX345" s="48">
        <f t="shared" si="1169"/>
        <v>0</v>
      </c>
      <c r="AY345" s="48">
        <f t="shared" si="1169"/>
        <v>0</v>
      </c>
      <c r="AZ345" s="48">
        <f t="shared" si="1169"/>
        <v>0</v>
      </c>
      <c r="BA345" s="48">
        <f t="shared" si="1169"/>
        <v>7.0003246753246753</v>
      </c>
      <c r="BB345" s="48">
        <f t="shared" si="1169"/>
        <v>0</v>
      </c>
      <c r="BC345" s="48">
        <f t="shared" si="1169"/>
        <v>0</v>
      </c>
      <c r="BD345" s="48">
        <f t="shared" si="1169"/>
        <v>0</v>
      </c>
      <c r="BE345" s="48">
        <f t="shared" si="1169"/>
        <v>7.6930111111111108</v>
      </c>
      <c r="BF345" s="48">
        <f t="shared" si="1169"/>
        <v>0</v>
      </c>
      <c r="BG345" s="48">
        <f t="shared" si="1169"/>
        <v>0</v>
      </c>
      <c r="BH345" s="48">
        <f t="shared" si="1169"/>
        <v>0</v>
      </c>
      <c r="BI345" s="48">
        <f t="shared" si="1169"/>
        <v>7.7664606741573037</v>
      </c>
      <c r="BJ345" s="48">
        <f t="shared" si="1169"/>
        <v>0</v>
      </c>
      <c r="BK345" s="48">
        <f t="shared" si="1169"/>
        <v>0</v>
      </c>
      <c r="BL345" s="48">
        <f t="shared" si="1169"/>
        <v>0</v>
      </c>
      <c r="BM345" s="48">
        <f t="shared" si="1169"/>
        <v>7.6546022727272733</v>
      </c>
      <c r="BN345" s="48">
        <f t="shared" si="1169"/>
        <v>0</v>
      </c>
      <c r="BO345" s="48">
        <f t="shared" si="1169"/>
        <v>0</v>
      </c>
      <c r="BP345" s="48">
        <f t="shared" si="1169"/>
        <v>0</v>
      </c>
      <c r="BQ345" s="48">
        <f t="shared" si="1169"/>
        <v>6.7713645833333338</v>
      </c>
      <c r="BR345" s="48">
        <f t="shared" ref="BR345:CW345" si="1170">IFERROR(BR260/(BR104+BR143+BR171),0)</f>
        <v>0</v>
      </c>
      <c r="BS345" s="48">
        <f t="shared" si="1170"/>
        <v>0</v>
      </c>
      <c r="BT345" s="48">
        <f t="shared" si="1170"/>
        <v>0</v>
      </c>
      <c r="BU345" s="48">
        <f t="shared" si="1170"/>
        <v>8.0850900900900911</v>
      </c>
      <c r="BV345" s="48">
        <f t="shared" si="1170"/>
        <v>8.1399638867121258</v>
      </c>
      <c r="BW345" s="48">
        <f t="shared" si="1170"/>
        <v>8.1932231789502481</v>
      </c>
      <c r="BX345" s="48">
        <f t="shared" si="1170"/>
        <v>8.2906960000000005</v>
      </c>
      <c r="BY345" s="48">
        <f t="shared" si="1170"/>
        <v>8.3323228346456695</v>
      </c>
      <c r="BZ345" s="48">
        <f t="shared" si="1170"/>
        <v>8.2649571363012857</v>
      </c>
      <c r="CA345" s="48">
        <f t="shared" si="1170"/>
        <v>8.1572924666455204</v>
      </c>
      <c r="CB345" s="48">
        <f t="shared" si="1170"/>
        <v>8.051337248346881</v>
      </c>
      <c r="CC345" s="48">
        <f t="shared" si="1170"/>
        <v>7.8021406249999998</v>
      </c>
      <c r="CD345" s="48">
        <f t="shared" si="1170"/>
        <v>7.4213037955701235</v>
      </c>
      <c r="CE345" s="48">
        <f t="shared" si="1170"/>
        <v>7.443485342981246</v>
      </c>
      <c r="CF345" s="48">
        <f t="shared" si="1170"/>
        <v>7.498013241348322</v>
      </c>
      <c r="CG345" s="48">
        <f t="shared" si="1170"/>
        <v>7.6716015625000002</v>
      </c>
      <c r="CH345" s="48">
        <f t="shared" si="1170"/>
        <v>7.9596745734859686</v>
      </c>
      <c r="CI345" s="48">
        <f t="shared" si="1170"/>
        <v>8.5097810129676823</v>
      </c>
      <c r="CJ345" s="48">
        <f t="shared" si="1170"/>
        <v>8.9854570661971085</v>
      </c>
      <c r="CK345" s="48">
        <f t="shared" si="1170"/>
        <v>9.9539194630872476</v>
      </c>
      <c r="CL345" s="48">
        <f t="shared" si="1170"/>
        <v>10.146603188371644</v>
      </c>
      <c r="CM345" s="48">
        <f t="shared" si="1170"/>
        <v>10.597290081381397</v>
      </c>
      <c r="CN345" s="48">
        <f t="shared" si="1170"/>
        <v>10.988910400778796</v>
      </c>
      <c r="CO345" s="48">
        <f t="shared" si="1170"/>
        <v>11.153450777202073</v>
      </c>
      <c r="CP345" s="48">
        <f t="shared" si="1170"/>
        <v>11.496347142023925</v>
      </c>
      <c r="CQ345" s="48">
        <f t="shared" si="1170"/>
        <v>11.582063849606662</v>
      </c>
      <c r="CR345" s="48">
        <f t="shared" si="1170"/>
        <v>11.864496641450476</v>
      </c>
      <c r="CS345" s="48">
        <f t="shared" si="1170"/>
        <v>11.974334821428572</v>
      </c>
      <c r="CT345" s="48">
        <f t="shared" si="1170"/>
        <v>12.278527659574468</v>
      </c>
      <c r="CU345" s="48">
        <f t="shared" si="1170"/>
        <v>12.598832653061224</v>
      </c>
      <c r="CV345" s="48">
        <f t="shared" si="1170"/>
        <v>12.786231075697211</v>
      </c>
      <c r="CW345" s="48">
        <f t="shared" si="1170"/>
        <v>12.857901574803151</v>
      </c>
      <c r="CX345" s="48">
        <f t="shared" ref="CX345:EA345" si="1171">IFERROR(CX260/(CX104+CX143+CX171),0)</f>
        <v>12.83781568627451</v>
      </c>
      <c r="CY345" s="48">
        <f t="shared" si="1171"/>
        <v>12.882898039215688</v>
      </c>
      <c r="CZ345" s="48">
        <f t="shared" si="1171"/>
        <v>12.84072619047619</v>
      </c>
      <c r="DA345" s="48">
        <f t="shared" si="1171"/>
        <v>12.743268482490272</v>
      </c>
      <c r="DB345" s="48">
        <f t="shared" si="1171"/>
        <v>12.638727272727271</v>
      </c>
      <c r="DC345" s="48">
        <f t="shared" si="1171"/>
        <v>12.66901851851852</v>
      </c>
      <c r="DD345" s="48">
        <f t="shared" si="1171"/>
        <v>12.783248201438848</v>
      </c>
      <c r="DE345" s="48">
        <f t="shared" si="1171"/>
        <v>13.039255319148937</v>
      </c>
      <c r="DF345" s="48">
        <f t="shared" si="1171"/>
        <v>13.213796551724139</v>
      </c>
      <c r="DG345" s="48">
        <f t="shared" si="1171"/>
        <v>13.206774086378738</v>
      </c>
      <c r="DH345" s="48">
        <f t="shared" si="1171"/>
        <v>13.155529968454259</v>
      </c>
      <c r="DI345" s="48">
        <f t="shared" si="1171"/>
        <v>13.307556574923547</v>
      </c>
      <c r="DJ345" s="48">
        <f t="shared" si="1171"/>
        <v>13.56812990936556</v>
      </c>
      <c r="DK345" s="48">
        <f t="shared" si="1171"/>
        <v>13.613617910447761</v>
      </c>
      <c r="DL345" s="48">
        <f t="shared" si="1171"/>
        <v>13.64881952662722</v>
      </c>
      <c r="DM345" s="48">
        <f t="shared" si="1171"/>
        <v>13.83462426035503</v>
      </c>
      <c r="DN345" s="48">
        <f t="shared" si="1171"/>
        <v>13.526714697406341</v>
      </c>
      <c r="DO345" s="48">
        <f t="shared" si="1171"/>
        <v>13.226545454545453</v>
      </c>
      <c r="DP345" s="48">
        <f t="shared" si="1171"/>
        <v>13.148031914893616</v>
      </c>
      <c r="DQ345" s="48">
        <f t="shared" si="1171"/>
        <v>13.726306878306877</v>
      </c>
      <c r="DR345" s="48">
        <f t="shared" si="1171"/>
        <v>13.881789203084832</v>
      </c>
      <c r="DS345" s="48">
        <f t="shared" si="1171"/>
        <v>14.704005277044855</v>
      </c>
      <c r="DT345" s="48">
        <f t="shared" si="1171"/>
        <v>14.43669487179487</v>
      </c>
      <c r="DU345" s="48">
        <f t="shared" si="1171"/>
        <v>14.274961538461538</v>
      </c>
      <c r="DV345" s="48">
        <f t="shared" si="1171"/>
        <v>14.109227040816327</v>
      </c>
      <c r="DW345" s="48">
        <f t="shared" si="1171"/>
        <v>13.823228426395939</v>
      </c>
      <c r="DX345" s="48">
        <f t="shared" si="1171"/>
        <v>13.43401012658228</v>
      </c>
      <c r="DY345" s="48">
        <f t="shared" si="1171"/>
        <v>13.024640506329114</v>
      </c>
      <c r="DZ345" s="48">
        <f t="shared" si="1171"/>
        <v>12.853095717884131</v>
      </c>
      <c r="EA345" s="48">
        <f t="shared" si="1171"/>
        <v>12.781232323232324</v>
      </c>
      <c r="EB345" s="48">
        <f t="shared" ref="EB345:EC345" si="1172">IFERROR(EB260/(EB104+EB143+EB171),0)</f>
        <v>12.785136363636363</v>
      </c>
      <c r="EC345" s="48">
        <f t="shared" si="1172"/>
        <v>12.628916666666667</v>
      </c>
      <c r="ED345" s="48">
        <f t="shared" ref="ED345:EP345" si="1173">IFERROR(ED260/(ED104+ED143+ED171),0)</f>
        <v>12.501010101010101</v>
      </c>
      <c r="EE345" s="48">
        <f t="shared" si="1173"/>
        <v>12.460262626262624</v>
      </c>
      <c r="EF345" s="48">
        <f t="shared" si="1173"/>
        <v>12.420635707070705</v>
      </c>
      <c r="EG345" s="48">
        <f t="shared" si="1173"/>
        <v>12.378993369229796</v>
      </c>
      <c r="EH345" s="48">
        <f t="shared" si="1173"/>
        <v>12.234401756911565</v>
      </c>
      <c r="EI345" s="48">
        <f t="shared" si="1173"/>
        <v>12.090800109299014</v>
      </c>
      <c r="EJ345" s="48">
        <f t="shared" si="1173"/>
        <v>11.935606245577933</v>
      </c>
      <c r="EK345" s="48">
        <f t="shared" si="1173"/>
        <v>11.781851505411506</v>
      </c>
      <c r="EL345" s="48">
        <f t="shared" si="1173"/>
        <v>11.629571751148511</v>
      </c>
      <c r="EM345" s="48">
        <f t="shared" si="1173"/>
        <v>11.478800716821357</v>
      </c>
      <c r="EN345" s="48">
        <f t="shared" si="1173"/>
        <v>11.329570035069066</v>
      </c>
      <c r="EO345" s="48">
        <f t="shared" si="1173"/>
        <v>11.1819092659197</v>
      </c>
      <c r="EP345" s="48">
        <f t="shared" si="1173"/>
        <v>11.035845927336048</v>
      </c>
      <c r="EQ345" s="18"/>
      <c r="ER345" s="18"/>
      <c r="ES345" s="355">
        <f t="shared" si="1105"/>
        <v>340</v>
      </c>
      <c r="ET345"/>
      <c r="EU345"/>
      <c r="EV345"/>
      <c r="EW345"/>
      <c r="EX345"/>
      <c r="EY345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</row>
    <row r="346" spans="1:257" s="4" customFormat="1" ht="12.75" hidden="1" customHeight="1" outlineLevel="2">
      <c r="A346" s="15"/>
      <c r="B346" s="5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17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  <c r="BB346" s="48"/>
      <c r="BC346" s="48"/>
      <c r="BD346" s="48"/>
      <c r="BE346" s="48"/>
      <c r="BF346" s="48"/>
      <c r="BG346" s="48"/>
      <c r="BH346" s="48"/>
      <c r="BI346" s="48"/>
      <c r="BJ346" s="48"/>
      <c r="BK346" s="48"/>
      <c r="BL346" s="48"/>
      <c r="BM346" s="48"/>
      <c r="BN346" s="48"/>
      <c r="BO346" s="48"/>
      <c r="BP346" s="48"/>
      <c r="BQ346" s="48"/>
      <c r="BR346" s="48"/>
      <c r="BS346" s="48"/>
      <c r="BT346" s="48"/>
      <c r="BU346" s="48"/>
      <c r="BV346" s="48"/>
      <c r="BW346" s="48"/>
      <c r="BX346" s="48"/>
      <c r="BY346" s="48"/>
      <c r="BZ346" s="48"/>
      <c r="CA346" s="48"/>
      <c r="CB346" s="48"/>
      <c r="CC346" s="48"/>
      <c r="CD346" s="48"/>
      <c r="CE346" s="48"/>
      <c r="CF346" s="48"/>
      <c r="CG346" s="48"/>
      <c r="CH346" s="48"/>
      <c r="CI346" s="48"/>
      <c r="CJ346" s="48"/>
      <c r="CK346" s="48"/>
      <c r="CL346" s="48"/>
      <c r="CM346" s="48"/>
      <c r="CN346" s="48"/>
      <c r="CO346" s="48"/>
      <c r="CP346" s="48"/>
      <c r="CQ346" s="48"/>
      <c r="CR346" s="48"/>
      <c r="CS346" s="48"/>
      <c r="CT346" s="48"/>
      <c r="CU346" s="48"/>
      <c r="CV346" s="48"/>
      <c r="CW346" s="48"/>
      <c r="CX346" s="48"/>
      <c r="CY346" s="48"/>
      <c r="CZ346" s="48"/>
      <c r="DA346" s="48"/>
      <c r="DB346" s="48"/>
      <c r="DC346" s="48"/>
      <c r="DD346" s="48"/>
      <c r="DE346" s="48"/>
      <c r="DF346" s="48"/>
      <c r="DG346" s="48"/>
      <c r="DH346" s="48"/>
      <c r="DI346" s="48"/>
      <c r="DJ346" s="48"/>
      <c r="DK346" s="48"/>
      <c r="DL346" s="48"/>
      <c r="DM346" s="48"/>
      <c r="DN346" s="48"/>
      <c r="DO346" s="48"/>
      <c r="DP346" s="48"/>
      <c r="DQ346" s="48"/>
      <c r="DR346" s="48"/>
      <c r="DS346" s="48"/>
      <c r="DT346" s="48"/>
      <c r="DU346" s="48"/>
      <c r="DV346" s="48"/>
      <c r="DW346" s="48"/>
      <c r="DX346" s="48"/>
      <c r="DY346" s="48"/>
      <c r="DZ346" s="48"/>
      <c r="EA346" s="48"/>
      <c r="EB346" s="48"/>
      <c r="EC346" s="48"/>
      <c r="ED346" s="48"/>
      <c r="EE346" s="48"/>
      <c r="EF346" s="48"/>
      <c r="EG346" s="48"/>
      <c r="EH346" s="48"/>
      <c r="EI346" s="48"/>
      <c r="EJ346" s="48"/>
      <c r="EK346" s="48"/>
      <c r="EL346" s="48"/>
      <c r="EM346" s="48"/>
      <c r="EN346" s="48"/>
      <c r="EO346" s="48"/>
      <c r="EP346" s="48"/>
      <c r="EQ346" s="18"/>
      <c r="ER346" s="18"/>
      <c r="ES346" s="355">
        <f t="shared" si="1105"/>
        <v>341</v>
      </c>
      <c r="ET346"/>
      <c r="EU346"/>
      <c r="EV346"/>
      <c r="EW346"/>
      <c r="EX346"/>
      <c r="EY346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</row>
    <row r="347" spans="1:257" s="4" customFormat="1" outlineLevel="1" collapsed="1">
      <c r="A347" s="15" t="s">
        <v>0</v>
      </c>
      <c r="B347" s="47" t="s">
        <v>23</v>
      </c>
      <c r="C347" s="10"/>
      <c r="D347" s="10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17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  <c r="CQ347" s="10"/>
      <c r="CR347" s="10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4"/>
      <c r="DK347" s="44"/>
      <c r="DL347" s="44"/>
      <c r="DM347" s="44"/>
      <c r="DN347" s="44"/>
      <c r="DO347" s="44"/>
      <c r="DP347" s="44"/>
      <c r="DQ347" s="44"/>
      <c r="DR347" s="44"/>
      <c r="DS347" s="44"/>
      <c r="DT347" s="44"/>
      <c r="DU347" s="44"/>
      <c r="DV347" s="44"/>
      <c r="DW347" s="44"/>
      <c r="DX347" s="44"/>
      <c r="DY347" s="44"/>
      <c r="DZ347" s="44"/>
      <c r="EA347" s="44"/>
      <c r="EB347" s="44"/>
      <c r="EC347" s="44"/>
      <c r="ED347" s="44"/>
      <c r="EE347" s="44"/>
      <c r="EF347" s="44"/>
      <c r="EG347" s="44"/>
      <c r="EH347" s="44"/>
      <c r="EI347" s="44"/>
      <c r="EJ347" s="44"/>
      <c r="EK347" s="44"/>
      <c r="EL347" s="44"/>
      <c r="EM347" s="44"/>
      <c r="EN347" s="44"/>
      <c r="EO347" s="44"/>
      <c r="EP347" s="44"/>
      <c r="EQ347" s="5"/>
      <c r="ER347" s="5"/>
      <c r="ES347" s="355">
        <f t="shared" si="1105"/>
        <v>342</v>
      </c>
      <c r="ET347"/>
      <c r="EU347"/>
      <c r="EV347"/>
      <c r="EW347"/>
      <c r="EX347"/>
      <c r="EY347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</row>
    <row r="348" spans="1:257" s="17" customFormat="1" hidden="1" outlineLevel="2">
      <c r="A348" s="38"/>
      <c r="B348" s="37" t="s">
        <v>22</v>
      </c>
      <c r="C348" s="5"/>
      <c r="D348" s="5"/>
      <c r="E348" s="12">
        <f t="shared" ref="E348:AF348" si="1174">SUM(E253:E257,E260:E261)-SUM(E265:E266,E271:E272)</f>
        <v>371.60499999999996</v>
      </c>
      <c r="F348" s="12">
        <f t="shared" si="1174"/>
        <v>407.47300000000001</v>
      </c>
      <c r="G348" s="12">
        <f t="shared" si="1174"/>
        <v>407.68400000000003</v>
      </c>
      <c r="H348" s="12">
        <f t="shared" si="1174"/>
        <v>404.26900000000001</v>
      </c>
      <c r="I348" s="12">
        <f t="shared" si="1174"/>
        <v>434.10700000000008</v>
      </c>
      <c r="J348" s="12">
        <f t="shared" si="1174"/>
        <v>663.072</v>
      </c>
      <c r="K348" s="12">
        <f t="shared" si="1174"/>
        <v>642.87599999999998</v>
      </c>
      <c r="L348" s="12">
        <f t="shared" si="1174"/>
        <v>593.29000000000008</v>
      </c>
      <c r="M348" s="12">
        <f t="shared" si="1174"/>
        <v>747.36500000000001</v>
      </c>
      <c r="N348" s="12">
        <f t="shared" si="1174"/>
        <v>798.11200000000008</v>
      </c>
      <c r="O348" s="12">
        <f t="shared" si="1174"/>
        <v>950.29199999999992</v>
      </c>
      <c r="P348" s="12">
        <f t="shared" si="1174"/>
        <v>887.28200000000015</v>
      </c>
      <c r="Q348" s="12">
        <f t="shared" si="1174"/>
        <v>812.03399999999988</v>
      </c>
      <c r="R348" s="12">
        <f t="shared" si="1174"/>
        <v>1333.451</v>
      </c>
      <c r="S348" s="12">
        <f t="shared" si="1174"/>
        <v>1947.9409999999998</v>
      </c>
      <c r="T348" s="12">
        <f t="shared" si="1174"/>
        <v>2446.4279999999999</v>
      </c>
      <c r="U348" s="12">
        <f t="shared" si="1174"/>
        <v>2697.6189999999997</v>
      </c>
      <c r="V348" s="12">
        <f t="shared" si="1174"/>
        <v>2791.7250000000004</v>
      </c>
      <c r="W348" s="12">
        <f t="shared" si="1174"/>
        <v>2912.8560000000007</v>
      </c>
      <c r="X348" s="12">
        <f t="shared" si="1174"/>
        <v>3527.8879999999999</v>
      </c>
      <c r="Y348" s="12">
        <f t="shared" si="1174"/>
        <v>3877.9150000000004</v>
      </c>
      <c r="Z348" s="12">
        <f t="shared" si="1174"/>
        <v>4376.6409999999996</v>
      </c>
      <c r="AA348" s="12">
        <f t="shared" si="1174"/>
        <v>4564.4920000000002</v>
      </c>
      <c r="AB348" s="12">
        <f t="shared" si="1174"/>
        <v>4022.0570000000007</v>
      </c>
      <c r="AC348" s="12">
        <f t="shared" si="1174"/>
        <v>4007.6750000000002</v>
      </c>
      <c r="AD348" s="12">
        <f t="shared" si="1174"/>
        <v>4617.0600765170293</v>
      </c>
      <c r="AE348" s="12">
        <f t="shared" si="1174"/>
        <v>4476.0310352772467</v>
      </c>
      <c r="AF348" s="12">
        <f t="shared" si="1174"/>
        <v>4290.2984444607573</v>
      </c>
      <c r="AH348" s="5"/>
      <c r="AI348" s="5"/>
      <c r="AJ348" s="5"/>
      <c r="AK348" s="5"/>
      <c r="AL348" s="12">
        <f t="shared" ref="AL348:BQ348" si="1175">SUM(AL253:AL257,AL260:AL261)-SUM(AL265:AL266,AL271:AL272)</f>
        <v>386.077</v>
      </c>
      <c r="AM348" s="12">
        <f t="shared" si="1175"/>
        <v>374.09199999999998</v>
      </c>
      <c r="AN348" s="12">
        <f t="shared" si="1175"/>
        <v>399.07799999999997</v>
      </c>
      <c r="AO348" s="12">
        <f t="shared" si="1175"/>
        <v>407.47300000000001</v>
      </c>
      <c r="AP348" s="12">
        <f t="shared" si="1175"/>
        <v>399.35799999999995</v>
      </c>
      <c r="AQ348" s="12">
        <f t="shared" si="1175"/>
        <v>398.5089999999999</v>
      </c>
      <c r="AR348" s="12">
        <f t="shared" si="1175"/>
        <v>418.351</v>
      </c>
      <c r="AS348" s="12">
        <f t="shared" si="1175"/>
        <v>407.68400000000003</v>
      </c>
      <c r="AT348" s="12">
        <f t="shared" si="1175"/>
        <v>433.77800000000002</v>
      </c>
      <c r="AU348" s="12">
        <f t="shared" si="1175"/>
        <v>412.46699999999998</v>
      </c>
      <c r="AV348" s="12">
        <f t="shared" si="1175"/>
        <v>431.05800000000011</v>
      </c>
      <c r="AW348" s="12">
        <f t="shared" si="1175"/>
        <v>404.26900000000001</v>
      </c>
      <c r="AX348" s="12">
        <f t="shared" si="1175"/>
        <v>412.54999999999995</v>
      </c>
      <c r="AY348" s="12">
        <f t="shared" si="1175"/>
        <v>428.36900000000009</v>
      </c>
      <c r="AZ348" s="12">
        <f t="shared" si="1175"/>
        <v>433.89400000000001</v>
      </c>
      <c r="BA348" s="12">
        <f t="shared" si="1175"/>
        <v>434.10700000000008</v>
      </c>
      <c r="BB348" s="12">
        <f t="shared" si="1175"/>
        <v>465.23400000000004</v>
      </c>
      <c r="BC348" s="12">
        <f t="shared" si="1175"/>
        <v>506.24300000000017</v>
      </c>
      <c r="BD348" s="12">
        <f t="shared" si="1175"/>
        <v>569.17200000000003</v>
      </c>
      <c r="BE348" s="12">
        <f t="shared" si="1175"/>
        <v>663.072</v>
      </c>
      <c r="BF348" s="12">
        <f t="shared" si="1175"/>
        <v>698.10400000000004</v>
      </c>
      <c r="BG348" s="12">
        <f t="shared" si="1175"/>
        <v>688.48</v>
      </c>
      <c r="BH348" s="12">
        <f t="shared" si="1175"/>
        <v>659.31</v>
      </c>
      <c r="BI348" s="12">
        <f t="shared" si="1175"/>
        <v>642.87599999999998</v>
      </c>
      <c r="BJ348" s="12">
        <f t="shared" si="1175"/>
        <v>625.52199999999993</v>
      </c>
      <c r="BK348" s="12">
        <f t="shared" si="1175"/>
        <v>597.14499999999998</v>
      </c>
      <c r="BL348" s="12">
        <f t="shared" si="1175"/>
        <v>599.83100000000002</v>
      </c>
      <c r="BM348" s="12">
        <f t="shared" si="1175"/>
        <v>593.29000000000008</v>
      </c>
      <c r="BN348" s="12">
        <f t="shared" si="1175"/>
        <v>607.25200000000007</v>
      </c>
      <c r="BO348" s="12">
        <f t="shared" si="1175"/>
        <v>659.74299999999994</v>
      </c>
      <c r="BP348" s="12">
        <f t="shared" si="1175"/>
        <v>692.03399999999999</v>
      </c>
      <c r="BQ348" s="12">
        <f t="shared" si="1175"/>
        <v>747.36500000000001</v>
      </c>
      <c r="BR348" s="12">
        <f t="shared" ref="BR348:CW348" si="1176">SUM(BR253:BR257,BR260:BR261)-SUM(BR265:BR266,BR271:BR272)</f>
        <v>798.23</v>
      </c>
      <c r="BS348" s="12">
        <f t="shared" si="1176"/>
        <v>841.31200000000013</v>
      </c>
      <c r="BT348" s="12">
        <f t="shared" si="1176"/>
        <v>895.91099999999994</v>
      </c>
      <c r="BU348" s="12">
        <f t="shared" si="1176"/>
        <v>798.11200000000008</v>
      </c>
      <c r="BV348" s="12">
        <f t="shared" si="1176"/>
        <v>839.976</v>
      </c>
      <c r="BW348" s="12">
        <f t="shared" si="1176"/>
        <v>899.51600000000008</v>
      </c>
      <c r="BX348" s="12">
        <f t="shared" si="1176"/>
        <v>937.03100000000018</v>
      </c>
      <c r="BY348" s="12">
        <f t="shared" si="1176"/>
        <v>950.29199999999992</v>
      </c>
      <c r="BZ348" s="12">
        <f t="shared" si="1176"/>
        <v>952.39300000000003</v>
      </c>
      <c r="CA348" s="12">
        <f t="shared" si="1176"/>
        <v>958.23900000000003</v>
      </c>
      <c r="CB348" s="12">
        <f t="shared" si="1176"/>
        <v>942.47699999999986</v>
      </c>
      <c r="CC348" s="12">
        <f t="shared" si="1176"/>
        <v>887.28200000000015</v>
      </c>
      <c r="CD348" s="12">
        <f t="shared" si="1176"/>
        <v>832.97799999999984</v>
      </c>
      <c r="CE348" s="12">
        <f t="shared" si="1176"/>
        <v>824.17099999999982</v>
      </c>
      <c r="CF348" s="12">
        <f t="shared" si="1176"/>
        <v>824.87400000000014</v>
      </c>
      <c r="CG348" s="12">
        <f t="shared" si="1176"/>
        <v>812.03399999999988</v>
      </c>
      <c r="CH348" s="12">
        <f t="shared" si="1176"/>
        <v>848.72799999999995</v>
      </c>
      <c r="CI348" s="12">
        <f t="shared" si="1176"/>
        <v>1014.461</v>
      </c>
      <c r="CJ348" s="12">
        <f t="shared" si="1176"/>
        <v>1180.202</v>
      </c>
      <c r="CK348" s="12">
        <f t="shared" si="1176"/>
        <v>1333.451</v>
      </c>
      <c r="CL348" s="12">
        <f t="shared" si="1176"/>
        <v>1437.8320000000003</v>
      </c>
      <c r="CM348" s="12">
        <f t="shared" si="1176"/>
        <v>1628.9779999999996</v>
      </c>
      <c r="CN348" s="12">
        <f t="shared" si="1176"/>
        <v>1812.5239999999999</v>
      </c>
      <c r="CO348" s="12">
        <f t="shared" si="1176"/>
        <v>1947.9409999999998</v>
      </c>
      <c r="CP348" s="12">
        <f t="shared" si="1176"/>
        <v>2078.5410000000002</v>
      </c>
      <c r="CQ348" s="12">
        <f t="shared" si="1176"/>
        <v>2197.6839999999997</v>
      </c>
      <c r="CR348" s="12">
        <f t="shared" si="1176"/>
        <v>2305.5439999999999</v>
      </c>
      <c r="CS348" s="12">
        <f t="shared" si="1176"/>
        <v>2446.4279999999999</v>
      </c>
      <c r="CT348" s="12">
        <f t="shared" si="1176"/>
        <v>2589.8720000000003</v>
      </c>
      <c r="CU348" s="12">
        <f t="shared" si="1176"/>
        <v>2731.0229999999997</v>
      </c>
      <c r="CV348" s="12">
        <f t="shared" si="1176"/>
        <v>2732.183</v>
      </c>
      <c r="CW348" s="12">
        <f t="shared" si="1176"/>
        <v>2697.6189999999997</v>
      </c>
      <c r="CX348" s="12">
        <f t="shared" ref="CX348:EA348" si="1177">SUM(CX253:CX257,CX260:CX261)-SUM(CX265:CX266,CX271:CX272)</f>
        <v>2708.741</v>
      </c>
      <c r="CY348" s="12">
        <f t="shared" si="1177"/>
        <v>2753.4290000000001</v>
      </c>
      <c r="CZ348" s="12">
        <f t="shared" si="1177"/>
        <v>2743.1899999999996</v>
      </c>
      <c r="DA348" s="12">
        <f t="shared" si="1177"/>
        <v>2791.7250000000004</v>
      </c>
      <c r="DB348" s="12">
        <f t="shared" si="1177"/>
        <v>2747.6429999999991</v>
      </c>
      <c r="DC348" s="12">
        <f t="shared" si="1177"/>
        <v>2761.2520000000004</v>
      </c>
      <c r="DD348" s="12">
        <f t="shared" si="1177"/>
        <v>2834.297</v>
      </c>
      <c r="DE348" s="12">
        <f t="shared" si="1177"/>
        <v>2912.8560000000007</v>
      </c>
      <c r="DF348" s="12">
        <f t="shared" si="1177"/>
        <v>3053.1250000000005</v>
      </c>
      <c r="DG348" s="12">
        <f t="shared" si="1177"/>
        <v>3188.5439999999999</v>
      </c>
      <c r="DH348" s="12">
        <f t="shared" si="1177"/>
        <v>3458.3530000000001</v>
      </c>
      <c r="DI348" s="12">
        <f t="shared" si="1177"/>
        <v>3527.8879999999999</v>
      </c>
      <c r="DJ348" s="12">
        <f t="shared" si="1177"/>
        <v>3547.6600000000008</v>
      </c>
      <c r="DK348" s="12">
        <f t="shared" si="1177"/>
        <v>3738.9030000000002</v>
      </c>
      <c r="DL348" s="12">
        <f t="shared" si="1177"/>
        <v>3765.8790000000004</v>
      </c>
      <c r="DM348" s="12">
        <f t="shared" si="1177"/>
        <v>3877.9150000000004</v>
      </c>
      <c r="DN348" s="12">
        <f t="shared" si="1177"/>
        <v>3872.9920000000006</v>
      </c>
      <c r="DO348" s="12">
        <f t="shared" si="1177"/>
        <v>4016.7649999999994</v>
      </c>
      <c r="DP348" s="12">
        <f t="shared" si="1177"/>
        <v>4187.9070000000011</v>
      </c>
      <c r="DQ348" s="12">
        <f t="shared" si="1177"/>
        <v>4376.6409999999996</v>
      </c>
      <c r="DR348" s="12">
        <f t="shared" si="1177"/>
        <v>4588.183</v>
      </c>
      <c r="DS348" s="12">
        <f t="shared" si="1177"/>
        <v>4694.0249999999996</v>
      </c>
      <c r="DT348" s="12">
        <f t="shared" si="1177"/>
        <v>4665.5540000000001</v>
      </c>
      <c r="DU348" s="12">
        <f t="shared" si="1177"/>
        <v>4564.4920000000002</v>
      </c>
      <c r="DV348" s="12">
        <f t="shared" si="1177"/>
        <v>4391.1784806621345</v>
      </c>
      <c r="DW348" s="12">
        <f t="shared" si="1177"/>
        <v>4287.3429999999989</v>
      </c>
      <c r="DX348" s="12">
        <f t="shared" si="1177"/>
        <v>4177.3890000000001</v>
      </c>
      <c r="DY348" s="12">
        <f t="shared" si="1177"/>
        <v>4022.0570000000007</v>
      </c>
      <c r="DZ348" s="12">
        <f t="shared" si="1177"/>
        <v>3991.7620000000002</v>
      </c>
      <c r="EA348" s="12">
        <f t="shared" si="1177"/>
        <v>3961.7500000000005</v>
      </c>
      <c r="EB348" s="12">
        <f t="shared" ref="EB348:EC348" si="1178">SUM(EB253:EB257,EB260:EB261)-SUM(EB265:EB266,EB271:EB272)</f>
        <v>4052.9540000000002</v>
      </c>
      <c r="EC348" s="12">
        <f t="shared" si="1178"/>
        <v>4007.6750000000002</v>
      </c>
      <c r="ED348" s="12">
        <f t="shared" ref="ED348:EP348" si="1179">SUM(ED253:ED257,ED260:ED261)-SUM(ED265:ED266,ED271:ED272)</f>
        <v>4573.4639999999999</v>
      </c>
      <c r="EE348" s="12">
        <f t="shared" si="1179"/>
        <v>4581.7231985141243</v>
      </c>
      <c r="EF348" s="12">
        <f t="shared" si="1179"/>
        <v>4599.4508659178082</v>
      </c>
      <c r="EG348" s="12">
        <f t="shared" si="1179"/>
        <v>4617.0600765170293</v>
      </c>
      <c r="EH348" s="12">
        <f t="shared" si="1179"/>
        <v>4586.6932363253418</v>
      </c>
      <c r="EI348" s="12">
        <f t="shared" si="1179"/>
        <v>4563.1293512364537</v>
      </c>
      <c r="EJ348" s="12">
        <f t="shared" si="1179"/>
        <v>4519.9143709020909</v>
      </c>
      <c r="EK348" s="12">
        <f t="shared" si="1179"/>
        <v>4476.0310352772467</v>
      </c>
      <c r="EL348" s="12">
        <f t="shared" si="1179"/>
        <v>4444.0085304222011</v>
      </c>
      <c r="EM348" s="12">
        <f t="shared" si="1179"/>
        <v>4395.1592366278674</v>
      </c>
      <c r="EN348" s="12">
        <f t="shared" si="1179"/>
        <v>4343.9119817256087</v>
      </c>
      <c r="EO348" s="12">
        <f t="shared" si="1179"/>
        <v>4290.2984444607573</v>
      </c>
      <c r="EP348" s="12">
        <f t="shared" si="1179"/>
        <v>4240.1120958209021</v>
      </c>
      <c r="EQ348" s="5"/>
      <c r="ER348" s="5"/>
      <c r="ES348" s="355">
        <f t="shared" si="1105"/>
        <v>343</v>
      </c>
      <c r="ET348"/>
      <c r="EU348"/>
      <c r="EV348"/>
      <c r="EW348"/>
      <c r="EX348"/>
      <c r="EY348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</row>
    <row r="349" spans="1:257" s="17" customFormat="1" hidden="1" outlineLevel="2">
      <c r="A349" s="38"/>
      <c r="B349" s="37" t="s">
        <v>21</v>
      </c>
      <c r="C349" s="5"/>
      <c r="D349" s="5"/>
      <c r="E349" s="12">
        <f t="shared" ref="E349:AF349" si="1180">SUM(E278,E270,E268,E267)-SUM(E251,E252,E259)</f>
        <v>371.6049999999999</v>
      </c>
      <c r="F349" s="12">
        <f t="shared" si="1180"/>
        <v>407.47300000000007</v>
      </c>
      <c r="G349" s="12">
        <f t="shared" si="1180"/>
        <v>407.68400000000008</v>
      </c>
      <c r="H349" s="12">
        <f t="shared" si="1180"/>
        <v>404.26899999999989</v>
      </c>
      <c r="I349" s="12">
        <f t="shared" si="1180"/>
        <v>434.10699999999991</v>
      </c>
      <c r="J349" s="12">
        <f t="shared" si="1180"/>
        <v>663.072</v>
      </c>
      <c r="K349" s="12">
        <f t="shared" si="1180"/>
        <v>642.87599999999998</v>
      </c>
      <c r="L349" s="12">
        <f t="shared" si="1180"/>
        <v>593.29</v>
      </c>
      <c r="M349" s="12">
        <f t="shared" si="1180"/>
        <v>747.36500000000012</v>
      </c>
      <c r="N349" s="12">
        <f t="shared" si="1180"/>
        <v>798.11199999999997</v>
      </c>
      <c r="O349" s="12">
        <f t="shared" si="1180"/>
        <v>950.29199999999992</v>
      </c>
      <c r="P349" s="12">
        <f t="shared" si="1180"/>
        <v>887.28199999999993</v>
      </c>
      <c r="Q349" s="12">
        <f t="shared" si="1180"/>
        <v>812.03400000000011</v>
      </c>
      <c r="R349" s="12">
        <f t="shared" si="1180"/>
        <v>1333.4509999999998</v>
      </c>
      <c r="S349" s="12">
        <f t="shared" si="1180"/>
        <v>1947.9409999999996</v>
      </c>
      <c r="T349" s="12">
        <f t="shared" si="1180"/>
        <v>2446.4280000000003</v>
      </c>
      <c r="U349" s="12">
        <f t="shared" si="1180"/>
        <v>2697.6190000000001</v>
      </c>
      <c r="V349" s="12">
        <f t="shared" si="1180"/>
        <v>2791.7250000000004</v>
      </c>
      <c r="W349" s="12">
        <f t="shared" si="1180"/>
        <v>2912.8559999999993</v>
      </c>
      <c r="X349" s="12">
        <f t="shared" si="1180"/>
        <v>3527.8879999999999</v>
      </c>
      <c r="Y349" s="12">
        <f t="shared" si="1180"/>
        <v>3877.9149999999991</v>
      </c>
      <c r="Z349" s="12">
        <f t="shared" si="1180"/>
        <v>4376.6409999999996</v>
      </c>
      <c r="AA349" s="12">
        <f t="shared" si="1180"/>
        <v>4564.4920000000002</v>
      </c>
      <c r="AB349" s="12">
        <f t="shared" si="1180"/>
        <v>4022.0569999999989</v>
      </c>
      <c r="AC349" s="12">
        <f t="shared" si="1180"/>
        <v>4007.6750000000002</v>
      </c>
      <c r="AD349" s="12">
        <f t="shared" si="1180"/>
        <v>4617.0600765170311</v>
      </c>
      <c r="AE349" s="12">
        <f t="shared" si="1180"/>
        <v>4476.0310352772476</v>
      </c>
      <c r="AF349" s="12">
        <f t="shared" si="1180"/>
        <v>4290.2984444607582</v>
      </c>
      <c r="AH349" s="5"/>
      <c r="AI349" s="5"/>
      <c r="AJ349" s="5"/>
      <c r="AK349" s="5"/>
      <c r="AL349" s="12">
        <f t="shared" ref="AL349:BQ349" si="1181">SUM(AL278,AL270,AL268,AL267)-SUM(AL251,AL252,AL259)</f>
        <v>386.077</v>
      </c>
      <c r="AM349" s="12">
        <f t="shared" si="1181"/>
        <v>374.09200000000004</v>
      </c>
      <c r="AN349" s="12">
        <f t="shared" si="1181"/>
        <v>399.07799999999997</v>
      </c>
      <c r="AO349" s="12">
        <f t="shared" si="1181"/>
        <v>407.47300000000007</v>
      </c>
      <c r="AP349" s="12">
        <f t="shared" si="1181"/>
        <v>399.35799999999995</v>
      </c>
      <c r="AQ349" s="12">
        <f t="shared" si="1181"/>
        <v>398.50900000000001</v>
      </c>
      <c r="AR349" s="12">
        <f t="shared" si="1181"/>
        <v>418.35100000000011</v>
      </c>
      <c r="AS349" s="12">
        <f t="shared" si="1181"/>
        <v>407.68400000000008</v>
      </c>
      <c r="AT349" s="12">
        <f t="shared" si="1181"/>
        <v>433.77800000000008</v>
      </c>
      <c r="AU349" s="12">
        <f t="shared" si="1181"/>
        <v>412.46700000000004</v>
      </c>
      <c r="AV349" s="12">
        <f t="shared" si="1181"/>
        <v>431.05799999999999</v>
      </c>
      <c r="AW349" s="12">
        <f t="shared" si="1181"/>
        <v>404.26899999999989</v>
      </c>
      <c r="AX349" s="12">
        <f t="shared" si="1181"/>
        <v>412.54999999999995</v>
      </c>
      <c r="AY349" s="12">
        <f t="shared" si="1181"/>
        <v>428.36900000000003</v>
      </c>
      <c r="AZ349" s="12">
        <f t="shared" si="1181"/>
        <v>433.89400000000001</v>
      </c>
      <c r="BA349" s="12">
        <f t="shared" si="1181"/>
        <v>434.10699999999991</v>
      </c>
      <c r="BB349" s="12">
        <f t="shared" si="1181"/>
        <v>465.23400000000009</v>
      </c>
      <c r="BC349" s="12">
        <f t="shared" si="1181"/>
        <v>506.24300000000005</v>
      </c>
      <c r="BD349" s="12">
        <f t="shared" si="1181"/>
        <v>569.17200000000003</v>
      </c>
      <c r="BE349" s="12">
        <f t="shared" si="1181"/>
        <v>663.072</v>
      </c>
      <c r="BF349" s="12">
        <f t="shared" si="1181"/>
        <v>698.10400000000004</v>
      </c>
      <c r="BG349" s="12">
        <f t="shared" si="1181"/>
        <v>688.48000000000013</v>
      </c>
      <c r="BH349" s="12">
        <f t="shared" si="1181"/>
        <v>659.31000000000006</v>
      </c>
      <c r="BI349" s="12">
        <f t="shared" si="1181"/>
        <v>642.87599999999998</v>
      </c>
      <c r="BJ349" s="12">
        <f t="shared" si="1181"/>
        <v>625.52199999999993</v>
      </c>
      <c r="BK349" s="12">
        <f t="shared" si="1181"/>
        <v>597.14499999999998</v>
      </c>
      <c r="BL349" s="12">
        <f t="shared" si="1181"/>
        <v>599.83100000000002</v>
      </c>
      <c r="BM349" s="12">
        <f t="shared" si="1181"/>
        <v>593.29</v>
      </c>
      <c r="BN349" s="12">
        <f t="shared" si="1181"/>
        <v>607.25199999999995</v>
      </c>
      <c r="BO349" s="12">
        <f t="shared" si="1181"/>
        <v>659.74299999999982</v>
      </c>
      <c r="BP349" s="12">
        <f t="shared" si="1181"/>
        <v>692.03399999999999</v>
      </c>
      <c r="BQ349" s="12">
        <f t="shared" si="1181"/>
        <v>747.36500000000012</v>
      </c>
      <c r="BR349" s="12">
        <f t="shared" ref="BR349:CW349" si="1182">SUM(BR278,BR270,BR268,BR267)-SUM(BR251,BR252,BR259)</f>
        <v>798.23</v>
      </c>
      <c r="BS349" s="12">
        <f t="shared" si="1182"/>
        <v>841.3119999999999</v>
      </c>
      <c r="BT349" s="12">
        <f t="shared" si="1182"/>
        <v>895.91099999999983</v>
      </c>
      <c r="BU349" s="12">
        <f t="shared" si="1182"/>
        <v>798.11199999999997</v>
      </c>
      <c r="BV349" s="12">
        <f t="shared" si="1182"/>
        <v>839.97600000000011</v>
      </c>
      <c r="BW349" s="12">
        <f t="shared" si="1182"/>
        <v>899.51600000000008</v>
      </c>
      <c r="BX349" s="12">
        <f t="shared" si="1182"/>
        <v>937.03099999999995</v>
      </c>
      <c r="BY349" s="12">
        <f t="shared" si="1182"/>
        <v>950.29199999999992</v>
      </c>
      <c r="BZ349" s="12">
        <f t="shared" si="1182"/>
        <v>952.39300000000003</v>
      </c>
      <c r="CA349" s="12">
        <f t="shared" si="1182"/>
        <v>958.23900000000003</v>
      </c>
      <c r="CB349" s="12">
        <f t="shared" si="1182"/>
        <v>942.47699999999986</v>
      </c>
      <c r="CC349" s="12">
        <f t="shared" si="1182"/>
        <v>887.28199999999993</v>
      </c>
      <c r="CD349" s="12">
        <f t="shared" si="1182"/>
        <v>832.97799999999984</v>
      </c>
      <c r="CE349" s="12">
        <f t="shared" si="1182"/>
        <v>824.17100000000005</v>
      </c>
      <c r="CF349" s="12">
        <f t="shared" si="1182"/>
        <v>824.87399999999991</v>
      </c>
      <c r="CG349" s="12">
        <f t="shared" si="1182"/>
        <v>812.03400000000011</v>
      </c>
      <c r="CH349" s="12">
        <f t="shared" si="1182"/>
        <v>848.72800000000007</v>
      </c>
      <c r="CI349" s="12">
        <f t="shared" si="1182"/>
        <v>1014.461</v>
      </c>
      <c r="CJ349" s="12">
        <f t="shared" si="1182"/>
        <v>1180.202</v>
      </c>
      <c r="CK349" s="12">
        <f t="shared" si="1182"/>
        <v>1333.4509999999998</v>
      </c>
      <c r="CL349" s="12">
        <f t="shared" si="1182"/>
        <v>1437.8319999999999</v>
      </c>
      <c r="CM349" s="12">
        <f t="shared" si="1182"/>
        <v>1628.9779999999998</v>
      </c>
      <c r="CN349" s="12">
        <f t="shared" si="1182"/>
        <v>1812.5240000000001</v>
      </c>
      <c r="CO349" s="12">
        <f t="shared" si="1182"/>
        <v>1947.9409999999996</v>
      </c>
      <c r="CP349" s="12">
        <f t="shared" si="1182"/>
        <v>2078.5409999999997</v>
      </c>
      <c r="CQ349" s="12">
        <f t="shared" si="1182"/>
        <v>2197.6839999999997</v>
      </c>
      <c r="CR349" s="12">
        <f t="shared" si="1182"/>
        <v>2305.5439999999994</v>
      </c>
      <c r="CS349" s="12">
        <f t="shared" si="1182"/>
        <v>2446.4280000000003</v>
      </c>
      <c r="CT349" s="12">
        <f t="shared" si="1182"/>
        <v>2589.8719999999998</v>
      </c>
      <c r="CU349" s="12">
        <f t="shared" si="1182"/>
        <v>2731.0229999999997</v>
      </c>
      <c r="CV349" s="12">
        <f t="shared" si="1182"/>
        <v>2732.183</v>
      </c>
      <c r="CW349" s="12">
        <f t="shared" si="1182"/>
        <v>2697.6190000000001</v>
      </c>
      <c r="CX349" s="12">
        <f t="shared" ref="CX349:EA349" si="1183">SUM(CX278,CX270,CX268,CX267)-SUM(CX251,CX252,CX259)</f>
        <v>2708.7410000000004</v>
      </c>
      <c r="CY349" s="12">
        <f t="shared" si="1183"/>
        <v>2753.4290000000001</v>
      </c>
      <c r="CZ349" s="12">
        <f t="shared" si="1183"/>
        <v>2743.19</v>
      </c>
      <c r="DA349" s="12">
        <f t="shared" si="1183"/>
        <v>2791.7250000000004</v>
      </c>
      <c r="DB349" s="12">
        <f t="shared" si="1183"/>
        <v>2747.643</v>
      </c>
      <c r="DC349" s="12">
        <f t="shared" si="1183"/>
        <v>2761.2519999999995</v>
      </c>
      <c r="DD349" s="12">
        <f t="shared" si="1183"/>
        <v>2834.297</v>
      </c>
      <c r="DE349" s="12">
        <f t="shared" si="1183"/>
        <v>2912.8559999999993</v>
      </c>
      <c r="DF349" s="12">
        <f t="shared" si="1183"/>
        <v>3053.1249999999991</v>
      </c>
      <c r="DG349" s="12">
        <f t="shared" si="1183"/>
        <v>3188.5439999999999</v>
      </c>
      <c r="DH349" s="12">
        <f t="shared" si="1183"/>
        <v>3458.3530000000001</v>
      </c>
      <c r="DI349" s="12">
        <f t="shared" si="1183"/>
        <v>3527.8879999999999</v>
      </c>
      <c r="DJ349" s="12">
        <f t="shared" si="1183"/>
        <v>3547.6599999999994</v>
      </c>
      <c r="DK349" s="12">
        <f t="shared" si="1183"/>
        <v>3738.9029999999993</v>
      </c>
      <c r="DL349" s="12">
        <f t="shared" si="1183"/>
        <v>3765.8790000000004</v>
      </c>
      <c r="DM349" s="12">
        <f t="shared" si="1183"/>
        <v>3877.9149999999991</v>
      </c>
      <c r="DN349" s="12">
        <f t="shared" si="1183"/>
        <v>3872.9919999999993</v>
      </c>
      <c r="DO349" s="12">
        <f t="shared" si="1183"/>
        <v>4016.7650000000003</v>
      </c>
      <c r="DP349" s="12">
        <f t="shared" si="1183"/>
        <v>4187.9070000000002</v>
      </c>
      <c r="DQ349" s="12">
        <f t="shared" si="1183"/>
        <v>4376.6409999999996</v>
      </c>
      <c r="DR349" s="12">
        <f t="shared" si="1183"/>
        <v>4588.1830000000009</v>
      </c>
      <c r="DS349" s="12">
        <f t="shared" si="1183"/>
        <v>4694.0250000000005</v>
      </c>
      <c r="DT349" s="12">
        <f t="shared" si="1183"/>
        <v>4665.5540000000001</v>
      </c>
      <c r="DU349" s="12">
        <f t="shared" si="1183"/>
        <v>4564.4920000000002</v>
      </c>
      <c r="DV349" s="12">
        <f t="shared" si="1183"/>
        <v>4391.1784806621345</v>
      </c>
      <c r="DW349" s="12">
        <f t="shared" si="1183"/>
        <v>4287.3429999999989</v>
      </c>
      <c r="DX349" s="12">
        <f t="shared" si="1183"/>
        <v>4177.3889999999992</v>
      </c>
      <c r="DY349" s="12">
        <f t="shared" si="1183"/>
        <v>4022.0569999999989</v>
      </c>
      <c r="DZ349" s="12">
        <f t="shared" si="1183"/>
        <v>3991.7619999999984</v>
      </c>
      <c r="EA349" s="12">
        <f t="shared" si="1183"/>
        <v>3961.75</v>
      </c>
      <c r="EB349" s="12">
        <f t="shared" ref="EB349:EC349" si="1184">SUM(EB278,EB270,EB268,EB267)-SUM(EB251,EB252,EB259)</f>
        <v>4052.9540000000002</v>
      </c>
      <c r="EC349" s="12">
        <f t="shared" si="1184"/>
        <v>4007.6750000000002</v>
      </c>
      <c r="ED349" s="12">
        <f t="shared" ref="ED349:EP349" si="1185">SUM(ED278,ED270,ED268,ED267)-SUM(ED251,ED252,ED259)</f>
        <v>4573.463999999999</v>
      </c>
      <c r="EE349" s="12">
        <f t="shared" si="1185"/>
        <v>4581.7231985141252</v>
      </c>
      <c r="EF349" s="12">
        <f t="shared" si="1185"/>
        <v>4599.4508659178082</v>
      </c>
      <c r="EG349" s="12">
        <f t="shared" si="1185"/>
        <v>4617.0600765170311</v>
      </c>
      <c r="EH349" s="12">
        <f t="shared" si="1185"/>
        <v>4586.6932363253427</v>
      </c>
      <c r="EI349" s="12">
        <f t="shared" si="1185"/>
        <v>4563.1293512364546</v>
      </c>
      <c r="EJ349" s="12">
        <f t="shared" si="1185"/>
        <v>4519.9143709020918</v>
      </c>
      <c r="EK349" s="12">
        <f t="shared" si="1185"/>
        <v>4476.0310352772476</v>
      </c>
      <c r="EL349" s="12">
        <f t="shared" si="1185"/>
        <v>4444.0085304222021</v>
      </c>
      <c r="EM349" s="12">
        <f t="shared" si="1185"/>
        <v>4395.1592366278683</v>
      </c>
      <c r="EN349" s="12">
        <f t="shared" si="1185"/>
        <v>4343.9119817256096</v>
      </c>
      <c r="EO349" s="12">
        <f t="shared" si="1185"/>
        <v>4290.2984444607582</v>
      </c>
      <c r="EP349" s="12">
        <f t="shared" si="1185"/>
        <v>4240.1120958209031</v>
      </c>
      <c r="EQ349" s="5"/>
      <c r="ER349" s="5"/>
      <c r="ES349" s="355">
        <f t="shared" si="1105"/>
        <v>344</v>
      </c>
      <c r="ET349"/>
      <c r="EU349"/>
      <c r="EV349"/>
      <c r="EW349"/>
      <c r="EX349"/>
      <c r="EY349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</row>
    <row r="350" spans="1:257" s="17" customFormat="1" hidden="1" outlineLevel="2">
      <c r="A350" s="38"/>
      <c r="B350" s="37" t="s">
        <v>20</v>
      </c>
      <c r="C350" s="5"/>
      <c r="D350" s="5"/>
      <c r="E350" s="12">
        <f t="shared" ref="E350:AF350" si="1186">E34</f>
        <v>55.762000000000036</v>
      </c>
      <c r="F350" s="12">
        <f t="shared" si="1186"/>
        <v>50.294999999999987</v>
      </c>
      <c r="G350" s="12">
        <f t="shared" si="1186"/>
        <v>44.133999999999986</v>
      </c>
      <c r="H350" s="12">
        <f t="shared" si="1186"/>
        <v>89.364000000000004</v>
      </c>
      <c r="I350" s="12">
        <f t="shared" si="1186"/>
        <v>149.29100000000003</v>
      </c>
      <c r="J350" s="12">
        <f t="shared" si="1186"/>
        <v>145.85900000000007</v>
      </c>
      <c r="K350" s="12">
        <f t="shared" si="1186"/>
        <v>100.86700000000002</v>
      </c>
      <c r="L350" s="12">
        <f t="shared" si="1186"/>
        <v>159.76</v>
      </c>
      <c r="M350" s="12">
        <f t="shared" si="1186"/>
        <v>287.49</v>
      </c>
      <c r="N350" s="12">
        <f t="shared" si="1186"/>
        <v>63.715000000000018</v>
      </c>
      <c r="O350" s="12">
        <f t="shared" si="1186"/>
        <v>38.277999999999977</v>
      </c>
      <c r="P350" s="12">
        <f t="shared" si="1186"/>
        <v>39.254000000000033</v>
      </c>
      <c r="Q350" s="12">
        <f t="shared" si="1186"/>
        <v>179.20600000000013</v>
      </c>
      <c r="R350" s="12">
        <f t="shared" si="1186"/>
        <v>409.79399999999998</v>
      </c>
      <c r="S350" s="12">
        <f t="shared" si="1186"/>
        <v>573.96099999999956</v>
      </c>
      <c r="T350" s="12">
        <f t="shared" si="1186"/>
        <v>680.21900000000005</v>
      </c>
      <c r="U350" s="12">
        <f t="shared" si="1186"/>
        <v>576.95899999999995</v>
      </c>
      <c r="V350" s="12">
        <f t="shared" si="1186"/>
        <v>441.31</v>
      </c>
      <c r="W350" s="12">
        <f t="shared" si="1186"/>
        <v>698.82199999999989</v>
      </c>
      <c r="X350" s="12">
        <f t="shared" si="1186"/>
        <v>885.51800000000026</v>
      </c>
      <c r="Y350" s="12">
        <f t="shared" si="1186"/>
        <v>921.29839999999945</v>
      </c>
      <c r="Z350" s="12">
        <f t="shared" si="1186"/>
        <v>1042.3001920000004</v>
      </c>
      <c r="AA350" s="12">
        <f t="shared" si="1186"/>
        <v>518.38793200000009</v>
      </c>
      <c r="AB350" s="12">
        <f t="shared" si="1186"/>
        <v>-164.87888899999973</v>
      </c>
      <c r="AC350" s="12">
        <f t="shared" si="1186"/>
        <v>-184.86720000000037</v>
      </c>
      <c r="AD350" s="12">
        <f t="shared" si="1186"/>
        <v>43.478685570557673</v>
      </c>
      <c r="AE350" s="12">
        <f t="shared" si="1186"/>
        <v>276.71217193202892</v>
      </c>
      <c r="AF350" s="12">
        <f t="shared" si="1186"/>
        <v>356.77347399430369</v>
      </c>
      <c r="AH350" s="5"/>
      <c r="AI350" s="5"/>
      <c r="AJ350" s="5"/>
      <c r="AK350" s="5"/>
      <c r="AL350" s="12">
        <f t="shared" ref="AL350:BQ350" si="1187">AL34</f>
        <v>15.633000000000004</v>
      </c>
      <c r="AM350" s="12">
        <f t="shared" si="1187"/>
        <v>14.234999999999994</v>
      </c>
      <c r="AN350" s="12">
        <f t="shared" si="1187"/>
        <v>10.92100000000001</v>
      </c>
      <c r="AO350" s="12">
        <f t="shared" si="1187"/>
        <v>9.5059999999999718</v>
      </c>
      <c r="AP350" s="12">
        <f t="shared" si="1187"/>
        <v>11.583000000000007</v>
      </c>
      <c r="AQ350" s="12">
        <f t="shared" si="1187"/>
        <v>12.141999999999998</v>
      </c>
      <c r="AR350" s="12">
        <f t="shared" si="1187"/>
        <v>10.858999999999996</v>
      </c>
      <c r="AS350" s="12">
        <f t="shared" si="1187"/>
        <v>9.5499999999999901</v>
      </c>
      <c r="AT350" s="12">
        <f t="shared" si="1187"/>
        <v>18.076000000000008</v>
      </c>
      <c r="AU350" s="12">
        <f t="shared" si="1187"/>
        <v>21.893999999999998</v>
      </c>
      <c r="AV350" s="12">
        <f t="shared" si="1187"/>
        <v>26.826999999999998</v>
      </c>
      <c r="AW350" s="12">
        <f t="shared" si="1187"/>
        <v>22.567000000000029</v>
      </c>
      <c r="AX350" s="12">
        <f t="shared" si="1187"/>
        <v>35.094999999999999</v>
      </c>
      <c r="AY350" s="12">
        <f t="shared" si="1187"/>
        <v>40.042000000000002</v>
      </c>
      <c r="AZ350" s="12">
        <f t="shared" si="1187"/>
        <v>35.412000000000006</v>
      </c>
      <c r="BA350" s="12">
        <f t="shared" si="1187"/>
        <v>38.742000000000061</v>
      </c>
      <c r="BB350" s="12">
        <f t="shared" si="1187"/>
        <v>46.415000000000006</v>
      </c>
      <c r="BC350" s="12">
        <f t="shared" si="1187"/>
        <v>36.414999999999999</v>
      </c>
      <c r="BD350" s="12">
        <f t="shared" si="1187"/>
        <v>38.324999999999989</v>
      </c>
      <c r="BE350" s="12">
        <f t="shared" si="1187"/>
        <v>24.704000000000129</v>
      </c>
      <c r="BF350" s="12">
        <f t="shared" si="1187"/>
        <v>28.314999999999994</v>
      </c>
      <c r="BG350" s="12">
        <f t="shared" si="1187"/>
        <v>19.853000000000002</v>
      </c>
      <c r="BH350" s="12">
        <f t="shared" si="1187"/>
        <v>26.758999999999986</v>
      </c>
      <c r="BI350" s="12">
        <f t="shared" si="1187"/>
        <v>25.940000000000055</v>
      </c>
      <c r="BJ350" s="12">
        <f t="shared" si="1187"/>
        <v>29.537999999999986</v>
      </c>
      <c r="BK350" s="12">
        <f t="shared" si="1187"/>
        <v>33.490000000000009</v>
      </c>
      <c r="BL350" s="12">
        <f t="shared" si="1187"/>
        <v>43.457999999999998</v>
      </c>
      <c r="BM350" s="12">
        <f t="shared" si="1187"/>
        <v>53.273999999999994</v>
      </c>
      <c r="BN350" s="12">
        <f t="shared" si="1187"/>
        <v>74.156999999999982</v>
      </c>
      <c r="BO350" s="12">
        <f t="shared" si="1187"/>
        <v>84.311000000000007</v>
      </c>
      <c r="BP350" s="12">
        <f t="shared" si="1187"/>
        <v>76.663000000000011</v>
      </c>
      <c r="BQ350" s="12">
        <f t="shared" si="1187"/>
        <v>52.358999999999988</v>
      </c>
      <c r="BR350" s="12">
        <f t="shared" ref="BR350:CW350" si="1188">BR34</f>
        <v>28.088000000000001</v>
      </c>
      <c r="BS350" s="12">
        <f t="shared" si="1188"/>
        <v>12.175999999999998</v>
      </c>
      <c r="BT350" s="12">
        <f t="shared" si="1188"/>
        <v>14.055</v>
      </c>
      <c r="BU350" s="12">
        <f t="shared" si="1188"/>
        <v>9.3960000000000008</v>
      </c>
      <c r="BV350" s="12">
        <f t="shared" si="1188"/>
        <v>2.2320000000000064</v>
      </c>
      <c r="BW350" s="12">
        <f t="shared" si="1188"/>
        <v>6.627000000000006</v>
      </c>
      <c r="BX350" s="12">
        <f t="shared" si="1188"/>
        <v>16.947999999999997</v>
      </c>
      <c r="BY350" s="12">
        <f t="shared" si="1188"/>
        <v>12.470999999999997</v>
      </c>
      <c r="BZ350" s="12">
        <f t="shared" si="1188"/>
        <v>9.1219999999999892</v>
      </c>
      <c r="CA350" s="12">
        <f t="shared" si="1188"/>
        <v>4.8829999999999956</v>
      </c>
      <c r="CB350" s="12">
        <f t="shared" si="1188"/>
        <v>8.6790000000000056</v>
      </c>
      <c r="CC350" s="12">
        <f t="shared" si="1188"/>
        <v>16.570000000000011</v>
      </c>
      <c r="CD350" s="12">
        <f t="shared" si="1188"/>
        <v>30.919000000000004</v>
      </c>
      <c r="CE350" s="12">
        <f t="shared" si="1188"/>
        <v>37.586000000000013</v>
      </c>
      <c r="CF350" s="12">
        <f t="shared" si="1188"/>
        <v>50.817999999999998</v>
      </c>
      <c r="CG350" s="12">
        <f t="shared" si="1188"/>
        <v>59.883000000000024</v>
      </c>
      <c r="CH350" s="12">
        <f t="shared" si="1188"/>
        <v>79.930999999999997</v>
      </c>
      <c r="CI350" s="12">
        <f t="shared" si="1188"/>
        <v>96.687999999999974</v>
      </c>
      <c r="CJ350" s="12">
        <f t="shared" si="1188"/>
        <v>112.24200000000005</v>
      </c>
      <c r="CK350" s="12">
        <f t="shared" si="1188"/>
        <v>120.93300000000004</v>
      </c>
      <c r="CL350" s="12">
        <f t="shared" si="1188"/>
        <v>146.16799999999998</v>
      </c>
      <c r="CM350" s="12">
        <f t="shared" si="1188"/>
        <v>126.77799999999996</v>
      </c>
      <c r="CN350" s="12">
        <f t="shared" si="1188"/>
        <v>142.58599999999993</v>
      </c>
      <c r="CO350" s="12">
        <f t="shared" si="1188"/>
        <v>158.429</v>
      </c>
      <c r="CP350" s="12">
        <f t="shared" si="1188"/>
        <v>162.98100000000008</v>
      </c>
      <c r="CQ350" s="12">
        <f t="shared" si="1188"/>
        <v>153.72399999999993</v>
      </c>
      <c r="CR350" s="12">
        <f t="shared" si="1188"/>
        <v>181.89400000000003</v>
      </c>
      <c r="CS350" s="12">
        <f t="shared" si="1188"/>
        <v>181.61999999999995</v>
      </c>
      <c r="CT350" s="12">
        <f t="shared" si="1188"/>
        <v>221.22899999999998</v>
      </c>
      <c r="CU350" s="12">
        <f t="shared" si="1188"/>
        <v>181.28299999999999</v>
      </c>
      <c r="CV350" s="12">
        <f t="shared" si="1188"/>
        <v>89.383000000000067</v>
      </c>
      <c r="CW350" s="12">
        <f t="shared" si="1188"/>
        <v>85.064000000000036</v>
      </c>
      <c r="CX350" s="12">
        <f t="shared" ref="CX350:EA350" si="1189">CX34</f>
        <v>101.68800000000007</v>
      </c>
      <c r="CY350" s="12">
        <f t="shared" si="1189"/>
        <v>97.911999999999935</v>
      </c>
      <c r="CZ350" s="12">
        <f t="shared" si="1189"/>
        <v>109.22499999999999</v>
      </c>
      <c r="DA350" s="12">
        <f t="shared" si="1189"/>
        <v>132.48500000000001</v>
      </c>
      <c r="DB350" s="12">
        <f t="shared" si="1189"/>
        <v>168.05699999999993</v>
      </c>
      <c r="DC350" s="12">
        <f t="shared" si="1189"/>
        <v>166.79999999999998</v>
      </c>
      <c r="DD350" s="12">
        <f t="shared" si="1189"/>
        <v>174.50399999999991</v>
      </c>
      <c r="DE350" s="12">
        <f t="shared" si="1189"/>
        <v>189.46099999999998</v>
      </c>
      <c r="DF350" s="12">
        <f t="shared" si="1189"/>
        <v>225.85600000000005</v>
      </c>
      <c r="DG350" s="12">
        <f t="shared" si="1189"/>
        <v>199.20499999999996</v>
      </c>
      <c r="DH350" s="12">
        <f t="shared" si="1189"/>
        <v>230.79299999999984</v>
      </c>
      <c r="DI350" s="12">
        <f t="shared" si="1189"/>
        <v>229.66400000000004</v>
      </c>
      <c r="DJ350" s="12">
        <f t="shared" si="1189"/>
        <v>235.32799999999992</v>
      </c>
      <c r="DK350" s="12">
        <f t="shared" si="1189"/>
        <v>227.60700000000003</v>
      </c>
      <c r="DL350" s="12">
        <f t="shared" si="1189"/>
        <v>235.95400000000001</v>
      </c>
      <c r="DM350" s="12">
        <f t="shared" si="1189"/>
        <v>222.40940000000001</v>
      </c>
      <c r="DN350" s="12">
        <f t="shared" si="1189"/>
        <v>248.46519199999997</v>
      </c>
      <c r="DO350" s="12">
        <f t="shared" si="1189"/>
        <v>251.24400000000011</v>
      </c>
      <c r="DP350" s="12">
        <f t="shared" si="1189"/>
        <v>269.78399999999988</v>
      </c>
      <c r="DQ350" s="12">
        <f t="shared" si="1189"/>
        <v>272.80700000000002</v>
      </c>
      <c r="DR350" s="12">
        <f t="shared" si="1189"/>
        <v>304.66399999999999</v>
      </c>
      <c r="DS350" s="12">
        <f t="shared" si="1189"/>
        <v>159.57270800000001</v>
      </c>
      <c r="DT350" s="12">
        <f t="shared" si="1189"/>
        <v>46.490178999999983</v>
      </c>
      <c r="DU350" s="12">
        <f t="shared" si="1189"/>
        <v>7.6610449999999162</v>
      </c>
      <c r="DV350" s="12">
        <f t="shared" si="1189"/>
        <v>13.70993500000003</v>
      </c>
      <c r="DW350" s="12">
        <f t="shared" si="1189"/>
        <v>-38.922487000000018</v>
      </c>
      <c r="DX350" s="12">
        <f t="shared" si="1189"/>
        <v>-76.642569999999949</v>
      </c>
      <c r="DY350" s="12">
        <f t="shared" si="1189"/>
        <v>-63.023766999999992</v>
      </c>
      <c r="DZ350" s="12">
        <f t="shared" si="1189"/>
        <v>-62.139989999999983</v>
      </c>
      <c r="EA350" s="12">
        <f t="shared" si="1189"/>
        <v>-68.525197999999989</v>
      </c>
      <c r="EB350" s="12">
        <f t="shared" ref="EB350:EC350" si="1190">EB34</f>
        <v>-32.316831999999977</v>
      </c>
      <c r="EC350" s="12">
        <f t="shared" si="1190"/>
        <v>-21.885180000000105</v>
      </c>
      <c r="ED350" s="12">
        <f t="shared" ref="ED350:EP350" si="1191">ED34</f>
        <v>0.87665399999988836</v>
      </c>
      <c r="EE350" s="12">
        <f t="shared" si="1191"/>
        <v>-4.7963039500000093</v>
      </c>
      <c r="EF350" s="12">
        <f t="shared" si="1191"/>
        <v>11.432689911499949</v>
      </c>
      <c r="EG350" s="12">
        <f t="shared" si="1191"/>
        <v>35.965645609057532</v>
      </c>
      <c r="EH350" s="12">
        <f t="shared" si="1191"/>
        <v>51.713775505837788</v>
      </c>
      <c r="EI350" s="12">
        <f t="shared" si="1191"/>
        <v>66.550492432365672</v>
      </c>
      <c r="EJ350" s="12">
        <f t="shared" si="1191"/>
        <v>75.434121245311246</v>
      </c>
      <c r="EK350" s="12">
        <f t="shared" si="1191"/>
        <v>83.01378274851416</v>
      </c>
      <c r="EL350" s="12">
        <f t="shared" si="1191"/>
        <v>94.210844134651893</v>
      </c>
      <c r="EM350" s="12">
        <f t="shared" si="1191"/>
        <v>88.895138309155783</v>
      </c>
      <c r="EN350" s="12">
        <f t="shared" si="1191"/>
        <v>86.555983343571086</v>
      </c>
      <c r="EO350" s="12">
        <f t="shared" si="1191"/>
        <v>87.111508206924753</v>
      </c>
      <c r="EP350" s="12">
        <f t="shared" si="1191"/>
        <v>84.757853458965769</v>
      </c>
      <c r="EQ350" s="5"/>
      <c r="ER350" s="5"/>
      <c r="ES350" s="355">
        <f t="shared" si="1105"/>
        <v>345</v>
      </c>
      <c r="ET350"/>
      <c r="EU350"/>
      <c r="EV350"/>
      <c r="EW350"/>
      <c r="EX350"/>
      <c r="EY350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</row>
    <row r="351" spans="1:257" s="17" customFormat="1" hidden="1" outlineLevel="2">
      <c r="A351" s="38"/>
      <c r="B351" s="37" t="s">
        <v>19</v>
      </c>
      <c r="C351" s="5"/>
      <c r="D351" s="5"/>
      <c r="E351" s="12">
        <f t="shared" ref="E351:AF351" si="1192">E350*(1-E364)</f>
        <v>32.341960000000022</v>
      </c>
      <c r="F351" s="12">
        <f t="shared" si="1192"/>
        <v>31.182899999999993</v>
      </c>
      <c r="G351" s="12">
        <f t="shared" si="1192"/>
        <v>20.301639999999992</v>
      </c>
      <c r="H351" s="12">
        <f t="shared" si="1192"/>
        <v>56.299320000000002</v>
      </c>
      <c r="I351" s="12">
        <f t="shared" si="1192"/>
        <v>95.546240000000012</v>
      </c>
      <c r="J351" s="12">
        <f t="shared" si="1192"/>
        <v>91.891170000000045</v>
      </c>
      <c r="K351" s="12">
        <f t="shared" si="1192"/>
        <v>60.520200000000017</v>
      </c>
      <c r="L351" s="12">
        <f t="shared" si="1192"/>
        <v>95.856000000000009</v>
      </c>
      <c r="M351" s="12">
        <f t="shared" si="1192"/>
        <v>169.61910000000003</v>
      </c>
      <c r="N351" s="12">
        <f t="shared" si="1192"/>
        <v>35.680400000000013</v>
      </c>
      <c r="O351" s="12">
        <f t="shared" si="1192"/>
        <v>21.818459999999991</v>
      </c>
      <c r="P351" s="12">
        <f t="shared" si="1192"/>
        <v>18.449380000000016</v>
      </c>
      <c r="Q351" s="12">
        <f t="shared" si="1192"/>
        <v>105.73154000000007</v>
      </c>
      <c r="R351" s="12">
        <f t="shared" si="1192"/>
        <v>266.36610000000002</v>
      </c>
      <c r="S351" s="12">
        <f t="shared" si="1192"/>
        <v>367.33503999999971</v>
      </c>
      <c r="T351" s="12">
        <f t="shared" si="1192"/>
        <v>421.73578000000003</v>
      </c>
      <c r="U351" s="12">
        <f t="shared" si="1192"/>
        <v>357.71457999999996</v>
      </c>
      <c r="V351" s="12">
        <f t="shared" si="1192"/>
        <v>286.85149999999999</v>
      </c>
      <c r="W351" s="12">
        <f t="shared" si="1192"/>
        <v>447.24607999999995</v>
      </c>
      <c r="X351" s="12">
        <f t="shared" si="1192"/>
        <v>566.73152000000016</v>
      </c>
      <c r="Y351" s="12">
        <f t="shared" si="1192"/>
        <v>574.89020159999961</v>
      </c>
      <c r="Z351" s="12">
        <f t="shared" si="1192"/>
        <v>649.35301961600021</v>
      </c>
      <c r="AA351" s="12">
        <f t="shared" si="1192"/>
        <v>322.95568163600007</v>
      </c>
      <c r="AB351" s="12">
        <f t="shared" si="1192"/>
        <v>-102.71954784699983</v>
      </c>
      <c r="AC351" s="12">
        <f t="shared" si="1192"/>
        <v>-115.17226560000023</v>
      </c>
      <c r="AD351" s="12">
        <f t="shared" si="1192"/>
        <v>31.869876523218775</v>
      </c>
      <c r="AE351" s="12">
        <f t="shared" si="1192"/>
        <v>202.8300220261772</v>
      </c>
      <c r="AF351" s="12">
        <f t="shared" si="1192"/>
        <v>261.51495643782459</v>
      </c>
      <c r="AH351" s="5"/>
      <c r="AI351" s="5"/>
      <c r="AJ351" s="5"/>
      <c r="AK351" s="5"/>
      <c r="AL351" s="12">
        <f t="shared" ref="AL351:BQ351" si="1193">AL350*(1-AL364)</f>
        <v>9.6924600000000023</v>
      </c>
      <c r="AM351" s="12">
        <f t="shared" si="1193"/>
        <v>8.8256999999999959</v>
      </c>
      <c r="AN351" s="12">
        <f t="shared" si="1193"/>
        <v>6.7710200000000063</v>
      </c>
      <c r="AO351" s="12">
        <f t="shared" si="1193"/>
        <v>5.8937199999999823</v>
      </c>
      <c r="AP351" s="12">
        <f t="shared" si="1193"/>
        <v>5.3281800000000032</v>
      </c>
      <c r="AQ351" s="12">
        <f t="shared" si="1193"/>
        <v>5.5853199999999985</v>
      </c>
      <c r="AR351" s="12">
        <f t="shared" si="1193"/>
        <v>4.9951399999999984</v>
      </c>
      <c r="AS351" s="12">
        <f t="shared" si="1193"/>
        <v>4.3929999999999954</v>
      </c>
      <c r="AT351" s="12">
        <f t="shared" si="1193"/>
        <v>11.387880000000004</v>
      </c>
      <c r="AU351" s="12">
        <f t="shared" si="1193"/>
        <v>13.79322</v>
      </c>
      <c r="AV351" s="12">
        <f t="shared" si="1193"/>
        <v>16.901009999999999</v>
      </c>
      <c r="AW351" s="12">
        <f t="shared" si="1193"/>
        <v>14.217210000000017</v>
      </c>
      <c r="AX351" s="12">
        <f t="shared" si="1193"/>
        <v>22.460799999999999</v>
      </c>
      <c r="AY351" s="12">
        <f t="shared" si="1193"/>
        <v>25.62688</v>
      </c>
      <c r="AZ351" s="12">
        <f t="shared" si="1193"/>
        <v>22.663680000000003</v>
      </c>
      <c r="BA351" s="12">
        <f t="shared" si="1193"/>
        <v>24.794880000000038</v>
      </c>
      <c r="BB351" s="12">
        <f t="shared" si="1193"/>
        <v>29.241450000000004</v>
      </c>
      <c r="BC351" s="12">
        <f t="shared" si="1193"/>
        <v>22.94145</v>
      </c>
      <c r="BD351" s="12">
        <f t="shared" si="1193"/>
        <v>24.144749999999991</v>
      </c>
      <c r="BE351" s="12">
        <f t="shared" si="1193"/>
        <v>15.56352000000008</v>
      </c>
      <c r="BF351" s="12">
        <f t="shared" si="1193"/>
        <v>16.989000000000001</v>
      </c>
      <c r="BG351" s="12">
        <f t="shared" si="1193"/>
        <v>11.911800000000003</v>
      </c>
      <c r="BH351" s="12">
        <f t="shared" si="1193"/>
        <v>16.055399999999995</v>
      </c>
      <c r="BI351" s="12">
        <f t="shared" si="1193"/>
        <v>15.564000000000036</v>
      </c>
      <c r="BJ351" s="12">
        <f t="shared" si="1193"/>
        <v>17.722799999999996</v>
      </c>
      <c r="BK351" s="12">
        <f t="shared" si="1193"/>
        <v>20.094000000000008</v>
      </c>
      <c r="BL351" s="12">
        <f t="shared" si="1193"/>
        <v>26.074800000000003</v>
      </c>
      <c r="BM351" s="12">
        <f t="shared" si="1193"/>
        <v>31.964400000000001</v>
      </c>
      <c r="BN351" s="12">
        <f t="shared" si="1193"/>
        <v>43.752629999999996</v>
      </c>
      <c r="BO351" s="12">
        <f t="shared" si="1193"/>
        <v>49.743490000000008</v>
      </c>
      <c r="BP351" s="12">
        <f t="shared" si="1193"/>
        <v>45.231170000000013</v>
      </c>
      <c r="BQ351" s="12">
        <f t="shared" si="1193"/>
        <v>30.891809999999996</v>
      </c>
      <c r="BR351" s="12">
        <f t="shared" ref="BR351:CW351" si="1194">BR350*(1-BR364)</f>
        <v>15.729280000000003</v>
      </c>
      <c r="BS351" s="12">
        <f t="shared" si="1194"/>
        <v>6.8185599999999997</v>
      </c>
      <c r="BT351" s="12">
        <f t="shared" si="1194"/>
        <v>7.8708000000000009</v>
      </c>
      <c r="BU351" s="12">
        <f t="shared" si="1194"/>
        <v>5.2617600000000007</v>
      </c>
      <c r="BV351" s="12">
        <f t="shared" si="1194"/>
        <v>1.2722400000000038</v>
      </c>
      <c r="BW351" s="12">
        <f t="shared" si="1194"/>
        <v>3.777390000000004</v>
      </c>
      <c r="BX351" s="12">
        <f t="shared" si="1194"/>
        <v>9.6603599999999989</v>
      </c>
      <c r="BY351" s="12">
        <f t="shared" si="1194"/>
        <v>7.1084699999999987</v>
      </c>
      <c r="BZ351" s="12">
        <f t="shared" si="1194"/>
        <v>4.287339999999995</v>
      </c>
      <c r="CA351" s="12">
        <f t="shared" si="1194"/>
        <v>2.2950099999999978</v>
      </c>
      <c r="CB351" s="12">
        <f t="shared" si="1194"/>
        <v>4.0791300000000028</v>
      </c>
      <c r="CC351" s="12">
        <f t="shared" si="1194"/>
        <v>7.7879000000000049</v>
      </c>
      <c r="CD351" s="12">
        <f t="shared" si="1194"/>
        <v>18.24221</v>
      </c>
      <c r="CE351" s="12">
        <f t="shared" si="1194"/>
        <v>22.175740000000005</v>
      </c>
      <c r="CF351" s="12">
        <f t="shared" si="1194"/>
        <v>29.982619999999997</v>
      </c>
      <c r="CG351" s="12">
        <f t="shared" si="1194"/>
        <v>35.330970000000015</v>
      </c>
      <c r="CH351" s="12">
        <f t="shared" si="1194"/>
        <v>51.955150000000003</v>
      </c>
      <c r="CI351" s="12">
        <f t="shared" si="1194"/>
        <v>62.847199999999987</v>
      </c>
      <c r="CJ351" s="12">
        <f t="shared" si="1194"/>
        <v>72.957300000000032</v>
      </c>
      <c r="CK351" s="12">
        <f t="shared" si="1194"/>
        <v>78.606450000000024</v>
      </c>
      <c r="CL351" s="12">
        <f t="shared" si="1194"/>
        <v>93.547519999999992</v>
      </c>
      <c r="CM351" s="12">
        <f t="shared" si="1194"/>
        <v>81.13791999999998</v>
      </c>
      <c r="CN351" s="12">
        <f t="shared" si="1194"/>
        <v>91.255039999999951</v>
      </c>
      <c r="CO351" s="12">
        <f t="shared" si="1194"/>
        <v>101.39456</v>
      </c>
      <c r="CP351" s="12">
        <f t="shared" si="1194"/>
        <v>101.04822000000004</v>
      </c>
      <c r="CQ351" s="12">
        <f t="shared" si="1194"/>
        <v>95.308879999999959</v>
      </c>
      <c r="CR351" s="12">
        <f t="shared" si="1194"/>
        <v>112.77428000000002</v>
      </c>
      <c r="CS351" s="12">
        <f t="shared" si="1194"/>
        <v>112.60439999999997</v>
      </c>
      <c r="CT351" s="12">
        <f t="shared" si="1194"/>
        <v>137.16198</v>
      </c>
      <c r="CU351" s="12">
        <f t="shared" si="1194"/>
        <v>112.39545999999999</v>
      </c>
      <c r="CV351" s="12">
        <f t="shared" si="1194"/>
        <v>55.417460000000041</v>
      </c>
      <c r="CW351" s="12">
        <f t="shared" si="1194"/>
        <v>52.739680000000021</v>
      </c>
      <c r="CX351" s="12">
        <f t="shared" ref="CX351:EA351" si="1195">CX350*(1-CX364)</f>
        <v>66.097200000000043</v>
      </c>
      <c r="CY351" s="12">
        <f t="shared" si="1195"/>
        <v>63.642799999999959</v>
      </c>
      <c r="CZ351" s="12">
        <f t="shared" si="1195"/>
        <v>70.996250000000003</v>
      </c>
      <c r="DA351" s="12">
        <f t="shared" si="1195"/>
        <v>86.115250000000017</v>
      </c>
      <c r="DB351" s="12">
        <f t="shared" si="1195"/>
        <v>107.55647999999997</v>
      </c>
      <c r="DC351" s="12">
        <f t="shared" si="1195"/>
        <v>106.752</v>
      </c>
      <c r="DD351" s="12">
        <f t="shared" si="1195"/>
        <v>111.68255999999994</v>
      </c>
      <c r="DE351" s="12">
        <f t="shared" si="1195"/>
        <v>121.25503999999999</v>
      </c>
      <c r="DF351" s="12">
        <f t="shared" si="1195"/>
        <v>144.54784000000004</v>
      </c>
      <c r="DG351" s="12">
        <f t="shared" si="1195"/>
        <v>127.49119999999998</v>
      </c>
      <c r="DH351" s="12">
        <f t="shared" si="1195"/>
        <v>147.7075199999999</v>
      </c>
      <c r="DI351" s="12">
        <f t="shared" si="1195"/>
        <v>146.98496000000003</v>
      </c>
      <c r="DJ351" s="12">
        <f t="shared" si="1195"/>
        <v>150.60991999999996</v>
      </c>
      <c r="DK351" s="12">
        <f t="shared" si="1195"/>
        <v>145.66848000000002</v>
      </c>
      <c r="DL351" s="12">
        <f t="shared" si="1195"/>
        <v>151.01056</v>
      </c>
      <c r="DM351" s="12">
        <f t="shared" si="1195"/>
        <v>138.7834656</v>
      </c>
      <c r="DN351" s="12">
        <f t="shared" si="1195"/>
        <v>155.04227980799999</v>
      </c>
      <c r="DO351" s="12">
        <f t="shared" si="1195"/>
        <v>156.77625600000007</v>
      </c>
      <c r="DP351" s="12">
        <f t="shared" si="1195"/>
        <v>168.34521599999994</v>
      </c>
      <c r="DQ351" s="12">
        <f t="shared" si="1195"/>
        <v>169.95876100000001</v>
      </c>
      <c r="DR351" s="12">
        <f t="shared" si="1195"/>
        <v>189.80567199999999</v>
      </c>
      <c r="DS351" s="12">
        <f t="shared" si="1195"/>
        <v>99.413797084000009</v>
      </c>
      <c r="DT351" s="12">
        <f t="shared" si="1195"/>
        <v>28.963381516999991</v>
      </c>
      <c r="DU351" s="12">
        <f t="shared" si="1195"/>
        <v>4.7728310349999479</v>
      </c>
      <c r="DV351" s="12">
        <f t="shared" si="1195"/>
        <v>8.5412895050000195</v>
      </c>
      <c r="DW351" s="12">
        <f t="shared" si="1195"/>
        <v>-24.24870940100001</v>
      </c>
      <c r="DX351" s="12">
        <f t="shared" si="1195"/>
        <v>-47.748321109999971</v>
      </c>
      <c r="DY351" s="12">
        <f t="shared" si="1195"/>
        <v>-39.263806840999997</v>
      </c>
      <c r="DZ351" s="12">
        <f t="shared" si="1195"/>
        <v>-38.713213769999989</v>
      </c>
      <c r="EA351" s="12">
        <f t="shared" si="1195"/>
        <v>-42.691198353999994</v>
      </c>
      <c r="EB351" s="12">
        <f t="shared" ref="EB351:EC351" si="1196">EB350*(1-EB364)</f>
        <v>-20.133386335999987</v>
      </c>
      <c r="EC351" s="12">
        <f t="shared" si="1196"/>
        <v>-13.634467140000066</v>
      </c>
      <c r="ED351" s="12">
        <f t="shared" ref="ED351:EP351" si="1197">ED350*(1-ED364)</f>
        <v>0.54615544199993049</v>
      </c>
      <c r="EE351" s="12">
        <f t="shared" si="1197"/>
        <v>-3.5156907953500069</v>
      </c>
      <c r="EF351" s="12">
        <f t="shared" si="1197"/>
        <v>8.3801617051294635</v>
      </c>
      <c r="EG351" s="12">
        <f t="shared" si="1197"/>
        <v>26.362818231439171</v>
      </c>
      <c r="EH351" s="12">
        <f t="shared" si="1197"/>
        <v>37.9061974457791</v>
      </c>
      <c r="EI351" s="12">
        <f t="shared" si="1197"/>
        <v>48.781510952924037</v>
      </c>
      <c r="EJ351" s="12">
        <f t="shared" si="1197"/>
        <v>55.293210872813141</v>
      </c>
      <c r="EK351" s="12">
        <f t="shared" si="1197"/>
        <v>60.849102754660876</v>
      </c>
      <c r="EL351" s="12">
        <f t="shared" si="1197"/>
        <v>69.056548750699832</v>
      </c>
      <c r="EM351" s="12">
        <f t="shared" si="1197"/>
        <v>65.160136380611192</v>
      </c>
      <c r="EN351" s="12">
        <f t="shared" si="1197"/>
        <v>63.445535790837603</v>
      </c>
      <c r="EO351" s="12">
        <f t="shared" si="1197"/>
        <v>63.852735515675846</v>
      </c>
      <c r="EP351" s="12">
        <f t="shared" si="1197"/>
        <v>62.127506585421905</v>
      </c>
      <c r="EQ351" s="5"/>
      <c r="ER351" s="5"/>
      <c r="ES351" s="355">
        <f t="shared" si="1105"/>
        <v>346</v>
      </c>
      <c r="ET351"/>
      <c r="EU351"/>
      <c r="EV351"/>
      <c r="EW351"/>
      <c r="EX351"/>
      <c r="EY35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</row>
    <row r="352" spans="1:257" s="17" customFormat="1" hidden="1" outlineLevel="2">
      <c r="A352" s="38"/>
      <c r="B352" s="43" t="s">
        <v>18</v>
      </c>
      <c r="C352" s="5"/>
      <c r="D352" s="5"/>
      <c r="E352" s="41">
        <f t="shared" ref="E352:AF352" si="1198">E351/E15</f>
        <v>0.10567644838864625</v>
      </c>
      <c r="F352" s="41">
        <f t="shared" si="1198"/>
        <v>9.6631835338303912E-2</v>
      </c>
      <c r="G352" s="41">
        <f t="shared" si="1198"/>
        <v>6.8615597803126288E-2</v>
      </c>
      <c r="H352" s="41">
        <f t="shared" si="1198"/>
        <v>0.14529869177981433</v>
      </c>
      <c r="I352" s="41">
        <f t="shared" si="1198"/>
        <v>0.18866921263294251</v>
      </c>
      <c r="J352" s="41">
        <f t="shared" si="1198"/>
        <v>0.15521187020405827</v>
      </c>
      <c r="K352" s="41">
        <f t="shared" si="1198"/>
        <v>0.10873936776136355</v>
      </c>
      <c r="L352" s="41">
        <f t="shared" si="1198"/>
        <v>0.1599941247358635</v>
      </c>
      <c r="M352" s="41">
        <f t="shared" si="1198"/>
        <v>0.22099690170132821</v>
      </c>
      <c r="N352" s="41">
        <f t="shared" si="1198"/>
        <v>6.8171205630939619E-2</v>
      </c>
      <c r="O352" s="41">
        <f t="shared" si="1198"/>
        <v>4.3006360738847005E-2</v>
      </c>
      <c r="P352" s="41">
        <f t="shared" si="1198"/>
        <v>3.1320247990004373E-2</v>
      </c>
      <c r="Q352" s="41">
        <f t="shared" si="1198"/>
        <v>0.13204459453046366</v>
      </c>
      <c r="R352" s="41">
        <f t="shared" si="1198"/>
        <v>0.21747491249684645</v>
      </c>
      <c r="S352" s="41">
        <f t="shared" si="1198"/>
        <v>0.22540621406454592</v>
      </c>
      <c r="T352" s="41">
        <f t="shared" si="1198"/>
        <v>0.20708415191822616</v>
      </c>
      <c r="U352" s="41">
        <f t="shared" si="1198"/>
        <v>0.18886346525254508</v>
      </c>
      <c r="V352" s="41">
        <f t="shared" si="1198"/>
        <v>0.15242580804916708</v>
      </c>
      <c r="W352" s="41">
        <f t="shared" si="1198"/>
        <v>0.17581160221298528</v>
      </c>
      <c r="X352" s="41">
        <f t="shared" si="1198"/>
        <v>0.17981190442800662</v>
      </c>
      <c r="Y352" s="41">
        <f t="shared" si="1198"/>
        <v>0.17053113644906645</v>
      </c>
      <c r="Z352" s="41">
        <f t="shared" si="1198"/>
        <v>0.17503695908785072</v>
      </c>
      <c r="AA352" s="41">
        <f t="shared" si="1198"/>
        <v>0.10971628134322949</v>
      </c>
      <c r="AB352" s="41">
        <f t="shared" si="1198"/>
        <v>-7.3095828906213939E-2</v>
      </c>
      <c r="AC352" s="41">
        <f t="shared" si="1198"/>
        <v>-6.5212323547485102E-2</v>
      </c>
      <c r="AD352" s="41">
        <f t="shared" si="1198"/>
        <v>1.3647103515226959E-2</v>
      </c>
      <c r="AE352" s="41">
        <f t="shared" si="1198"/>
        <v>7.4288044474533077E-2</v>
      </c>
      <c r="AF352" s="41">
        <f t="shared" si="1198"/>
        <v>8.9130383511223515E-2</v>
      </c>
      <c r="AG352" s="41"/>
      <c r="AH352" s="41"/>
      <c r="AI352" s="41"/>
      <c r="AJ352" s="41"/>
      <c r="AK352" s="41"/>
      <c r="AL352" s="41">
        <f t="shared" ref="AL352:BQ352" si="1199">AL351/AL15</f>
        <v>0.12018823471057985</v>
      </c>
      <c r="AM352" s="41">
        <f t="shared" si="1199"/>
        <v>0.10219780219780215</v>
      </c>
      <c r="AN352" s="41">
        <f t="shared" si="1199"/>
        <v>8.7875979857758468E-2</v>
      </c>
      <c r="AO352" s="41">
        <f t="shared" si="1199"/>
        <v>7.4942715817046451E-2</v>
      </c>
      <c r="AP352" s="41">
        <f t="shared" si="1199"/>
        <v>6.7827382088982272E-2</v>
      </c>
      <c r="AQ352" s="41">
        <f t="shared" si="1199"/>
        <v>7.3385801941951656E-2</v>
      </c>
      <c r="AR352" s="41">
        <f t="shared" si="1199"/>
        <v>6.537029039561329E-2</v>
      </c>
      <c r="AS352" s="41">
        <f t="shared" si="1199"/>
        <v>6.779530232414574E-2</v>
      </c>
      <c r="AT352" s="41">
        <f t="shared" si="1199"/>
        <v>0.13050515700206283</v>
      </c>
      <c r="AU352" s="41">
        <f t="shared" si="1199"/>
        <v>0.14687544590090618</v>
      </c>
      <c r="AV352" s="41">
        <f t="shared" si="1199"/>
        <v>0.16951525546127461</v>
      </c>
      <c r="AW352" s="41">
        <f t="shared" si="1199"/>
        <v>0.13336969981238286</v>
      </c>
      <c r="AX352" s="41">
        <f t="shared" si="1199"/>
        <v>0.1924232818737899</v>
      </c>
      <c r="AY352" s="41">
        <f t="shared" si="1199"/>
        <v>0.19596461043181698</v>
      </c>
      <c r="AZ352" s="41">
        <f t="shared" si="1199"/>
        <v>0.18371537657158146</v>
      </c>
      <c r="BA352" s="41">
        <f t="shared" si="1199"/>
        <v>0.18290705222779602</v>
      </c>
      <c r="BB352" s="41">
        <f t="shared" si="1199"/>
        <v>0.20290780781614304</v>
      </c>
      <c r="BC352" s="41">
        <f t="shared" si="1199"/>
        <v>0.16291097981849426</v>
      </c>
      <c r="BD352" s="41">
        <f t="shared" si="1199"/>
        <v>0.15688392613481303</v>
      </c>
      <c r="BE352" s="41">
        <f t="shared" si="1199"/>
        <v>0.10158889302289197</v>
      </c>
      <c r="BF352" s="41">
        <f t="shared" si="1199"/>
        <v>0.11920599503220647</v>
      </c>
      <c r="BG352" s="41">
        <f t="shared" si="1199"/>
        <v>7.7328261123589689E-2</v>
      </c>
      <c r="BH352" s="41">
        <f t="shared" si="1199"/>
        <v>0.12418706104390331</v>
      </c>
      <c r="BI352" s="41">
        <f t="shared" si="1199"/>
        <v>0.11906546917792525</v>
      </c>
      <c r="BJ352" s="41">
        <f t="shared" si="1199"/>
        <v>0.13109161649185613</v>
      </c>
      <c r="BK352" s="41">
        <f t="shared" si="1199"/>
        <v>0.14328192183455626</v>
      </c>
      <c r="BL352" s="41">
        <f t="shared" si="1199"/>
        <v>0.17411057692307697</v>
      </c>
      <c r="BM352" s="41">
        <f t="shared" si="1199"/>
        <v>0.18378055161073326</v>
      </c>
      <c r="BN352" s="41">
        <f t="shared" si="1199"/>
        <v>0.23058282564243102</v>
      </c>
      <c r="BO352" s="41">
        <f t="shared" si="1199"/>
        <v>0.22732918374714947</v>
      </c>
      <c r="BP352" s="41">
        <f t="shared" si="1199"/>
        <v>0.21277946870016423</v>
      </c>
      <c r="BQ352" s="41">
        <f t="shared" si="1199"/>
        <v>0.21103846153846151</v>
      </c>
      <c r="BR352" s="41">
        <f t="shared" ref="BR352:CW352" si="1200">BR351/BR15</f>
        <v>0.11032207384131974</v>
      </c>
      <c r="BS352" s="41">
        <f t="shared" si="1200"/>
        <v>5.2123287671232872E-2</v>
      </c>
      <c r="BT352" s="41">
        <f t="shared" si="1200"/>
        <v>6.2222222222222227E-2</v>
      </c>
      <c r="BU352" s="41">
        <f t="shared" si="1200"/>
        <v>4.260292938861765E-2</v>
      </c>
      <c r="BV352" s="41">
        <f t="shared" si="1200"/>
        <v>1.1308397923629416E-2</v>
      </c>
      <c r="BW352" s="41">
        <f t="shared" si="1200"/>
        <v>3.0108561362676284E-2</v>
      </c>
      <c r="BX352" s="41">
        <f t="shared" si="1200"/>
        <v>7.0744399610407668E-2</v>
      </c>
      <c r="BY352" s="41">
        <f t="shared" si="1200"/>
        <v>5.3521590181831863E-2</v>
      </c>
      <c r="BZ352" s="41">
        <f t="shared" si="1200"/>
        <v>3.1930023161767407E-2</v>
      </c>
      <c r="CA352" s="41">
        <f t="shared" si="1200"/>
        <v>1.6046327889025602E-2</v>
      </c>
      <c r="CB352" s="41">
        <f t="shared" si="1200"/>
        <v>2.7619353921362864E-2</v>
      </c>
      <c r="CC352" s="41">
        <f t="shared" si="1200"/>
        <v>4.7467513470024647E-2</v>
      </c>
      <c r="CD352" s="41">
        <f t="shared" si="1200"/>
        <v>0.10443275951888893</v>
      </c>
      <c r="CE352" s="41">
        <f t="shared" si="1200"/>
        <v>0.11957799946077111</v>
      </c>
      <c r="CF352" s="41">
        <f t="shared" si="1200"/>
        <v>0.14457328569293157</v>
      </c>
      <c r="CG352" s="41">
        <f t="shared" si="1200"/>
        <v>0.15149852064662755</v>
      </c>
      <c r="CH352" s="41">
        <f t="shared" si="1200"/>
        <v>0.20343614421977541</v>
      </c>
      <c r="CI352" s="41">
        <f t="shared" si="1200"/>
        <v>0.21609600110029911</v>
      </c>
      <c r="CJ352" s="41">
        <f t="shared" si="1200"/>
        <v>0.22813699983739641</v>
      </c>
      <c r="CK352" s="41">
        <f t="shared" si="1200"/>
        <v>0.21908213233593185</v>
      </c>
      <c r="CL352" s="41">
        <f t="shared" si="1200"/>
        <v>0.24210083359428983</v>
      </c>
      <c r="CM352" s="41">
        <f t="shared" si="1200"/>
        <v>0.21779887044473553</v>
      </c>
      <c r="CN352" s="41">
        <f t="shared" si="1200"/>
        <v>0.21661683369968229</v>
      </c>
      <c r="CO352" s="41">
        <f t="shared" si="1200"/>
        <v>0.22559747602063859</v>
      </c>
      <c r="CP352" s="41">
        <f t="shared" si="1200"/>
        <v>0.221275251115155</v>
      </c>
      <c r="CQ352" s="41">
        <f t="shared" si="1200"/>
        <v>0.20122471729822392</v>
      </c>
      <c r="CR352" s="41">
        <f t="shared" si="1200"/>
        <v>0.21582892039876217</v>
      </c>
      <c r="CS352" s="41">
        <f t="shared" si="1200"/>
        <v>0.19290857415982687</v>
      </c>
      <c r="CT352" s="41">
        <f t="shared" si="1200"/>
        <v>0.21989755576717743</v>
      </c>
      <c r="CU352" s="41">
        <f t="shared" si="1200"/>
        <v>0.21602048817989619</v>
      </c>
      <c r="CV352" s="41">
        <f t="shared" si="1200"/>
        <v>0.14291432741826932</v>
      </c>
      <c r="CW352" s="41">
        <f t="shared" si="1200"/>
        <v>0.14560244273460388</v>
      </c>
      <c r="CX352" s="41">
        <f t="shared" ref="CX352:EA352" si="1201">CX351/CX15</f>
        <v>0.16530788334421267</v>
      </c>
      <c r="CY352" s="41">
        <f t="shared" si="1201"/>
        <v>0.14473318551367323</v>
      </c>
      <c r="CZ352" s="41">
        <f t="shared" si="1201"/>
        <v>0.14687339671979213</v>
      </c>
      <c r="DA352" s="41">
        <f t="shared" si="1201"/>
        <v>0.15406417667190861</v>
      </c>
      <c r="DB352" s="41">
        <f t="shared" si="1201"/>
        <v>0.18087602288435728</v>
      </c>
      <c r="DC352" s="41">
        <f t="shared" si="1201"/>
        <v>0.17662299844806306</v>
      </c>
      <c r="DD352" s="41">
        <f t="shared" si="1201"/>
        <v>0.17339454583562977</v>
      </c>
      <c r="DE352" s="41">
        <f t="shared" si="1201"/>
        <v>0.17303584297418056</v>
      </c>
      <c r="DF352" s="41">
        <f t="shared" si="1201"/>
        <v>0.19731123086919253</v>
      </c>
      <c r="DG352" s="41">
        <f t="shared" si="1201"/>
        <v>0.16557685764082794</v>
      </c>
      <c r="DH352" s="41">
        <f t="shared" si="1201"/>
        <v>0.18017836383929925</v>
      </c>
      <c r="DI352" s="41">
        <f t="shared" si="1201"/>
        <v>0.17720838100565803</v>
      </c>
      <c r="DJ352" s="41">
        <f t="shared" si="1201"/>
        <v>0.17832691588165364</v>
      </c>
      <c r="DK352" s="41">
        <f t="shared" si="1201"/>
        <v>0.17376466195639079</v>
      </c>
      <c r="DL352" s="41">
        <f t="shared" si="1201"/>
        <v>0.17973232468099742</v>
      </c>
      <c r="DM352" s="41">
        <f t="shared" si="1201"/>
        <v>0.16364114456799958</v>
      </c>
      <c r="DN352" s="41">
        <f t="shared" si="1201"/>
        <v>0.17633465561756737</v>
      </c>
      <c r="DO352" s="41">
        <f t="shared" si="1201"/>
        <v>0.17547682079178006</v>
      </c>
      <c r="DP352" s="41">
        <f t="shared" si="1201"/>
        <v>0.17681705138290929</v>
      </c>
      <c r="DQ352" s="41">
        <f t="shared" si="1201"/>
        <v>0.17254030910482643</v>
      </c>
      <c r="DR352" s="41">
        <f t="shared" si="1201"/>
        <v>0.18363818360367071</v>
      </c>
      <c r="DS352" s="41">
        <f t="shared" si="1201"/>
        <v>0.12252619386227781</v>
      </c>
      <c r="DT352" s="41">
        <f t="shared" si="1201"/>
        <v>5.0354618843792325E-2</v>
      </c>
      <c r="DU352" s="41">
        <f t="shared" si="1201"/>
        <v>9.1186878112442908E-3</v>
      </c>
      <c r="DV352" s="41">
        <f t="shared" si="1201"/>
        <v>1.8609449545541029E-2</v>
      </c>
      <c r="DW352" s="41">
        <f t="shared" si="1201"/>
        <v>-6.7615307030277988E-2</v>
      </c>
      <c r="DX352" s="41">
        <f t="shared" si="1201"/>
        <v>-0.1671014938418921</v>
      </c>
      <c r="DY352" s="41">
        <f t="shared" si="1201"/>
        <v>-0.13004512532736662</v>
      </c>
      <c r="DZ352" s="41">
        <f t="shared" si="1201"/>
        <v>-0.10902481797028184</v>
      </c>
      <c r="EA352" s="41">
        <f t="shared" si="1201"/>
        <v>-0.10691006318805893</v>
      </c>
      <c r="EB352" s="41">
        <f t="shared" ref="EB352:EC352" si="1202">EB351/EB15</f>
        <v>-4.15998735675727E-2</v>
      </c>
      <c r="EC352" s="41">
        <f t="shared" si="1202"/>
        <v>-2.5836074868765362E-2</v>
      </c>
      <c r="ED352" s="41">
        <f t="shared" ref="ED352:EP352" si="1203">ED351/ED15</f>
        <v>9.756109308019568E-4</v>
      </c>
      <c r="EE352" s="41">
        <f t="shared" si="1203"/>
        <v>-6.3280536010960732E-3</v>
      </c>
      <c r="EF352" s="41">
        <f t="shared" si="1203"/>
        <v>1.4177801549601955E-2</v>
      </c>
      <c r="EG352" s="41">
        <f t="shared" si="1203"/>
        <v>4.1923740802007455E-2</v>
      </c>
      <c r="EH352" s="41">
        <f t="shared" si="1203"/>
        <v>5.787090503301745E-2</v>
      </c>
      <c r="EI352" s="41">
        <f t="shared" si="1203"/>
        <v>7.2856417907523827E-2</v>
      </c>
      <c r="EJ352" s="41">
        <f t="shared" si="1203"/>
        <v>7.9882291831491703E-2</v>
      </c>
      <c r="EK352" s="41">
        <f t="shared" si="1203"/>
        <v>8.5274778501502266E-2</v>
      </c>
      <c r="EL352" s="41">
        <f t="shared" si="1203"/>
        <v>9.3222987601729382E-2</v>
      </c>
      <c r="EM352" s="41">
        <f t="shared" si="1203"/>
        <v>8.9124238430923708E-2</v>
      </c>
      <c r="EN352" s="41">
        <f t="shared" si="1203"/>
        <v>8.7065258588968422E-2</v>
      </c>
      <c r="EO352" s="41">
        <f t="shared" si="1203"/>
        <v>8.7054934619763602E-2</v>
      </c>
      <c r="EP352" s="41">
        <f t="shared" si="1203"/>
        <v>8.4984338496476408E-2</v>
      </c>
      <c r="EQ352" s="5"/>
      <c r="ER352" s="5"/>
      <c r="ES352" s="355">
        <f t="shared" si="1105"/>
        <v>347</v>
      </c>
      <c r="ET352"/>
      <c r="EU352"/>
      <c r="EV352"/>
      <c r="EW352"/>
      <c r="EX352"/>
      <c r="EY35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</row>
    <row r="353" spans="1:257" s="17" customFormat="1" hidden="1" outlineLevel="2">
      <c r="A353" s="38"/>
      <c r="B353" s="43"/>
      <c r="C353" s="5"/>
      <c r="D353" s="5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5"/>
      <c r="ER353" s="5"/>
      <c r="ES353" s="355">
        <f t="shared" si="1105"/>
        <v>348</v>
      </c>
      <c r="ET353"/>
      <c r="EU353"/>
      <c r="EV353"/>
      <c r="EW353"/>
      <c r="EX353"/>
      <c r="EY353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</row>
    <row r="354" spans="1:257" s="17" customFormat="1" hidden="1" outlineLevel="2">
      <c r="A354" s="38"/>
      <c r="B354" s="43" t="s">
        <v>17</v>
      </c>
      <c r="C354" s="5"/>
      <c r="D354" s="5"/>
      <c r="E354" s="41">
        <f t="shared" ref="E354:AF354" si="1204">E15/AVERAGE(D348:E348)</f>
        <v>0.82358149109942025</v>
      </c>
      <c r="F354" s="41">
        <f t="shared" si="1204"/>
        <v>0.82840999232426016</v>
      </c>
      <c r="G354" s="41">
        <f t="shared" si="1204"/>
        <v>0.72593377717421304</v>
      </c>
      <c r="H354" s="41">
        <f t="shared" si="1204"/>
        <v>0.95442223872564058</v>
      </c>
      <c r="I354" s="41">
        <f t="shared" si="1204"/>
        <v>1.2081023311736023</v>
      </c>
      <c r="J354" s="41">
        <f t="shared" si="1204"/>
        <v>1.0791985628598433</v>
      </c>
      <c r="K354" s="41">
        <f t="shared" si="1204"/>
        <v>0.85234940441732765</v>
      </c>
      <c r="L354" s="41">
        <f t="shared" si="1204"/>
        <v>0.96932289029143315</v>
      </c>
      <c r="M354" s="41">
        <f t="shared" si="1204"/>
        <v>1.1449895759908402</v>
      </c>
      <c r="N354" s="41">
        <f t="shared" si="1204"/>
        <v>0.67732357065164994</v>
      </c>
      <c r="O354" s="41">
        <f t="shared" si="1204"/>
        <v>0.5803361236876603</v>
      </c>
      <c r="P354" s="41">
        <f t="shared" si="1204"/>
        <v>0.64112356835697504</v>
      </c>
      <c r="Q354" s="41">
        <f t="shared" si="1204"/>
        <v>0.94240976957787737</v>
      </c>
      <c r="R354" s="41">
        <f t="shared" si="1204"/>
        <v>1.1417586233415757</v>
      </c>
      <c r="S354" s="41">
        <f t="shared" si="1204"/>
        <v>0.99327236733678859</v>
      </c>
      <c r="T354" s="41">
        <f t="shared" si="1204"/>
        <v>0.92688756906850567</v>
      </c>
      <c r="U354" s="41">
        <f t="shared" si="1204"/>
        <v>0.73639995902059219</v>
      </c>
      <c r="V354" s="41">
        <f t="shared" si="1204"/>
        <v>0.68565897855918667</v>
      </c>
      <c r="W354" s="41">
        <f t="shared" si="1204"/>
        <v>0.89187759802165989</v>
      </c>
      <c r="X354" s="41">
        <f t="shared" si="1204"/>
        <v>0.97870742883120332</v>
      </c>
      <c r="Y354" s="41">
        <f t="shared" si="1204"/>
        <v>0.91041427918079898</v>
      </c>
      <c r="Z354" s="41">
        <f t="shared" si="1204"/>
        <v>0.89885032992689129</v>
      </c>
      <c r="AA354" s="41">
        <f t="shared" si="1204"/>
        <v>0.65842951491718116</v>
      </c>
      <c r="AB354" s="41">
        <f t="shared" si="1204"/>
        <v>0.32731947561237934</v>
      </c>
      <c r="AC354" s="41">
        <f t="shared" si="1204"/>
        <v>0.43989313117797696</v>
      </c>
      <c r="AD354" s="41">
        <f t="shared" si="1204"/>
        <v>0.54153200252710132</v>
      </c>
      <c r="AE354" s="41">
        <f t="shared" si="1204"/>
        <v>0.60052592999733034</v>
      </c>
      <c r="AF354" s="41">
        <f t="shared" si="1204"/>
        <v>0.66939576878508666</v>
      </c>
      <c r="AG354" s="41"/>
      <c r="AH354" s="41"/>
      <c r="AI354" s="41"/>
      <c r="AJ354" s="41"/>
      <c r="AK354" s="41"/>
      <c r="AL354" s="41">
        <f t="shared" ref="AL354:BQ354" si="1205">4*AL15/AVERAGE(AK348:AL348)</f>
        <v>0.83552244759465089</v>
      </c>
      <c r="AM354" s="41">
        <f t="shared" si="1205"/>
        <v>0.90884000794560149</v>
      </c>
      <c r="AN354" s="41">
        <f t="shared" si="1205"/>
        <v>0.79725804156912461</v>
      </c>
      <c r="AO354" s="41">
        <f t="shared" si="1205"/>
        <v>0.78004242757122588</v>
      </c>
      <c r="AP354" s="41">
        <f t="shared" si="1205"/>
        <v>0.77889917467226732</v>
      </c>
      <c r="AQ354" s="41">
        <f t="shared" si="1205"/>
        <v>0.76312468118119947</v>
      </c>
      <c r="AR354" s="41">
        <f t="shared" si="1205"/>
        <v>0.7483583478196999</v>
      </c>
      <c r="AS354" s="41">
        <f t="shared" si="1205"/>
        <v>0.62755694371303872</v>
      </c>
      <c r="AT354" s="41">
        <f t="shared" si="1205"/>
        <v>0.82960371353667783</v>
      </c>
      <c r="AU354" s="41">
        <f t="shared" si="1205"/>
        <v>0.88779017896708401</v>
      </c>
      <c r="AV354" s="41">
        <f t="shared" si="1205"/>
        <v>0.94557481995198711</v>
      </c>
      <c r="AW354" s="41">
        <f t="shared" si="1205"/>
        <v>1.0209175568370232</v>
      </c>
      <c r="AX354" s="41">
        <f t="shared" si="1205"/>
        <v>1.14322512086521</v>
      </c>
      <c r="AY354" s="41">
        <f t="shared" si="1205"/>
        <v>1.2440960425439309</v>
      </c>
      <c r="AZ354" s="41">
        <f t="shared" si="1205"/>
        <v>1.1445510244554153</v>
      </c>
      <c r="BA354" s="41">
        <f t="shared" si="1205"/>
        <v>1.2493994822586614</v>
      </c>
      <c r="BB354" s="41">
        <f t="shared" si="1205"/>
        <v>1.2819342162761398</v>
      </c>
      <c r="BC354" s="41">
        <f t="shared" si="1205"/>
        <v>1.1596527761336601</v>
      </c>
      <c r="BD354" s="41">
        <f t="shared" si="1205"/>
        <v>1.1448752342119086</v>
      </c>
      <c r="BE354" s="41">
        <f t="shared" si="1205"/>
        <v>0.99461470293221188</v>
      </c>
      <c r="BF354" s="41">
        <f t="shared" si="1205"/>
        <v>0.837616884223642</v>
      </c>
      <c r="BG354" s="41">
        <f t="shared" si="1205"/>
        <v>0.88875682973408032</v>
      </c>
      <c r="BH354" s="41">
        <f t="shared" si="1205"/>
        <v>0.76738364285237315</v>
      </c>
      <c r="BI354" s="41">
        <f t="shared" si="1205"/>
        <v>0.80306807168868366</v>
      </c>
      <c r="BJ354" s="41">
        <f t="shared" si="1205"/>
        <v>0.85269134766847632</v>
      </c>
      <c r="BK354" s="41">
        <f t="shared" si="1205"/>
        <v>0.91760716531974784</v>
      </c>
      <c r="BL354" s="41">
        <f t="shared" si="1205"/>
        <v>1.0009223242571279</v>
      </c>
      <c r="BM354" s="41">
        <f t="shared" si="1205"/>
        <v>1.166198566616462</v>
      </c>
      <c r="BN354" s="41">
        <f t="shared" si="1205"/>
        <v>1.2644155722998442</v>
      </c>
      <c r="BO354" s="41">
        <f t="shared" si="1205"/>
        <v>1.3816439686028754</v>
      </c>
      <c r="BP354" s="41">
        <f t="shared" si="1205"/>
        <v>1.2580359038510049</v>
      </c>
      <c r="BQ354" s="41">
        <f t="shared" si="1205"/>
        <v>0.81356177126703577</v>
      </c>
      <c r="BR354" s="41">
        <f t="shared" ref="BR354:CW354" si="1206">4*BR15/AVERAGE(BQ348:BR348)</f>
        <v>0.73797340182906901</v>
      </c>
      <c r="BS354" s="41">
        <f t="shared" si="1206"/>
        <v>0.63830508764032878</v>
      </c>
      <c r="BT354" s="41">
        <f t="shared" si="1206"/>
        <v>0.58251588886400885</v>
      </c>
      <c r="BU354" s="41">
        <f t="shared" si="1206"/>
        <v>0.58326008560686604</v>
      </c>
      <c r="BV354" s="41">
        <f t="shared" si="1206"/>
        <v>0.54944056729552992</v>
      </c>
      <c r="BW354" s="41">
        <f t="shared" si="1206"/>
        <v>0.57699144347890063</v>
      </c>
      <c r="BX354" s="41">
        <f t="shared" si="1206"/>
        <v>0.59482496227975645</v>
      </c>
      <c r="BY354" s="41">
        <f t="shared" si="1206"/>
        <v>0.56297729641402128</v>
      </c>
      <c r="BZ354" s="41">
        <f t="shared" si="1206"/>
        <v>0.56456218449191542</v>
      </c>
      <c r="CA354" s="41">
        <f t="shared" si="1206"/>
        <v>0.59885524789703093</v>
      </c>
      <c r="CB354" s="41">
        <f t="shared" si="1206"/>
        <v>0.62162258854031849</v>
      </c>
      <c r="CC354" s="41">
        <f t="shared" si="1206"/>
        <v>0.71733162673335671</v>
      </c>
      <c r="CD354" s="41">
        <f t="shared" si="1206"/>
        <v>0.81233766988711009</v>
      </c>
      <c r="CE354" s="41">
        <f t="shared" si="1206"/>
        <v>0.89527254338626183</v>
      </c>
      <c r="CF354" s="41">
        <f t="shared" si="1206"/>
        <v>1.0060950428884596</v>
      </c>
      <c r="CG354" s="41">
        <f t="shared" si="1206"/>
        <v>1.1397586180774975</v>
      </c>
      <c r="CH354" s="41">
        <f t="shared" si="1206"/>
        <v>1.2302208263435703</v>
      </c>
      <c r="CI354" s="41">
        <f t="shared" si="1206"/>
        <v>1.2487407343001704</v>
      </c>
      <c r="CJ354" s="41">
        <f t="shared" si="1206"/>
        <v>1.1657224822216443</v>
      </c>
      <c r="CK354" s="41">
        <f t="shared" si="1206"/>
        <v>1.1419205435276867</v>
      </c>
      <c r="CL354" s="41">
        <f t="shared" si="1206"/>
        <v>1.1154371458995707</v>
      </c>
      <c r="CM354" s="41">
        <f t="shared" si="1206"/>
        <v>0.97178762296979582</v>
      </c>
      <c r="CN354" s="41">
        <f t="shared" si="1206"/>
        <v>0.97927939603115155</v>
      </c>
      <c r="CO354" s="41">
        <f t="shared" si="1206"/>
        <v>0.95615622004193646</v>
      </c>
      <c r="CP354" s="41">
        <f t="shared" si="1206"/>
        <v>0.90731909393857979</v>
      </c>
      <c r="CQ354" s="41">
        <f t="shared" si="1206"/>
        <v>0.88609743406860009</v>
      </c>
      <c r="CR354" s="41">
        <f t="shared" si="1206"/>
        <v>0.92825324411733123</v>
      </c>
      <c r="CS354" s="41">
        <f t="shared" si="1206"/>
        <v>0.98269770949828827</v>
      </c>
      <c r="CT354" s="41">
        <f t="shared" si="1206"/>
        <v>0.99081309691638697</v>
      </c>
      <c r="CU354" s="41">
        <f t="shared" si="1206"/>
        <v>0.78227441060197567</v>
      </c>
      <c r="CV354" s="41">
        <f t="shared" si="1206"/>
        <v>0.56782336232607744</v>
      </c>
      <c r="CW354" s="41">
        <f t="shared" si="1206"/>
        <v>0.53367249855519605</v>
      </c>
      <c r="CX354" s="41">
        <f t="shared" ref="CX354:EC354" si="1207">4*CX15/AVERAGE(CW348:CX348)</f>
        <v>0.59166315228730626</v>
      </c>
      <c r="CY354" s="41">
        <f t="shared" si="1207"/>
        <v>0.64402975374256011</v>
      </c>
      <c r="CZ354" s="41">
        <f t="shared" si="1207"/>
        <v>0.70353648306349781</v>
      </c>
      <c r="DA354" s="41">
        <f t="shared" si="1207"/>
        <v>0.80789966964262327</v>
      </c>
      <c r="DB354" s="41">
        <f t="shared" si="1207"/>
        <v>0.85878677856390839</v>
      </c>
      <c r="DC354" s="41">
        <f t="shared" si="1207"/>
        <v>0.87771649305350707</v>
      </c>
      <c r="DD354" s="41">
        <f t="shared" si="1207"/>
        <v>0.92086763961856088</v>
      </c>
      <c r="DE354" s="41">
        <f t="shared" si="1207"/>
        <v>0.97544088351223635</v>
      </c>
      <c r="DF354" s="41">
        <f t="shared" si="1207"/>
        <v>0.98235378221955438</v>
      </c>
      <c r="DG354" s="41">
        <f t="shared" si="1207"/>
        <v>0.98689244815769628</v>
      </c>
      <c r="DH354" s="41">
        <f t="shared" si="1207"/>
        <v>0.98666791436665846</v>
      </c>
      <c r="DI354" s="41">
        <f t="shared" si="1207"/>
        <v>0.94980634077753689</v>
      </c>
      <c r="DJ354" s="41">
        <f t="shared" si="1207"/>
        <v>0.9549191101523159</v>
      </c>
      <c r="DK354" s="41">
        <f t="shared" si="1207"/>
        <v>0.92038894057458909</v>
      </c>
      <c r="DL354" s="41">
        <f t="shared" si="1207"/>
        <v>0.89563907385984021</v>
      </c>
      <c r="DM354" s="41">
        <f t="shared" si="1207"/>
        <v>0.88761826914749398</v>
      </c>
      <c r="DN354" s="41">
        <f t="shared" si="1207"/>
        <v>0.9075068938383597</v>
      </c>
      <c r="DO354" s="41">
        <f t="shared" si="1207"/>
        <v>0.90591383232715539</v>
      </c>
      <c r="DP354" s="41">
        <f t="shared" si="1207"/>
        <v>0.92833644050609199</v>
      </c>
      <c r="DQ354" s="41">
        <f t="shared" si="1207"/>
        <v>0.92010740088093379</v>
      </c>
      <c r="DR354" s="41">
        <f t="shared" si="1207"/>
        <v>0.92234716487462554</v>
      </c>
      <c r="DS354" s="41">
        <f t="shared" si="1207"/>
        <v>0.69928853824434889</v>
      </c>
      <c r="DT354" s="41">
        <f t="shared" si="1207"/>
        <v>0.49163594131744603</v>
      </c>
      <c r="DU354" s="41">
        <f t="shared" si="1207"/>
        <v>0.45365931654078423</v>
      </c>
      <c r="DV354" s="41">
        <f t="shared" si="1207"/>
        <v>0.40999805519067362</v>
      </c>
      <c r="DW354" s="41">
        <f t="shared" si="1207"/>
        <v>0.3305885812915112</v>
      </c>
      <c r="DX354" s="41">
        <f t="shared" si="1207"/>
        <v>0.27005644596899231</v>
      </c>
      <c r="DY354" s="41">
        <f t="shared" si="1207"/>
        <v>0.29458037042990465</v>
      </c>
      <c r="DZ354" s="41">
        <f t="shared" si="1207"/>
        <v>0.35447394057689591</v>
      </c>
      <c r="EA354" s="41">
        <f t="shared" si="1207"/>
        <v>0.40165280645832935</v>
      </c>
      <c r="EB354" s="41">
        <f t="shared" si="1207"/>
        <v>0.48308918607599233</v>
      </c>
      <c r="EC354" s="41">
        <f t="shared" si="1207"/>
        <v>0.52376043606522504</v>
      </c>
      <c r="ED354" s="41">
        <f t="shared" ref="ED354:EP354" si="1208">4*ED15/AVERAGE(EC348:ED348)</f>
        <v>0.52189682884754574</v>
      </c>
      <c r="EE354" s="41">
        <f t="shared" si="1208"/>
        <v>0.48547098749890655</v>
      </c>
      <c r="EF354" s="41">
        <f t="shared" si="1208"/>
        <v>0.51503325483379481</v>
      </c>
      <c r="EG354" s="41">
        <f t="shared" si="1208"/>
        <v>0.54582729807718322</v>
      </c>
      <c r="EH354" s="41">
        <f t="shared" si="1208"/>
        <v>0.56934428201408971</v>
      </c>
      <c r="EI354" s="41">
        <f t="shared" si="1208"/>
        <v>0.58541621432367896</v>
      </c>
      <c r="EJ354" s="41">
        <f t="shared" si="1208"/>
        <v>0.60964901445444908</v>
      </c>
      <c r="EK354" s="41">
        <f t="shared" si="1208"/>
        <v>0.63456593520392846</v>
      </c>
      <c r="EL354" s="41">
        <f t="shared" si="1208"/>
        <v>0.66436242088569353</v>
      </c>
      <c r="EM354" s="41">
        <f t="shared" si="1208"/>
        <v>0.66170552814584283</v>
      </c>
      <c r="EN354" s="41">
        <f t="shared" si="1208"/>
        <v>0.66708455176570536</v>
      </c>
      <c r="EO354" s="41">
        <f t="shared" si="1208"/>
        <v>0.67960015959077913</v>
      </c>
      <c r="EP354" s="41">
        <f t="shared" si="1208"/>
        <v>0.68559095601293318</v>
      </c>
      <c r="EQ354" s="5"/>
      <c r="ER354" s="5"/>
      <c r="ES354" s="355">
        <f t="shared" si="1105"/>
        <v>349</v>
      </c>
      <c r="ET354"/>
      <c r="EU354"/>
      <c r="EV354"/>
      <c r="EW354"/>
      <c r="EX354"/>
      <c r="EY354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</row>
    <row r="355" spans="1:257" s="17" customFormat="1" hidden="1" outlineLevel="2">
      <c r="A355" s="38"/>
      <c r="B355" s="37" t="s">
        <v>16</v>
      </c>
      <c r="C355" s="5"/>
      <c r="D355" s="5"/>
      <c r="E355" s="41">
        <f t="shared" ref="E355:AF355" si="1209">E351/AVERAGE(D348:E348)</f>
        <v>8.7033166938012205E-2</v>
      </c>
      <c r="F355" s="41">
        <f t="shared" si="1209"/>
        <v>8.0050777970883516E-2</v>
      </c>
      <c r="G355" s="41">
        <f t="shared" si="1209"/>
        <v>4.9810380086290101E-2</v>
      </c>
      <c r="H355" s="41">
        <f t="shared" si="1209"/>
        <v>0.13867630269239722</v>
      </c>
      <c r="I355" s="41">
        <f t="shared" si="1209"/>
        <v>0.22793171560254588</v>
      </c>
      <c r="J355" s="41">
        <f t="shared" si="1209"/>
        <v>0.16750442726300821</v>
      </c>
      <c r="K355" s="41">
        <f t="shared" si="1209"/>
        <v>9.2683935348114962E-2</v>
      </c>
      <c r="L355" s="41">
        <f t="shared" si="1209"/>
        <v>0.1550859674186153</v>
      </c>
      <c r="M355" s="41">
        <f t="shared" si="1209"/>
        <v>0.25303914877429318</v>
      </c>
      <c r="N355" s="41">
        <f t="shared" si="1209"/>
        <v>4.6173964413575887E-2</v>
      </c>
      <c r="O355" s="41">
        <f t="shared" si="1209"/>
        <v>2.4958144685095655E-2</v>
      </c>
      <c r="P355" s="41">
        <f t="shared" si="1209"/>
        <v>2.0080149153176977E-2</v>
      </c>
      <c r="Q355" s="41">
        <f t="shared" si="1209"/>
        <v>0.1244401159054585</v>
      </c>
      <c r="R355" s="41">
        <f t="shared" si="1209"/>
        <v>0.24830385670372904</v>
      </c>
      <c r="S355" s="41">
        <f t="shared" si="1209"/>
        <v>0.22388976385631448</v>
      </c>
      <c r="T355" s="41">
        <f t="shared" si="1209"/>
        <v>0.19194372616409777</v>
      </c>
      <c r="U355" s="41">
        <f t="shared" si="1209"/>
        <v>0.13907904807246124</v>
      </c>
      <c r="V355" s="41">
        <f t="shared" si="1209"/>
        <v>0.10451212385305056</v>
      </c>
      <c r="W355" s="41">
        <f t="shared" si="1209"/>
        <v>0.15680242948605685</v>
      </c>
      <c r="X355" s="41">
        <f t="shared" si="1209"/>
        <v>0.17598324665597642</v>
      </c>
      <c r="Y355" s="41">
        <f t="shared" si="1209"/>
        <v>0.15525398166815932</v>
      </c>
      <c r="Z355" s="41">
        <f t="shared" si="1209"/>
        <v>0.15733202842551439</v>
      </c>
      <c r="AA355" s="41">
        <f t="shared" si="1209"/>
        <v>7.224043790333956E-2</v>
      </c>
      <c r="AB355" s="41">
        <f t="shared" si="1209"/>
        <v>-2.3925688387034145E-2</v>
      </c>
      <c r="AC355" s="41">
        <f t="shared" si="1209"/>
        <v>-2.868645319669454E-2</v>
      </c>
      <c r="AD355" s="41">
        <f t="shared" si="1209"/>
        <v>7.3903432952954987E-3</v>
      </c>
      <c r="AE355" s="41">
        <f t="shared" si="1209"/>
        <v>4.4611896995752014E-2</v>
      </c>
      <c r="AF355" s="41">
        <f t="shared" si="1209"/>
        <v>5.966350159260507E-2</v>
      </c>
      <c r="AG355" s="42"/>
      <c r="AH355" s="41"/>
      <c r="AI355" s="41"/>
      <c r="AJ355" s="41"/>
      <c r="AK355" s="41"/>
      <c r="AL355" s="41">
        <f t="shared" ref="AL355:BQ355" si="1210">AL351*4/AVERAGE(AK348:AL348)</f>
        <v>0.10041996803746406</v>
      </c>
      <c r="AM355" s="41">
        <f t="shared" si="1210"/>
        <v>9.2881451361473522E-2</v>
      </c>
      <c r="AN355" s="41">
        <f t="shared" si="1210"/>
        <v>7.0059831602364356E-2</v>
      </c>
      <c r="AO355" s="41">
        <f t="shared" si="1210"/>
        <v>5.8458497974709429E-2</v>
      </c>
      <c r="AP355" s="41">
        <f t="shared" si="1210"/>
        <v>5.2830691929288826E-2</v>
      </c>
      <c r="AQ355" s="41">
        <f t="shared" si="1210"/>
        <v>5.6002516710178508E-2</v>
      </c>
      <c r="AR355" s="41">
        <f t="shared" si="1210"/>
        <v>4.8920402516955161E-2</v>
      </c>
      <c r="AS355" s="41">
        <f t="shared" si="1210"/>
        <v>4.2545412724642372E-2</v>
      </c>
      <c r="AT355" s="41">
        <f t="shared" si="1210"/>
        <v>0.10826756288459852</v>
      </c>
      <c r="AU355" s="41">
        <f t="shared" si="1210"/>
        <v>0.13039457840223576</v>
      </c>
      <c r="AV355" s="41">
        <f t="shared" si="1210"/>
        <v>0.16028935716190981</v>
      </c>
      <c r="AW355" s="41">
        <f t="shared" si="1210"/>
        <v>0.13615946808854512</v>
      </c>
      <c r="AX355" s="41">
        <f t="shared" si="1210"/>
        <v>0.21998312967744385</v>
      </c>
      <c r="AY355" s="41">
        <f t="shared" si="1210"/>
        <v>0.24379879631688661</v>
      </c>
      <c r="AZ355" s="41">
        <f t="shared" si="1210"/>
        <v>0.21027162246321596</v>
      </c>
      <c r="BA355" s="41">
        <f t="shared" si="1210"/>
        <v>0.22852397635486629</v>
      </c>
      <c r="BB355" s="41">
        <f t="shared" si="1210"/>
        <v>0.2601144615890969</v>
      </c>
      <c r="BC355" s="41">
        <f t="shared" si="1210"/>
        <v>0.18892017000917155</v>
      </c>
      <c r="BD355" s="41">
        <f t="shared" si="1210"/>
        <v>0.17961252167767783</v>
      </c>
      <c r="BE355" s="41">
        <f t="shared" si="1210"/>
        <v>0.10104180665517595</v>
      </c>
      <c r="BF355" s="41">
        <f t="shared" si="1210"/>
        <v>9.9848954139655721E-2</v>
      </c>
      <c r="BG355" s="41">
        <f t="shared" si="1210"/>
        <v>6.8726020205050697E-2</v>
      </c>
      <c r="BH355" s="41">
        <f t="shared" si="1210"/>
        <v>9.5299119299000562E-2</v>
      </c>
      <c r="BI355" s="41">
        <f t="shared" si="1210"/>
        <v>9.5617676737424828E-2</v>
      </c>
      <c r="BJ355" s="41">
        <f t="shared" si="1210"/>
        <v>0.11178068713447985</v>
      </c>
      <c r="BK355" s="41">
        <f t="shared" si="1210"/>
        <v>0.13147651813617287</v>
      </c>
      <c r="BL355" s="41">
        <f t="shared" si="1210"/>
        <v>0.17427116333159562</v>
      </c>
      <c r="BM355" s="41">
        <f t="shared" si="1210"/>
        <v>0.21432461586041984</v>
      </c>
      <c r="BN355" s="41">
        <f t="shared" si="1210"/>
        <v>0.29155251544718963</v>
      </c>
      <c r="BO355" s="41">
        <f t="shared" si="1210"/>
        <v>0.31408799561166389</v>
      </c>
      <c r="BP355" s="41">
        <f t="shared" si="1210"/>
        <v>0.26768421122714775</v>
      </c>
      <c r="BQ355" s="41">
        <f t="shared" si="1210"/>
        <v>0.17169282457470095</v>
      </c>
      <c r="BR355" s="41">
        <f t="shared" ref="BR355:CW355" si="1211">BR351*4/AVERAGE(BQ348:BR348)</f>
        <v>8.1414756129516472E-2</v>
      </c>
      <c r="BS355" s="41">
        <f t="shared" si="1211"/>
        <v>3.3270559705088368E-2</v>
      </c>
      <c r="BT355" s="41">
        <f t="shared" si="1211"/>
        <v>3.6245433084871666E-2</v>
      </c>
      <c r="BU355" s="41">
        <f t="shared" si="1211"/>
        <v>2.48485882423084E-2</v>
      </c>
      <c r="BV355" s="41">
        <f t="shared" si="1211"/>
        <v>6.213292570362538E-3</v>
      </c>
      <c r="BW355" s="41">
        <f t="shared" si="1211"/>
        <v>1.7372382281723647E-2</v>
      </c>
      <c r="BX355" s="41">
        <f t="shared" si="1211"/>
        <v>4.208053482976476E-2</v>
      </c>
      <c r="BY355" s="41">
        <f t="shared" si="1211"/>
        <v>3.0131440140346927E-2</v>
      </c>
      <c r="BZ355" s="41">
        <f t="shared" si="1211"/>
        <v>1.8026483627084863E-2</v>
      </c>
      <c r="CA355" s="41">
        <f t="shared" si="1211"/>
        <v>9.6094276658194675E-3</v>
      </c>
      <c r="CB355" s="41">
        <f t="shared" si="1211"/>
        <v>1.716881427840878E-2</v>
      </c>
      <c r="CC355" s="41">
        <f t="shared" si="1211"/>
        <v>3.4049948654440304E-2</v>
      </c>
      <c r="CD355" s="41">
        <f t="shared" si="1211"/>
        <v>8.4834664527455153E-2</v>
      </c>
      <c r="CE355" s="41">
        <f t="shared" si="1211"/>
        <v>0.1070548997102856</v>
      </c>
      <c r="CF355" s="41">
        <f t="shared" si="1211"/>
        <v>0.14545446606975551</v>
      </c>
      <c r="CG355" s="41">
        <f t="shared" si="1211"/>
        <v>0.17267174453298545</v>
      </c>
      <c r="CH355" s="41">
        <f t="shared" si="1211"/>
        <v>0.25027138145020184</v>
      </c>
      <c r="CI355" s="41">
        <f t="shared" si="1211"/>
        <v>0.26984787909331792</v>
      </c>
      <c r="CJ355" s="41">
        <f t="shared" si="1211"/>
        <v>0.26594442973704857</v>
      </c>
      <c r="CK355" s="41">
        <f t="shared" si="1211"/>
        <v>0.25017438763425187</v>
      </c>
      <c r="CL355" s="41">
        <f t="shared" si="1211"/>
        <v>0.27004826284432148</v>
      </c>
      <c r="CM355" s="41">
        <f t="shared" si="1211"/>
        <v>0.21165424659499604</v>
      </c>
      <c r="CN355" s="41">
        <f t="shared" si="1211"/>
        <v>0.21212840207560527</v>
      </c>
      <c r="CO355" s="41">
        <f t="shared" si="1211"/>
        <v>0.21570642992289518</v>
      </c>
      <c r="CP355" s="41">
        <f t="shared" si="1211"/>
        <v>0.20076726035283415</v>
      </c>
      <c r="CQ355" s="41">
        <f t="shared" si="1211"/>
        <v>0.17830470566913564</v>
      </c>
      <c r="CR355" s="41">
        <f t="shared" si="1211"/>
        <v>0.20034389553449222</v>
      </c>
      <c r="CS355" s="41">
        <f t="shared" si="1211"/>
        <v>0.18957081396944253</v>
      </c>
      <c r="CT355" s="41">
        <f t="shared" si="1211"/>
        <v>0.21787737823402101</v>
      </c>
      <c r="CU355" s="41">
        <f t="shared" si="1211"/>
        <v>0.16898730006887935</v>
      </c>
      <c r="CV355" s="41">
        <f t="shared" si="1211"/>
        <v>8.1150093919211602E-2</v>
      </c>
      <c r="CW355" s="41">
        <f t="shared" si="1211"/>
        <v>7.7704019409915906E-2</v>
      </c>
      <c r="CX355" s="41">
        <f t="shared" ref="CX355:EC355" si="1212">CX351*4/AVERAGE(CW348:CX348)</f>
        <v>9.7806583357379157E-2</v>
      </c>
      <c r="CY355" s="41">
        <f t="shared" si="1212"/>
        <v>9.3212477824747245E-2</v>
      </c>
      <c r="CZ355" s="41">
        <f t="shared" si="1212"/>
        <v>0.10333079298383244</v>
      </c>
      <c r="DA355" s="41">
        <f t="shared" si="1212"/>
        <v>0.12446839743699771</v>
      </c>
      <c r="DB355" s="41">
        <f t="shared" si="1212"/>
        <v>0.15533393701230894</v>
      </c>
      <c r="DC355" s="41">
        <f t="shared" si="1212"/>
        <v>0.15502491879042893</v>
      </c>
      <c r="DD355" s="41">
        <f t="shared" si="1212"/>
        <v>0.15967342614638874</v>
      </c>
      <c r="DE355" s="41">
        <f t="shared" si="1212"/>
        <v>0.16878623555001926</v>
      </c>
      <c r="DF355" s="41">
        <f t="shared" si="1212"/>
        <v>0.19382943391874696</v>
      </c>
      <c r="DG355" s="41">
        <f t="shared" si="1212"/>
        <v>0.16340655039541505</v>
      </c>
      <c r="DH355" s="41">
        <f t="shared" si="1212"/>
        <v>0.17777621046331835</v>
      </c>
      <c r="DI355" s="41">
        <f t="shared" si="1212"/>
        <v>0.16831364391809561</v>
      </c>
      <c r="DJ355" s="41">
        <f t="shared" si="1212"/>
        <v>0.17028777982991558</v>
      </c>
      <c r="DK355" s="41">
        <f t="shared" si="1212"/>
        <v>0.15993107312734411</v>
      </c>
      <c r="DL355" s="41">
        <f t="shared" si="1212"/>
        <v>0.16097529281996464</v>
      </c>
      <c r="DM355" s="41">
        <f t="shared" si="1212"/>
        <v>0.14525086950276261</v>
      </c>
      <c r="DN355" s="41">
        <f t="shared" si="1212"/>
        <v>0.16002491559555543</v>
      </c>
      <c r="DO355" s="41">
        <f t="shared" si="1212"/>
        <v>0.15896687920806696</v>
      </c>
      <c r="DP355" s="41">
        <f t="shared" si="1212"/>
        <v>0.16414571210159279</v>
      </c>
      <c r="DQ355" s="41">
        <f t="shared" si="1212"/>
        <v>0.15875561535763474</v>
      </c>
      <c r="DR355" s="41">
        <f t="shared" si="1212"/>
        <v>0.16937815800957162</v>
      </c>
      <c r="DS355" s="41">
        <f t="shared" si="1212"/>
        <v>8.5681163002595956E-2</v>
      </c>
      <c r="DT355" s="41">
        <f t="shared" si="1212"/>
        <v>2.4756140434949045E-2</v>
      </c>
      <c r="DU355" s="41">
        <f t="shared" si="1212"/>
        <v>4.1367776801978645E-3</v>
      </c>
      <c r="DV355" s="41">
        <f t="shared" si="1212"/>
        <v>7.6298381218407865E-3</v>
      </c>
      <c r="DW355" s="41">
        <f t="shared" si="1212"/>
        <v>-2.2352848424729545E-2</v>
      </c>
      <c r="DX355" s="41">
        <f t="shared" si="1212"/>
        <v>-4.5126835543050831E-2</v>
      </c>
      <c r="DY355" s="41">
        <f t="shared" si="1212"/>
        <v>-3.8308741191539035E-2</v>
      </c>
      <c r="DZ355" s="41">
        <f t="shared" si="1212"/>
        <v>-3.8646456846604581E-2</v>
      </c>
      <c r="EA355" s="41">
        <f t="shared" si="1212"/>
        <v>-4.2940726918121196E-2</v>
      </c>
      <c r="EB355" s="41">
        <f t="shared" si="1212"/>
        <v>-2.0096449062622885E-2</v>
      </c>
      <c r="EC355" s="41">
        <f t="shared" si="1212"/>
        <v>-1.3531913839478348E-2</v>
      </c>
      <c r="ED355" s="41">
        <f t="shared" ref="ED355:EP355" si="1213">ED351*4/AVERAGE(EC348:ED348)</f>
        <v>5.0916825097454361E-4</v>
      </c>
      <c r="EE355" s="41">
        <f t="shared" si="1213"/>
        <v>-3.0720864306701227E-3</v>
      </c>
      <c r="EF355" s="41">
        <f t="shared" si="1213"/>
        <v>7.3020392784791145E-3</v>
      </c>
      <c r="EG355" s="41">
        <f t="shared" si="1213"/>
        <v>2.2883122167247888E-2</v>
      </c>
      <c r="EH355" s="41">
        <f t="shared" si="1213"/>
        <v>3.2948468875528894E-2</v>
      </c>
      <c r="EI355" s="41">
        <f t="shared" si="1213"/>
        <v>4.2651328360606491E-2</v>
      </c>
      <c r="EJ355" s="41">
        <f t="shared" si="1213"/>
        <v>4.8700160487431594E-2</v>
      </c>
      <c r="EK355" s="41">
        <f t="shared" si="1213"/>
        <v>5.4112469569113641E-2</v>
      </c>
      <c r="EL355" s="41">
        <f t="shared" si="1213"/>
        <v>6.1933849725281924E-2</v>
      </c>
      <c r="EM355" s="41">
        <f t="shared" si="1213"/>
        <v>5.8974001261530393E-2</v>
      </c>
      <c r="EN355" s="41">
        <f t="shared" si="1213"/>
        <v>5.8079889000187228E-2</v>
      </c>
      <c r="EO355" s="41">
        <f t="shared" si="1213"/>
        <v>5.9162547460756186E-2</v>
      </c>
      <c r="EP355" s="41">
        <f t="shared" si="1213"/>
        <v>5.8264493875925978E-2</v>
      </c>
      <c r="EQ355" s="5"/>
      <c r="ER355" s="5"/>
      <c r="ES355" s="355">
        <f t="shared" si="1105"/>
        <v>350</v>
      </c>
      <c r="ET355"/>
      <c r="EU355"/>
      <c r="EV355"/>
      <c r="EW355"/>
      <c r="EX355"/>
      <c r="EY355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</row>
    <row r="356" spans="1:257" s="17" customFormat="1" hidden="1" outlineLevel="2">
      <c r="A356" s="38"/>
      <c r="B356" s="37" t="s">
        <v>15</v>
      </c>
      <c r="C356" s="5"/>
      <c r="D356" s="5"/>
      <c r="E356" s="41">
        <f t="shared" ref="E356:AF356" si="1214">E42/AVERAGE(D278:E278)</f>
        <v>4.4741190779817239E-2</v>
      </c>
      <c r="F356" s="41">
        <f t="shared" si="1214"/>
        <v>4.0591873689222742E-2</v>
      </c>
      <c r="G356" s="41">
        <f t="shared" si="1214"/>
        <v>2.9273930338461967E-2</v>
      </c>
      <c r="H356" s="41">
        <f t="shared" si="1214"/>
        <v>7.4610747224647375E-2</v>
      </c>
      <c r="I356" s="41">
        <f t="shared" si="1214"/>
        <v>0.11803161473484984</v>
      </c>
      <c r="J356" s="41">
        <f t="shared" si="1214"/>
        <v>9.879292990910761E-2</v>
      </c>
      <c r="K356" s="41">
        <f t="shared" si="1214"/>
        <v>4.2560062196231332E-2</v>
      </c>
      <c r="L356" s="41">
        <f t="shared" si="1214"/>
        <v>8.2658281461704453E-2</v>
      </c>
      <c r="M356" s="41">
        <f t="shared" si="1214"/>
        <v>0.14457180478059509</v>
      </c>
      <c r="N356" s="41">
        <f t="shared" si="1214"/>
        <v>3.9985085710330798E-2</v>
      </c>
      <c r="O356" s="41">
        <f t="shared" si="1214"/>
        <v>1.636628575811026E-2</v>
      </c>
      <c r="P356" s="41">
        <f t="shared" si="1214"/>
        <v>1.539605790447655E-2</v>
      </c>
      <c r="Q356" s="41">
        <f t="shared" si="1214"/>
        <v>0.10441442236879875</v>
      </c>
      <c r="R356" s="41">
        <f t="shared" si="1214"/>
        <v>0.22438660290191903</v>
      </c>
      <c r="S356" s="41">
        <f t="shared" si="1214"/>
        <v>0.23144919885106915</v>
      </c>
      <c r="T356" s="41">
        <f t="shared" si="1214"/>
        <v>0.21577684826475932</v>
      </c>
      <c r="U356" s="41">
        <f t="shared" si="1214"/>
        <v>0.1412028413556235</v>
      </c>
      <c r="V356" s="41">
        <f t="shared" si="1214"/>
        <v>9.9925653049263152E-2</v>
      </c>
      <c r="W356" s="41">
        <f t="shared" si="1214"/>
        <v>0.14205704571212691</v>
      </c>
      <c r="X356" s="41">
        <f t="shared" si="1214"/>
        <v>0.15758617996085886</v>
      </c>
      <c r="Y356" s="41">
        <f t="shared" si="1214"/>
        <v>0.14493808768862343</v>
      </c>
      <c r="Z356" s="41">
        <f t="shared" si="1214"/>
        <v>0.14393774559964637</v>
      </c>
      <c r="AA356" s="41">
        <f t="shared" si="1214"/>
        <v>6.4232438933765582E-2</v>
      </c>
      <c r="AB356" s="41">
        <f t="shared" si="1214"/>
        <v>-2.319039725314391E-2</v>
      </c>
      <c r="AC356" s="41">
        <f t="shared" si="1214"/>
        <v>-3.104045881068818E-2</v>
      </c>
      <c r="AD356" s="41">
        <f t="shared" si="1214"/>
        <v>5.5778736994489975E-3</v>
      </c>
      <c r="AE356" s="41">
        <f t="shared" si="1214"/>
        <v>4.4138648940623477E-2</v>
      </c>
      <c r="AF356" s="41">
        <f t="shared" si="1214"/>
        <v>5.8714327926345462E-2</v>
      </c>
      <c r="AG356" s="42"/>
      <c r="AH356" s="41"/>
      <c r="AI356" s="41"/>
      <c r="AJ356" s="41"/>
      <c r="AK356" s="41">
        <f t="shared" ref="AK356:BP356" si="1215">4*AK42/AVERAGE(AJ278:AK278)</f>
        <v>3.5964293503783634E-2</v>
      </c>
      <c r="AL356" s="41">
        <f t="shared" si="1215"/>
        <v>5.652126902055065E-2</v>
      </c>
      <c r="AM356" s="41">
        <f t="shared" si="1215"/>
        <v>4.7392954388612553E-2</v>
      </c>
      <c r="AN356" s="41">
        <f t="shared" si="1215"/>
        <v>3.5656079514587699E-2</v>
      </c>
      <c r="AO356" s="41">
        <f t="shared" si="1215"/>
        <v>2.2148364669810423E-2</v>
      </c>
      <c r="AP356" s="41">
        <f t="shared" si="1215"/>
        <v>3.2670998385315862E-2</v>
      </c>
      <c r="AQ356" s="41">
        <f t="shared" si="1215"/>
        <v>3.3527964707978059E-2</v>
      </c>
      <c r="AR356" s="41">
        <f t="shared" si="1215"/>
        <v>2.7511498821719195E-2</v>
      </c>
      <c r="AS356" s="41">
        <f t="shared" si="1215"/>
        <v>2.0414188108222688E-2</v>
      </c>
      <c r="AT356" s="41">
        <f t="shared" si="1215"/>
        <v>6.6522574236730275E-2</v>
      </c>
      <c r="AU356" s="41">
        <f t="shared" si="1215"/>
        <v>6.7054947328995571E-2</v>
      </c>
      <c r="AV356" s="41">
        <f t="shared" si="1215"/>
        <v>8.1845174991123842E-2</v>
      </c>
      <c r="AW356" s="41">
        <f t="shared" si="1215"/>
        <v>8.606741501432244E-2</v>
      </c>
      <c r="AX356" s="41">
        <f t="shared" si="1215"/>
        <v>0.12167371643675878</v>
      </c>
      <c r="AY356" s="41">
        <f t="shared" si="1215"/>
        <v>0.13065035237072575</v>
      </c>
      <c r="AZ356" s="41">
        <f t="shared" si="1215"/>
        <v>0.13258949847214827</v>
      </c>
      <c r="BA356" s="41">
        <f t="shared" si="1215"/>
        <v>9.5230095525077385E-2</v>
      </c>
      <c r="BB356" s="41">
        <f t="shared" si="1215"/>
        <v>0.12891495734654687</v>
      </c>
      <c r="BC356" s="41">
        <f t="shared" si="1215"/>
        <v>9.5505271138264583E-2</v>
      </c>
      <c r="BD356" s="41">
        <f t="shared" si="1215"/>
        <v>0.1006510310724343</v>
      </c>
      <c r="BE356" s="41">
        <f t="shared" si="1215"/>
        <v>6.0135130134908753E-2</v>
      </c>
      <c r="BF356" s="41">
        <f t="shared" si="1215"/>
        <v>3.2305335584841298E-2</v>
      </c>
      <c r="BG356" s="41">
        <f t="shared" si="1215"/>
        <v>3.6339416676243345E-2</v>
      </c>
      <c r="BH356" s="41">
        <f t="shared" si="1215"/>
        <v>5.541590935457668E-2</v>
      </c>
      <c r="BI356" s="41">
        <f t="shared" si="1215"/>
        <v>4.5878251834596609E-2</v>
      </c>
      <c r="BJ356" s="41">
        <f t="shared" si="1215"/>
        <v>8.7124133960283651E-2</v>
      </c>
      <c r="BK356" s="41">
        <f t="shared" si="1215"/>
        <v>5.9760846338174092E-2</v>
      </c>
      <c r="BL356" s="41">
        <f t="shared" si="1215"/>
        <v>8.1438213686991459E-2</v>
      </c>
      <c r="BM356" s="41">
        <f t="shared" si="1215"/>
        <v>0.10266267002475807</v>
      </c>
      <c r="BN356" s="41">
        <f t="shared" si="1215"/>
        <v>0.13981629485785702</v>
      </c>
      <c r="BO356" s="41">
        <f t="shared" si="1215"/>
        <v>0.16763717563036162</v>
      </c>
      <c r="BP356" s="41">
        <f t="shared" si="1215"/>
        <v>0.15203594164889092</v>
      </c>
      <c r="BQ356" s="41">
        <f t="shared" ref="BQ356:CV356" si="1216">4*BQ42/AVERAGE(BP278:BQ278)</f>
        <v>0.1110705120436407</v>
      </c>
      <c r="BR356" s="41">
        <f t="shared" si="1216"/>
        <v>6.9635935477179209E-2</v>
      </c>
      <c r="BS356" s="41">
        <f t="shared" si="1216"/>
        <v>2.9396740652858105E-2</v>
      </c>
      <c r="BT356" s="41">
        <f t="shared" si="1216"/>
        <v>2.660905066492103E-2</v>
      </c>
      <c r="BU356" s="41">
        <f t="shared" si="1216"/>
        <v>2.2093459338650964E-2</v>
      </c>
      <c r="BV356" s="41">
        <f t="shared" si="1216"/>
        <v>2.707911383934575E-3</v>
      </c>
      <c r="BW356" s="41">
        <f t="shared" si="1216"/>
        <v>1.1495670979962432E-2</v>
      </c>
      <c r="BX356" s="41">
        <f t="shared" si="1216"/>
        <v>3.6175931060961543E-2</v>
      </c>
      <c r="BY356" s="41">
        <f t="shared" si="1216"/>
        <v>1.5257577969392325E-2</v>
      </c>
      <c r="BZ356" s="41">
        <f t="shared" si="1216"/>
        <v>1.6791858939791567E-2</v>
      </c>
      <c r="CA356" s="41">
        <f t="shared" si="1216"/>
        <v>1.0173957711030187E-2</v>
      </c>
      <c r="CB356" s="41">
        <f t="shared" si="1216"/>
        <v>1.8355372602138785E-2</v>
      </c>
      <c r="CC356" s="41">
        <f t="shared" si="1216"/>
        <v>1.5389727466597281E-2</v>
      </c>
      <c r="CD356" s="41">
        <f t="shared" si="1216"/>
        <v>7.5762466527128591E-2</v>
      </c>
      <c r="CE356" s="41">
        <f t="shared" si="1216"/>
        <v>8.9435136411728219E-2</v>
      </c>
      <c r="CF356" s="41">
        <f t="shared" si="1216"/>
        <v>0.11694254903322451</v>
      </c>
      <c r="CG356" s="41">
        <f t="shared" si="1216"/>
        <v>0.13317220750428169</v>
      </c>
      <c r="CH356" s="41">
        <f t="shared" si="1216"/>
        <v>0.17449820183552306</v>
      </c>
      <c r="CI356" s="41">
        <f t="shared" si="1216"/>
        <v>0.20872943430670693</v>
      </c>
      <c r="CJ356" s="41">
        <f t="shared" si="1216"/>
        <v>0.22653570545890878</v>
      </c>
      <c r="CK356" s="41">
        <f t="shared" si="1216"/>
        <v>0.27450652273302301</v>
      </c>
      <c r="CL356" s="41">
        <f t="shared" si="1216"/>
        <v>0.26369678298435667</v>
      </c>
      <c r="CM356" s="41">
        <f t="shared" si="1216"/>
        <v>0.21864977411675635</v>
      </c>
      <c r="CN356" s="41">
        <f t="shared" si="1216"/>
        <v>0.22443256719983121</v>
      </c>
      <c r="CO356" s="41">
        <f t="shared" si="1216"/>
        <v>0.23400278682608969</v>
      </c>
      <c r="CP356" s="41">
        <f t="shared" si="1216"/>
        <v>0.22360998891282713</v>
      </c>
      <c r="CQ356" s="41">
        <f t="shared" si="1216"/>
        <v>0.19847230937916777</v>
      </c>
      <c r="CR356" s="41">
        <f t="shared" si="1216"/>
        <v>0.22533068341334453</v>
      </c>
      <c r="CS356" s="41">
        <f t="shared" si="1216"/>
        <v>0.21816125204946415</v>
      </c>
      <c r="CT356" s="41">
        <f t="shared" si="1216"/>
        <v>0.24856250506511396</v>
      </c>
      <c r="CU356" s="41">
        <f t="shared" si="1216"/>
        <v>0.16823209102838749</v>
      </c>
      <c r="CV356" s="41">
        <f t="shared" si="1216"/>
        <v>8.1436472723715181E-2</v>
      </c>
      <c r="CW356" s="41">
        <f t="shared" ref="CW356:EC356" si="1217">4*CW42/AVERAGE(CV278:CW278)</f>
        <v>7.6797832687853326E-2</v>
      </c>
      <c r="CX356" s="41">
        <f t="shared" si="1217"/>
        <v>9.2342568685993512E-2</v>
      </c>
      <c r="CY356" s="41">
        <f t="shared" si="1217"/>
        <v>9.4506624928365798E-2</v>
      </c>
      <c r="CZ356" s="41">
        <f t="shared" si="1217"/>
        <v>9.2243545014273703E-2</v>
      </c>
      <c r="DA356" s="41">
        <f t="shared" si="1217"/>
        <v>0.11978105536884509</v>
      </c>
      <c r="DB356" s="41">
        <f t="shared" si="1217"/>
        <v>0.14227493659032428</v>
      </c>
      <c r="DC356" s="41">
        <f t="shared" si="1217"/>
        <v>0.13215527025109944</v>
      </c>
      <c r="DD356" s="41">
        <f t="shared" si="1217"/>
        <v>0.13774880136727302</v>
      </c>
      <c r="DE356" s="41">
        <f t="shared" si="1217"/>
        <v>0.14686239510283444</v>
      </c>
      <c r="DF356" s="41">
        <f t="shared" si="1217"/>
        <v>0.1682621795735614</v>
      </c>
      <c r="DG356" s="41">
        <f t="shared" si="1217"/>
        <v>0.14107910663936396</v>
      </c>
      <c r="DH356" s="41">
        <f t="shared" si="1217"/>
        <v>0.16370034571072986</v>
      </c>
      <c r="DI356" s="41">
        <f t="shared" si="1217"/>
        <v>0.15658737804548262</v>
      </c>
      <c r="DJ356" s="41">
        <f t="shared" si="1217"/>
        <v>0.1538886034222178</v>
      </c>
      <c r="DK356" s="41">
        <f t="shared" si="1217"/>
        <v>0.14463006674687057</v>
      </c>
      <c r="DL356" s="41">
        <f t="shared" si="1217"/>
        <v>0.14712864371351095</v>
      </c>
      <c r="DM356" s="41">
        <f t="shared" si="1217"/>
        <v>0.13369577414438288</v>
      </c>
      <c r="DN356" s="41">
        <f t="shared" si="1217"/>
        <v>0.14449614005864628</v>
      </c>
      <c r="DO356" s="41">
        <f t="shared" si="1217"/>
        <v>0.13549040504241</v>
      </c>
      <c r="DP356" s="41">
        <f t="shared" si="1217"/>
        <v>0.1489320470045733</v>
      </c>
      <c r="DQ356" s="41">
        <f t="shared" si="1217"/>
        <v>0.14439698852654317</v>
      </c>
      <c r="DR356" s="41">
        <f t="shared" si="1217"/>
        <v>0.1515910062565996</v>
      </c>
      <c r="DS356" s="41">
        <f t="shared" si="1217"/>
        <v>8.4176915671110408E-2</v>
      </c>
      <c r="DT356" s="41">
        <f t="shared" si="1217"/>
        <v>2.4058025406317001E-2</v>
      </c>
      <c r="DU356" s="41">
        <f t="shared" si="1217"/>
        <v>-4.9395496161342579E-3</v>
      </c>
      <c r="DV356" s="41">
        <f t="shared" si="1217"/>
        <v>4.1589083595427569E-3</v>
      </c>
      <c r="DW356" s="41">
        <f t="shared" si="1217"/>
        <v>-2.4184612510121061E-2</v>
      </c>
      <c r="DX356" s="41">
        <f t="shared" si="1217"/>
        <v>-4.2698985887370117E-2</v>
      </c>
      <c r="DY356" s="41">
        <f t="shared" si="1217"/>
        <v>-3.0275176366524093E-2</v>
      </c>
      <c r="DZ356" s="41">
        <f t="shared" si="1217"/>
        <v>-3.8243447930913894E-2</v>
      </c>
      <c r="EA356" s="41">
        <f t="shared" si="1217"/>
        <v>-4.5918645714436615E-2</v>
      </c>
      <c r="EB356" s="41">
        <f t="shared" si="1217"/>
        <v>-2.5559546732008106E-2</v>
      </c>
      <c r="EC356" s="41">
        <f t="shared" si="1217"/>
        <v>-1.3414794351889308E-2</v>
      </c>
      <c r="ED356" s="41">
        <f t="shared" ref="ED356:EP356" si="1218">4*ED42/AVERAGE(EC278:ED278)</f>
        <v>1.8982688746845102E-3</v>
      </c>
      <c r="EE356" s="41">
        <f t="shared" si="1218"/>
        <v>-6.0003134553008692E-3</v>
      </c>
      <c r="EF356" s="41">
        <f t="shared" si="1218"/>
        <v>4.6456397631088999E-3</v>
      </c>
      <c r="EG356" s="41">
        <f t="shared" si="1218"/>
        <v>2.1164192949872745E-2</v>
      </c>
      <c r="EH356" s="41">
        <f t="shared" si="1218"/>
        <v>3.1970675592701017E-2</v>
      </c>
      <c r="EI356" s="41">
        <f t="shared" si="1218"/>
        <v>4.2351025208904193E-2</v>
      </c>
      <c r="EJ356" s="41">
        <f t="shared" si="1218"/>
        <v>4.8664417033404121E-2</v>
      </c>
      <c r="EK356" s="41">
        <f t="shared" si="1218"/>
        <v>5.4099923938838973E-2</v>
      </c>
      <c r="EL356" s="41">
        <f t="shared" si="1218"/>
        <v>6.1980740070883292E-2</v>
      </c>
      <c r="EM356" s="41">
        <f t="shared" si="1218"/>
        <v>5.839311378274311E-2</v>
      </c>
      <c r="EN356" s="41">
        <f t="shared" si="1218"/>
        <v>5.6915079148952975E-2</v>
      </c>
      <c r="EO356" s="41">
        <f t="shared" si="1218"/>
        <v>5.7448262272977509E-2</v>
      </c>
      <c r="EP356" s="41">
        <f t="shared" si="1218"/>
        <v>5.596486676030784E-2</v>
      </c>
      <c r="EQ356" s="5"/>
      <c r="ER356" s="5"/>
      <c r="ES356" s="355">
        <f t="shared" si="1105"/>
        <v>351</v>
      </c>
      <c r="ET356"/>
      <c r="EU356"/>
      <c r="EV356"/>
      <c r="EW356"/>
      <c r="EX356"/>
      <c r="EY356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</row>
    <row r="357" spans="1:257" s="17" customFormat="1" hidden="1" outlineLevel="2">
      <c r="A357" s="38"/>
      <c r="B357" s="37" t="s">
        <v>14</v>
      </c>
      <c r="C357" s="5"/>
      <c r="D357" s="5"/>
      <c r="E357" s="41">
        <f t="shared" ref="E357:AF357" si="1219">E50/AVERAGE(D278:E278)</f>
        <v>4.8238745438933382E-2</v>
      </c>
      <c r="F357" s="41">
        <f t="shared" si="1219"/>
        <v>4.8334351146515721E-2</v>
      </c>
      <c r="G357" s="41">
        <f t="shared" si="1219"/>
        <v>1.7944935860334604E-2</v>
      </c>
      <c r="H357" s="41">
        <f t="shared" si="1219"/>
        <v>0.12010211808127243</v>
      </c>
      <c r="I357" s="41">
        <f t="shared" si="1219"/>
        <v>0.11803161473484984</v>
      </c>
      <c r="J357" s="41">
        <f t="shared" si="1219"/>
        <v>0.12855334594034046</v>
      </c>
      <c r="K357" s="41">
        <f t="shared" si="1219"/>
        <v>5.2140524000811601E-2</v>
      </c>
      <c r="L357" s="41">
        <f t="shared" si="1219"/>
        <v>9.1251194692129792E-2</v>
      </c>
      <c r="M357" s="41">
        <f t="shared" si="1219"/>
        <v>0.14555085814608157</v>
      </c>
      <c r="N357" s="41">
        <f t="shared" si="1219"/>
        <v>6.610683439778485E-2</v>
      </c>
      <c r="O357" s="41">
        <f t="shared" si="1219"/>
        <v>1.9722790676117721E-2</v>
      </c>
      <c r="P357" s="41">
        <f t="shared" si="1219"/>
        <v>4.7603940457397976E-3</v>
      </c>
      <c r="Q357" s="41">
        <f t="shared" si="1219"/>
        <v>0.12803183387948328</v>
      </c>
      <c r="R357" s="41">
        <f t="shared" si="1219"/>
        <v>0.23879925075067143</v>
      </c>
      <c r="S357" s="41">
        <f t="shared" si="1219"/>
        <v>0.28101574775568189</v>
      </c>
      <c r="T357" s="41">
        <f t="shared" si="1219"/>
        <v>0.22628724892734364</v>
      </c>
      <c r="U357" s="41">
        <f t="shared" si="1219"/>
        <v>0.14289025545808684</v>
      </c>
      <c r="V357" s="41">
        <f t="shared" si="1219"/>
        <v>5.7118565719462472E-2</v>
      </c>
      <c r="W357" s="41">
        <f t="shared" si="1219"/>
        <v>0.14288281125565855</v>
      </c>
      <c r="X357" s="41">
        <f t="shared" si="1219"/>
        <v>0.1635584292569576</v>
      </c>
      <c r="Y357" s="41">
        <f t="shared" si="1219"/>
        <v>0.17795952879217503</v>
      </c>
      <c r="Z357" s="41">
        <f t="shared" si="1219"/>
        <v>0.15184605746470389</v>
      </c>
      <c r="AA357" s="41">
        <f t="shared" si="1219"/>
        <v>8.627021435206815E-2</v>
      </c>
      <c r="AB357" s="41">
        <f t="shared" si="1219"/>
        <v>-1.2016437915299796E-2</v>
      </c>
      <c r="AC357" s="41">
        <f t="shared" si="1219"/>
        <v>-2.9387921585382538E-2</v>
      </c>
      <c r="AD357" s="41">
        <f t="shared" si="1219"/>
        <v>0.12356265169641577</v>
      </c>
      <c r="AE357" s="41">
        <f t="shared" si="1219"/>
        <v>4.4595971148407104E-2</v>
      </c>
      <c r="AF357" s="41">
        <f t="shared" si="1219"/>
        <v>5.8714327926345462E-2</v>
      </c>
      <c r="AG357" s="41"/>
      <c r="AH357" s="41"/>
      <c r="AI357" s="41"/>
      <c r="AJ357" s="41"/>
      <c r="AK357" s="41">
        <f t="shared" ref="AK357:BP357" si="1220">4*AK50/AVERAGE(AJ278:AK278)</f>
        <v>4.0335843844009241E-2</v>
      </c>
      <c r="AL357" s="41">
        <f t="shared" si="1220"/>
        <v>8.7692518997415744E-2</v>
      </c>
      <c r="AM357" s="41">
        <f t="shared" si="1220"/>
        <v>4.7392954388612553E-2</v>
      </c>
      <c r="AN357" s="41">
        <f t="shared" si="1220"/>
        <v>3.5656079514587699E-2</v>
      </c>
      <c r="AO357" s="41">
        <f t="shared" si="1220"/>
        <v>2.2148364669810423E-2</v>
      </c>
      <c r="AP357" s="41">
        <f t="shared" si="1220"/>
        <v>3.2670998385315862E-2</v>
      </c>
      <c r="AQ357" s="41">
        <f t="shared" si="1220"/>
        <v>4.1486935981273836E-2</v>
      </c>
      <c r="AR357" s="41">
        <f t="shared" si="1220"/>
        <v>3.2332237723765297E-2</v>
      </c>
      <c r="AS357" s="41">
        <f t="shared" si="1220"/>
        <v>-3.5843269664212495E-2</v>
      </c>
      <c r="AT357" s="41">
        <f t="shared" si="1220"/>
        <v>7.793989395944749E-2</v>
      </c>
      <c r="AU357" s="41">
        <f t="shared" si="1220"/>
        <v>7.5435105508756803E-2</v>
      </c>
      <c r="AV357" s="41">
        <f t="shared" si="1220"/>
        <v>8.752591129171064E-2</v>
      </c>
      <c r="AW357" s="41">
        <f t="shared" si="1220"/>
        <v>0.23761896720376507</v>
      </c>
      <c r="AX357" s="41">
        <f t="shared" si="1220"/>
        <v>0.12167371643675878</v>
      </c>
      <c r="AY357" s="41">
        <f t="shared" si="1220"/>
        <v>0.13065035237072575</v>
      </c>
      <c r="AZ357" s="41">
        <f t="shared" si="1220"/>
        <v>0.13258949847214827</v>
      </c>
      <c r="BA357" s="41">
        <f t="shared" si="1220"/>
        <v>9.5230095525077385E-2</v>
      </c>
      <c r="BB357" s="41">
        <f t="shared" si="1220"/>
        <v>0.14750116637944446</v>
      </c>
      <c r="BC357" s="41">
        <f t="shared" si="1220"/>
        <v>9.5505271138264583E-2</v>
      </c>
      <c r="BD357" s="41">
        <f t="shared" si="1220"/>
        <v>0.16448097850176627</v>
      </c>
      <c r="BE357" s="41">
        <f t="shared" si="1220"/>
        <v>9.2706475540656849E-2</v>
      </c>
      <c r="BF357" s="41">
        <f t="shared" si="1220"/>
        <v>6.4264542574130737E-2</v>
      </c>
      <c r="BG357" s="41">
        <f t="shared" si="1220"/>
        <v>3.6339416676243345E-2</v>
      </c>
      <c r="BH357" s="41">
        <f t="shared" si="1220"/>
        <v>5.8954329247070586E-2</v>
      </c>
      <c r="BI357" s="41">
        <f t="shared" si="1220"/>
        <v>4.9479243886557174E-2</v>
      </c>
      <c r="BJ357" s="41">
        <f t="shared" si="1220"/>
        <v>9.5293040303702573E-2</v>
      </c>
      <c r="BK357" s="41">
        <f t="shared" si="1220"/>
        <v>8.6749325259895246E-2</v>
      </c>
      <c r="BL357" s="41">
        <f t="shared" si="1220"/>
        <v>8.1438213686991459E-2</v>
      </c>
      <c r="BM357" s="41">
        <f t="shared" si="1220"/>
        <v>0.10266267002475807</v>
      </c>
      <c r="BN357" s="41">
        <f t="shared" si="1220"/>
        <v>0.13981629485785702</v>
      </c>
      <c r="BO357" s="41">
        <f t="shared" si="1220"/>
        <v>0.16793483972146292</v>
      </c>
      <c r="BP357" s="41">
        <f t="shared" si="1220"/>
        <v>0.15758131369396122</v>
      </c>
      <c r="BQ357" s="41">
        <f t="shared" ref="BQ357:CV357" si="1221">4*BQ50/AVERAGE(BP278:BQ278)</f>
        <v>0.10903614661437219</v>
      </c>
      <c r="BR357" s="41">
        <f t="shared" si="1221"/>
        <v>5.9943682748712104E-2</v>
      </c>
      <c r="BS357" s="41">
        <f t="shared" si="1221"/>
        <v>4.0948284993961991E-2</v>
      </c>
      <c r="BT357" s="41">
        <f t="shared" si="1221"/>
        <v>0.10600793331395478</v>
      </c>
      <c r="BU357" s="41">
        <f t="shared" si="1221"/>
        <v>3.6074141498908592E-2</v>
      </c>
      <c r="BV357" s="41">
        <f t="shared" si="1221"/>
        <v>2.707911383934575E-3</v>
      </c>
      <c r="BW357" s="41">
        <f t="shared" si="1221"/>
        <v>1.1495670979962432E-2</v>
      </c>
      <c r="BX357" s="41">
        <f t="shared" si="1221"/>
        <v>3.6175931060961543E-2</v>
      </c>
      <c r="BY357" s="41">
        <f t="shared" si="1221"/>
        <v>2.8561759063191788E-2</v>
      </c>
      <c r="BZ357" s="41">
        <f t="shared" si="1221"/>
        <v>2.8592229796809802E-2</v>
      </c>
      <c r="CA357" s="41">
        <f t="shared" si="1221"/>
        <v>2.5970470827502787E-2</v>
      </c>
      <c r="CB357" s="41">
        <f t="shared" si="1221"/>
        <v>1.8560058408465405E-2</v>
      </c>
      <c r="CC357" s="41">
        <f t="shared" si="1221"/>
        <v>-5.4566113704257332E-2</v>
      </c>
      <c r="CD357" s="41">
        <f t="shared" si="1221"/>
        <v>0.16778718643275631</v>
      </c>
      <c r="CE357" s="41">
        <f t="shared" si="1221"/>
        <v>9.169846794835966E-2</v>
      </c>
      <c r="CF357" s="41">
        <f t="shared" si="1221"/>
        <v>0.11835434875345983</v>
      </c>
      <c r="CG357" s="41">
        <f t="shared" si="1221"/>
        <v>0.13724318671224855</v>
      </c>
      <c r="CH357" s="41">
        <f t="shared" si="1221"/>
        <v>0.18297257517857862</v>
      </c>
      <c r="CI357" s="41">
        <f t="shared" si="1221"/>
        <v>0.21649412815877056</v>
      </c>
      <c r="CJ357" s="41">
        <f t="shared" si="1221"/>
        <v>0.24941155557496039</v>
      </c>
      <c r="CK357" s="41">
        <f t="shared" si="1221"/>
        <v>0.29146562859260783</v>
      </c>
      <c r="CL357" s="41">
        <f t="shared" si="1221"/>
        <v>0.31205016530467811</v>
      </c>
      <c r="CM357" s="41">
        <f t="shared" si="1221"/>
        <v>0.28237899300698371</v>
      </c>
      <c r="CN357" s="41">
        <f t="shared" si="1221"/>
        <v>0.28326060484612059</v>
      </c>
      <c r="CO357" s="41">
        <f t="shared" si="1221"/>
        <v>0.26607703514160846</v>
      </c>
      <c r="CP357" s="41">
        <f t="shared" si="1221"/>
        <v>0.23129961241817029</v>
      </c>
      <c r="CQ357" s="41">
        <f t="shared" si="1221"/>
        <v>0.20784404873706072</v>
      </c>
      <c r="CR357" s="41">
        <f t="shared" si="1221"/>
        <v>0.23992620540579859</v>
      </c>
      <c r="CS357" s="41">
        <f t="shared" si="1221"/>
        <v>0.22833051195876197</v>
      </c>
      <c r="CT357" s="41">
        <f t="shared" si="1221"/>
        <v>0.24983238100233471</v>
      </c>
      <c r="CU357" s="41">
        <f t="shared" si="1221"/>
        <v>0.17032399371000773</v>
      </c>
      <c r="CV357" s="41">
        <f t="shared" si="1221"/>
        <v>8.3533874711392744E-2</v>
      </c>
      <c r="CW357" s="41">
        <f t="shared" ref="CW357:EC357" si="1222">4*CW50/AVERAGE(CV278:CW278)</f>
        <v>7.8057196286264605E-2</v>
      </c>
      <c r="CX357" s="41">
        <f t="shared" si="1222"/>
        <v>9.3009898343277414E-2</v>
      </c>
      <c r="CY357" s="41">
        <f t="shared" si="1222"/>
        <v>6.7373630754757302E-2</v>
      </c>
      <c r="CZ357" s="41">
        <f t="shared" si="1222"/>
        <v>-5.3400510006505079E-2</v>
      </c>
      <c r="DA357" s="41">
        <f t="shared" si="1222"/>
        <v>0.12122201519610404</v>
      </c>
      <c r="DB357" s="41">
        <f t="shared" si="1222"/>
        <v>0.14438188627691056</v>
      </c>
      <c r="DC357" s="41">
        <f t="shared" si="1222"/>
        <v>0.12976623949811633</v>
      </c>
      <c r="DD357" s="41">
        <f t="shared" si="1222"/>
        <v>0.13842380426617448</v>
      </c>
      <c r="DE357" s="41">
        <f t="shared" si="1222"/>
        <v>0.14966368965307378</v>
      </c>
      <c r="DF357" s="41">
        <f t="shared" si="1222"/>
        <v>0.17187506281776488</v>
      </c>
      <c r="DG357" s="41">
        <f t="shared" si="1222"/>
        <v>0.14724264121645236</v>
      </c>
      <c r="DH357" s="41">
        <f t="shared" si="1222"/>
        <v>0.16573884786489268</v>
      </c>
      <c r="DI357" s="41">
        <f t="shared" si="1222"/>
        <v>0.16827166371157293</v>
      </c>
      <c r="DJ357" s="41">
        <f t="shared" si="1222"/>
        <v>0.16316420146566429</v>
      </c>
      <c r="DK357" s="41">
        <f t="shared" si="1222"/>
        <v>0.14802645478085993</v>
      </c>
      <c r="DL357" s="41">
        <f t="shared" si="1222"/>
        <v>0.25140005686181355</v>
      </c>
      <c r="DM357" s="41">
        <f t="shared" si="1222"/>
        <v>0.146288182372973</v>
      </c>
      <c r="DN357" s="41">
        <f t="shared" si="1222"/>
        <v>0.15372879337983184</v>
      </c>
      <c r="DO357" s="41">
        <f t="shared" si="1222"/>
        <v>0.15087042499555736</v>
      </c>
      <c r="DP357" s="41">
        <f t="shared" si="1222"/>
        <v>0.16179721388932122</v>
      </c>
      <c r="DQ357" s="41">
        <f t="shared" si="1222"/>
        <v>0.13897992845361268</v>
      </c>
      <c r="DR357" s="41">
        <f t="shared" si="1222"/>
        <v>0.16554250479428723</v>
      </c>
      <c r="DS357" s="41">
        <f t="shared" si="1222"/>
        <v>0.12055057772392634</v>
      </c>
      <c r="DT357" s="41">
        <f t="shared" si="1222"/>
        <v>7.251479840401201E-2</v>
      </c>
      <c r="DU357" s="41">
        <f t="shared" si="1222"/>
        <v>-1.7109856566630388E-2</v>
      </c>
      <c r="DV357" s="41">
        <f t="shared" si="1222"/>
        <v>1.3159884433648319E-2</v>
      </c>
      <c r="DW357" s="41">
        <f t="shared" si="1222"/>
        <v>1.7648050802750143E-2</v>
      </c>
      <c r="DX357" s="41">
        <f t="shared" si="1222"/>
        <v>-1.7883575812548021E-2</v>
      </c>
      <c r="DY357" s="41">
        <f t="shared" si="1222"/>
        <v>-6.2908189865096331E-2</v>
      </c>
      <c r="DZ357" s="41">
        <f t="shared" si="1222"/>
        <v>-3.1040399077553644E-2</v>
      </c>
      <c r="EA357" s="41">
        <f t="shared" si="1222"/>
        <v>-4.4262759017053573E-2</v>
      </c>
      <c r="EB357" s="41">
        <f t="shared" si="1222"/>
        <v>-2.0284512645717272E-2</v>
      </c>
      <c r="EC357" s="41">
        <f t="shared" si="1222"/>
        <v>-2.1422081776743682E-2</v>
      </c>
      <c r="ED357" s="41">
        <f t="shared" ref="ED357:EP357" si="1223">4*ED50/AVERAGE(EC278:ED278)</f>
        <v>0.45698131283808763</v>
      </c>
      <c r="EE357" s="41">
        <f t="shared" si="1223"/>
        <v>-2.4872374469368437E-3</v>
      </c>
      <c r="EF357" s="41">
        <f t="shared" si="1223"/>
        <v>6.428332323867165E-3</v>
      </c>
      <c r="EG357" s="41">
        <f t="shared" si="1223"/>
        <v>2.2968031217966391E-2</v>
      </c>
      <c r="EH357" s="41">
        <f t="shared" si="1223"/>
        <v>3.3789926775202803E-2</v>
      </c>
      <c r="EI357" s="41">
        <f t="shared" si="1223"/>
        <v>4.2351025208904193E-2</v>
      </c>
      <c r="EJ357" s="41">
        <f t="shared" si="1223"/>
        <v>4.8664417033404121E-2</v>
      </c>
      <c r="EK357" s="41">
        <f t="shared" si="1223"/>
        <v>5.4099923938838973E-2</v>
      </c>
      <c r="EL357" s="41">
        <f t="shared" si="1223"/>
        <v>6.1980740070883292E-2</v>
      </c>
      <c r="EM357" s="41">
        <f t="shared" si="1223"/>
        <v>5.839311378274311E-2</v>
      </c>
      <c r="EN357" s="41">
        <f t="shared" si="1223"/>
        <v>5.6915079148952975E-2</v>
      </c>
      <c r="EO357" s="41">
        <f t="shared" si="1223"/>
        <v>5.7448262272977509E-2</v>
      </c>
      <c r="EP357" s="41">
        <f t="shared" si="1223"/>
        <v>5.596486676030784E-2</v>
      </c>
      <c r="EQ357" s="5"/>
      <c r="ER357" s="5"/>
      <c r="ES357" s="355">
        <f t="shared" si="1105"/>
        <v>352</v>
      </c>
      <c r="ET357"/>
      <c r="EU357"/>
      <c r="EV357"/>
      <c r="EW357"/>
      <c r="EX357"/>
      <c r="EY357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</row>
    <row r="358" spans="1:257" s="17" customFormat="1" hidden="1" outlineLevel="2">
      <c r="A358" s="38"/>
      <c r="B358" s="37"/>
      <c r="C358" s="5"/>
      <c r="D358" s="5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H358" s="5"/>
      <c r="AI358" s="5"/>
      <c r="AJ358" s="5"/>
      <c r="AK358" s="5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  <c r="BW358" s="12"/>
      <c r="BX358" s="12"/>
      <c r="BY358" s="12"/>
      <c r="BZ358" s="12"/>
      <c r="CA358" s="12"/>
      <c r="CB358" s="12"/>
      <c r="CC358" s="12"/>
      <c r="CD358" s="12"/>
      <c r="CE358" s="12"/>
      <c r="CF358" s="12"/>
      <c r="CG358" s="12"/>
      <c r="CH358" s="12"/>
      <c r="CI358" s="12"/>
      <c r="CJ358" s="12"/>
      <c r="CK358" s="12"/>
      <c r="CL358" s="12"/>
      <c r="CM358" s="12"/>
      <c r="CN358" s="12"/>
      <c r="CO358" s="12"/>
      <c r="CP358" s="12"/>
      <c r="CQ358" s="12"/>
      <c r="CR358" s="12"/>
      <c r="CS358" s="12"/>
      <c r="CT358" s="12"/>
      <c r="CU358" s="12"/>
      <c r="CV358" s="12"/>
      <c r="CW358" s="12"/>
      <c r="CX358" s="12"/>
      <c r="CY358" s="12"/>
      <c r="CZ358" s="12"/>
      <c r="DA358" s="12"/>
      <c r="DB358" s="12"/>
      <c r="DC358" s="12"/>
      <c r="DD358" s="12"/>
      <c r="DE358" s="12"/>
      <c r="DF358" s="12"/>
      <c r="DG358" s="12"/>
      <c r="DH358" s="12"/>
      <c r="DI358" s="12"/>
      <c r="DJ358" s="12"/>
      <c r="DK358" s="12"/>
      <c r="DL358" s="12"/>
      <c r="DM358" s="12"/>
      <c r="DN358" s="12"/>
      <c r="DO358" s="12"/>
      <c r="DP358" s="12"/>
      <c r="DQ358" s="12"/>
      <c r="DR358" s="12"/>
      <c r="DS358" s="12"/>
      <c r="DT358" s="12"/>
      <c r="DU358" s="12"/>
      <c r="DV358" s="12"/>
      <c r="DW358" s="12"/>
      <c r="DX358" s="12"/>
      <c r="DY358" s="12"/>
      <c r="DZ358" s="12"/>
      <c r="EA358" s="12"/>
      <c r="EB358" s="12"/>
      <c r="EC358" s="12"/>
      <c r="ED358" s="12"/>
      <c r="EE358" s="12"/>
      <c r="EF358" s="12"/>
      <c r="EG358" s="12"/>
      <c r="EH358" s="12"/>
      <c r="EI358" s="12"/>
      <c r="EJ358" s="12"/>
      <c r="EK358" s="12"/>
      <c r="EL358" s="12"/>
      <c r="EM358" s="12"/>
      <c r="EN358" s="12"/>
      <c r="EO358" s="12"/>
      <c r="EP358" s="12"/>
      <c r="EQ358" s="5"/>
      <c r="ER358" s="5"/>
      <c r="ES358" s="355">
        <f t="shared" si="1105"/>
        <v>353</v>
      </c>
      <c r="ET358"/>
      <c r="EU358"/>
      <c r="EV358"/>
      <c r="EW358"/>
      <c r="EX358"/>
      <c r="EY358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</row>
    <row r="359" spans="1:257" s="17" customFormat="1" hidden="1" outlineLevel="2">
      <c r="A359" s="38"/>
      <c r="B359" s="37" t="s">
        <v>13</v>
      </c>
      <c r="C359" s="5"/>
      <c r="D359" s="5"/>
      <c r="E359" s="12"/>
      <c r="F359" s="12">
        <f t="shared" ref="F359:AF359" si="1224">-(F348-E348)</f>
        <v>-35.868000000000052</v>
      </c>
      <c r="G359" s="12">
        <f t="shared" si="1224"/>
        <v>-0.21100000000001273</v>
      </c>
      <c r="H359" s="12">
        <f t="shared" si="1224"/>
        <v>3.4150000000000205</v>
      </c>
      <c r="I359" s="12">
        <f t="shared" si="1224"/>
        <v>-29.838000000000079</v>
      </c>
      <c r="J359" s="12">
        <f t="shared" si="1224"/>
        <v>-228.96499999999992</v>
      </c>
      <c r="K359" s="12">
        <f t="shared" si="1224"/>
        <v>20.196000000000026</v>
      </c>
      <c r="L359" s="12">
        <f t="shared" si="1224"/>
        <v>49.585999999999899</v>
      </c>
      <c r="M359" s="12">
        <f t="shared" si="1224"/>
        <v>-154.07499999999993</v>
      </c>
      <c r="N359" s="12">
        <f t="shared" si="1224"/>
        <v>-50.747000000000071</v>
      </c>
      <c r="O359" s="12">
        <f t="shared" si="1224"/>
        <v>-152.17999999999984</v>
      </c>
      <c r="P359" s="12">
        <f t="shared" si="1224"/>
        <v>63.009999999999764</v>
      </c>
      <c r="Q359" s="12">
        <f t="shared" si="1224"/>
        <v>75.248000000000275</v>
      </c>
      <c r="R359" s="12">
        <f t="shared" si="1224"/>
        <v>-521.41700000000014</v>
      </c>
      <c r="S359" s="12">
        <f t="shared" si="1224"/>
        <v>-614.48999999999978</v>
      </c>
      <c r="T359" s="12">
        <f t="shared" si="1224"/>
        <v>-498.48700000000008</v>
      </c>
      <c r="U359" s="12">
        <f t="shared" si="1224"/>
        <v>-251.1909999999998</v>
      </c>
      <c r="V359" s="12">
        <f t="shared" si="1224"/>
        <v>-94.106000000000677</v>
      </c>
      <c r="W359" s="12">
        <f t="shared" si="1224"/>
        <v>-121.13100000000031</v>
      </c>
      <c r="X359" s="12">
        <f t="shared" si="1224"/>
        <v>-615.03199999999924</v>
      </c>
      <c r="Y359" s="12">
        <f t="shared" si="1224"/>
        <v>-350.0270000000005</v>
      </c>
      <c r="Z359" s="12">
        <f t="shared" si="1224"/>
        <v>-498.7259999999992</v>
      </c>
      <c r="AA359" s="12">
        <f t="shared" si="1224"/>
        <v>-187.85100000000057</v>
      </c>
      <c r="AB359" s="12">
        <f t="shared" si="1224"/>
        <v>542.43499999999949</v>
      </c>
      <c r="AC359" s="12">
        <f t="shared" si="1224"/>
        <v>14.382000000000517</v>
      </c>
      <c r="AD359" s="12">
        <f t="shared" si="1224"/>
        <v>-609.38507651702912</v>
      </c>
      <c r="AE359" s="12">
        <f t="shared" si="1224"/>
        <v>141.0290412397826</v>
      </c>
      <c r="AF359" s="12">
        <f t="shared" si="1224"/>
        <v>185.73259081648939</v>
      </c>
      <c r="AH359" s="5"/>
      <c r="AI359" s="5"/>
      <c r="AJ359" s="5"/>
      <c r="AK359" s="5"/>
      <c r="AL359" s="12"/>
      <c r="AM359" s="12">
        <f t="shared" ref="AM359:BR359" si="1225">-(AM348-AL348)</f>
        <v>11.985000000000014</v>
      </c>
      <c r="AN359" s="12">
        <f t="shared" si="1225"/>
        <v>-24.98599999999999</v>
      </c>
      <c r="AO359" s="12">
        <f t="shared" si="1225"/>
        <v>-8.3950000000000387</v>
      </c>
      <c r="AP359" s="12">
        <f t="shared" si="1225"/>
        <v>8.1150000000000659</v>
      </c>
      <c r="AQ359" s="12">
        <f t="shared" si="1225"/>
        <v>0.84900000000004638</v>
      </c>
      <c r="AR359" s="12">
        <f t="shared" si="1225"/>
        <v>-19.842000000000098</v>
      </c>
      <c r="AS359" s="12">
        <f t="shared" si="1225"/>
        <v>10.666999999999973</v>
      </c>
      <c r="AT359" s="12">
        <f t="shared" si="1225"/>
        <v>-26.093999999999994</v>
      </c>
      <c r="AU359" s="12">
        <f t="shared" si="1225"/>
        <v>21.311000000000035</v>
      </c>
      <c r="AV359" s="12">
        <f t="shared" si="1225"/>
        <v>-18.591000000000122</v>
      </c>
      <c r="AW359" s="12">
        <f t="shared" si="1225"/>
        <v>26.789000000000101</v>
      </c>
      <c r="AX359" s="12">
        <f t="shared" si="1225"/>
        <v>-8.2809999999999491</v>
      </c>
      <c r="AY359" s="12">
        <f t="shared" si="1225"/>
        <v>-15.819000000000131</v>
      </c>
      <c r="AZ359" s="12">
        <f t="shared" si="1225"/>
        <v>-5.5249999999999204</v>
      </c>
      <c r="BA359" s="12">
        <f t="shared" si="1225"/>
        <v>-0.21300000000007913</v>
      </c>
      <c r="BB359" s="12">
        <f t="shared" si="1225"/>
        <v>-31.126999999999953</v>
      </c>
      <c r="BC359" s="12">
        <f t="shared" si="1225"/>
        <v>-41.009000000000128</v>
      </c>
      <c r="BD359" s="12">
        <f t="shared" si="1225"/>
        <v>-62.92899999999986</v>
      </c>
      <c r="BE359" s="12">
        <f t="shared" si="1225"/>
        <v>-93.899999999999977</v>
      </c>
      <c r="BF359" s="12">
        <f t="shared" si="1225"/>
        <v>-35.032000000000039</v>
      </c>
      <c r="BG359" s="12">
        <f t="shared" si="1225"/>
        <v>9.6240000000000236</v>
      </c>
      <c r="BH359" s="12">
        <f t="shared" si="1225"/>
        <v>29.170000000000073</v>
      </c>
      <c r="BI359" s="12">
        <f t="shared" si="1225"/>
        <v>16.433999999999969</v>
      </c>
      <c r="BJ359" s="12">
        <f t="shared" si="1225"/>
        <v>17.354000000000042</v>
      </c>
      <c r="BK359" s="12">
        <f t="shared" si="1225"/>
        <v>28.376999999999953</v>
      </c>
      <c r="BL359" s="12">
        <f t="shared" si="1225"/>
        <v>-2.6860000000000355</v>
      </c>
      <c r="BM359" s="12">
        <f t="shared" si="1225"/>
        <v>6.54099999999994</v>
      </c>
      <c r="BN359" s="12">
        <f t="shared" si="1225"/>
        <v>-13.961999999999989</v>
      </c>
      <c r="BO359" s="12">
        <f t="shared" si="1225"/>
        <v>-52.490999999999872</v>
      </c>
      <c r="BP359" s="12">
        <f t="shared" si="1225"/>
        <v>-32.291000000000054</v>
      </c>
      <c r="BQ359" s="12">
        <f t="shared" si="1225"/>
        <v>-55.331000000000017</v>
      </c>
      <c r="BR359" s="12">
        <f t="shared" si="1225"/>
        <v>-50.865000000000009</v>
      </c>
      <c r="BS359" s="12">
        <f t="shared" ref="BS359:CX359" si="1226">-(BS348-BR348)</f>
        <v>-43.082000000000107</v>
      </c>
      <c r="BT359" s="12">
        <f t="shared" si="1226"/>
        <v>-54.598999999999819</v>
      </c>
      <c r="BU359" s="12">
        <f t="shared" si="1226"/>
        <v>97.798999999999864</v>
      </c>
      <c r="BV359" s="12">
        <f t="shared" si="1226"/>
        <v>-41.863999999999919</v>
      </c>
      <c r="BW359" s="12">
        <f t="shared" si="1226"/>
        <v>-59.540000000000077</v>
      </c>
      <c r="BX359" s="12">
        <f t="shared" si="1226"/>
        <v>-37.5150000000001</v>
      </c>
      <c r="BY359" s="12">
        <f t="shared" si="1226"/>
        <v>-13.26099999999974</v>
      </c>
      <c r="BZ359" s="12">
        <f t="shared" si="1226"/>
        <v>-2.1010000000001128</v>
      </c>
      <c r="CA359" s="12">
        <f t="shared" si="1226"/>
        <v>-5.8460000000000036</v>
      </c>
      <c r="CB359" s="12">
        <f t="shared" si="1226"/>
        <v>15.762000000000171</v>
      </c>
      <c r="CC359" s="12">
        <f t="shared" si="1226"/>
        <v>55.194999999999709</v>
      </c>
      <c r="CD359" s="12">
        <f t="shared" si="1226"/>
        <v>54.304000000000315</v>
      </c>
      <c r="CE359" s="12">
        <f t="shared" si="1226"/>
        <v>8.8070000000000164</v>
      </c>
      <c r="CF359" s="12">
        <f t="shared" si="1226"/>
        <v>-0.70300000000031559</v>
      </c>
      <c r="CG359" s="12">
        <f t="shared" si="1226"/>
        <v>12.840000000000259</v>
      </c>
      <c r="CH359" s="12">
        <f t="shared" si="1226"/>
        <v>-36.694000000000074</v>
      </c>
      <c r="CI359" s="12">
        <f t="shared" si="1226"/>
        <v>-165.73300000000006</v>
      </c>
      <c r="CJ359" s="12">
        <f t="shared" si="1226"/>
        <v>-165.74099999999999</v>
      </c>
      <c r="CK359" s="12">
        <f t="shared" si="1226"/>
        <v>-153.24900000000002</v>
      </c>
      <c r="CL359" s="12">
        <f t="shared" si="1226"/>
        <v>-104.38100000000031</v>
      </c>
      <c r="CM359" s="12">
        <f t="shared" si="1226"/>
        <v>-191.14599999999928</v>
      </c>
      <c r="CN359" s="12">
        <f t="shared" si="1226"/>
        <v>-183.54600000000028</v>
      </c>
      <c r="CO359" s="12">
        <f t="shared" si="1226"/>
        <v>-135.41699999999992</v>
      </c>
      <c r="CP359" s="12">
        <f t="shared" si="1226"/>
        <v>-130.60000000000036</v>
      </c>
      <c r="CQ359" s="12">
        <f t="shared" si="1226"/>
        <v>-119.14299999999957</v>
      </c>
      <c r="CR359" s="12">
        <f t="shared" si="1226"/>
        <v>-107.86000000000013</v>
      </c>
      <c r="CS359" s="12">
        <f t="shared" si="1226"/>
        <v>-140.88400000000001</v>
      </c>
      <c r="CT359" s="12">
        <f t="shared" si="1226"/>
        <v>-143.44400000000041</v>
      </c>
      <c r="CU359" s="12">
        <f t="shared" si="1226"/>
        <v>-141.15099999999939</v>
      </c>
      <c r="CV359" s="12">
        <f t="shared" si="1226"/>
        <v>-1.1600000000003092</v>
      </c>
      <c r="CW359" s="12">
        <f t="shared" si="1226"/>
        <v>34.564000000000306</v>
      </c>
      <c r="CX359" s="12">
        <f t="shared" si="1226"/>
        <v>-11.122000000000298</v>
      </c>
      <c r="CY359" s="12">
        <f t="shared" ref="CY359:ED359" si="1227">-(CY348-CX348)</f>
        <v>-44.688000000000102</v>
      </c>
      <c r="CZ359" s="12">
        <f t="shared" si="1227"/>
        <v>10.239000000000487</v>
      </c>
      <c r="DA359" s="12">
        <f t="shared" si="1227"/>
        <v>-48.535000000000764</v>
      </c>
      <c r="DB359" s="12">
        <f t="shared" si="1227"/>
        <v>44.082000000001244</v>
      </c>
      <c r="DC359" s="12">
        <f t="shared" si="1227"/>
        <v>-13.609000000001288</v>
      </c>
      <c r="DD359" s="12">
        <f t="shared" si="1227"/>
        <v>-73.044999999999618</v>
      </c>
      <c r="DE359" s="12">
        <f t="shared" si="1227"/>
        <v>-78.559000000000651</v>
      </c>
      <c r="DF359" s="12">
        <f t="shared" si="1227"/>
        <v>-140.26899999999978</v>
      </c>
      <c r="DG359" s="12">
        <f t="shared" si="1227"/>
        <v>-135.41899999999941</v>
      </c>
      <c r="DH359" s="12">
        <f t="shared" si="1227"/>
        <v>-269.8090000000002</v>
      </c>
      <c r="DI359" s="12">
        <f t="shared" si="1227"/>
        <v>-69.534999999999854</v>
      </c>
      <c r="DJ359" s="12">
        <f t="shared" si="1227"/>
        <v>-19.772000000000844</v>
      </c>
      <c r="DK359" s="12">
        <f t="shared" si="1227"/>
        <v>-191.24299999999948</v>
      </c>
      <c r="DL359" s="12">
        <f t="shared" si="1227"/>
        <v>-26.976000000000113</v>
      </c>
      <c r="DM359" s="12">
        <f t="shared" si="1227"/>
        <v>-112.03600000000006</v>
      </c>
      <c r="DN359" s="12">
        <f t="shared" si="1227"/>
        <v>4.9229999999997744</v>
      </c>
      <c r="DO359" s="12">
        <f t="shared" si="1227"/>
        <v>-143.77299999999877</v>
      </c>
      <c r="DP359" s="12">
        <f t="shared" si="1227"/>
        <v>-171.14200000000164</v>
      </c>
      <c r="DQ359" s="12">
        <f t="shared" si="1227"/>
        <v>-188.73399999999856</v>
      </c>
      <c r="DR359" s="12">
        <f t="shared" si="1227"/>
        <v>-211.54200000000037</v>
      </c>
      <c r="DS359" s="12">
        <f t="shared" si="1227"/>
        <v>-105.84199999999964</v>
      </c>
      <c r="DT359" s="12">
        <f t="shared" si="1227"/>
        <v>28.470999999999549</v>
      </c>
      <c r="DU359" s="12">
        <f t="shared" si="1227"/>
        <v>101.0619999999999</v>
      </c>
      <c r="DV359" s="12">
        <f t="shared" si="1227"/>
        <v>173.31351933786573</v>
      </c>
      <c r="DW359" s="12">
        <f t="shared" si="1227"/>
        <v>103.83548066213552</v>
      </c>
      <c r="DX359" s="12">
        <f t="shared" si="1227"/>
        <v>109.95399999999881</v>
      </c>
      <c r="DY359" s="12">
        <f t="shared" si="1227"/>
        <v>155.33199999999943</v>
      </c>
      <c r="DZ359" s="12">
        <f t="shared" si="1227"/>
        <v>30.295000000000528</v>
      </c>
      <c r="EA359" s="12">
        <f t="shared" si="1227"/>
        <v>30.011999999999716</v>
      </c>
      <c r="EB359" s="12">
        <f t="shared" si="1227"/>
        <v>-91.203999999999724</v>
      </c>
      <c r="EC359" s="12">
        <f t="shared" si="1227"/>
        <v>45.278999999999996</v>
      </c>
      <c r="ED359" s="12">
        <f t="shared" si="1227"/>
        <v>-565.78899999999976</v>
      </c>
      <c r="EE359" s="12">
        <f t="shared" ref="EE359:EP359" si="1228">-(EE348-ED348)</f>
        <v>-8.259198514124364</v>
      </c>
      <c r="EF359" s="12">
        <f t="shared" si="1228"/>
        <v>-17.727667403683881</v>
      </c>
      <c r="EG359" s="12">
        <f t="shared" si="1228"/>
        <v>-17.609210599221115</v>
      </c>
      <c r="EH359" s="12">
        <f t="shared" si="1228"/>
        <v>30.366840191687515</v>
      </c>
      <c r="EI359" s="12">
        <f t="shared" si="1228"/>
        <v>23.563885088888128</v>
      </c>
      <c r="EJ359" s="12">
        <f t="shared" si="1228"/>
        <v>43.214980334362735</v>
      </c>
      <c r="EK359" s="12">
        <f t="shared" si="1228"/>
        <v>43.883335624844221</v>
      </c>
      <c r="EL359" s="12">
        <f t="shared" si="1228"/>
        <v>32.022504855045554</v>
      </c>
      <c r="EM359" s="12">
        <f t="shared" si="1228"/>
        <v>48.849293794333789</v>
      </c>
      <c r="EN359" s="12">
        <f t="shared" si="1228"/>
        <v>51.247254902258646</v>
      </c>
      <c r="EO359" s="12">
        <f t="shared" si="1228"/>
        <v>53.613537264851402</v>
      </c>
      <c r="EP359" s="12">
        <f t="shared" si="1228"/>
        <v>50.186348639855169</v>
      </c>
      <c r="EQ359" s="5"/>
      <c r="ER359" s="5"/>
      <c r="ES359" s="355">
        <f t="shared" si="1105"/>
        <v>354</v>
      </c>
      <c r="ET359"/>
      <c r="EU359"/>
      <c r="EV359"/>
      <c r="EW359"/>
      <c r="EX359"/>
      <c r="EY359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</row>
    <row r="360" spans="1:257" s="17" customFormat="1" hidden="1" outlineLevel="2">
      <c r="A360" s="38"/>
      <c r="B360" s="37" t="s">
        <v>12</v>
      </c>
      <c r="C360" s="5"/>
      <c r="D360" s="5"/>
      <c r="E360" s="12"/>
      <c r="F360" s="39">
        <f t="shared" ref="F360:AF360" si="1229">-F359/F351</f>
        <v>1.1502458077985069</v>
      </c>
      <c r="G360" s="39">
        <f t="shared" si="1229"/>
        <v>1.0393249018306542E-2</v>
      </c>
      <c r="H360" s="39">
        <f t="shared" si="1229"/>
        <v>-6.0657926241383026E-2</v>
      </c>
      <c r="I360" s="39">
        <f t="shared" si="1229"/>
        <v>0.31228858404056586</v>
      </c>
      <c r="J360" s="39">
        <f t="shared" si="1229"/>
        <v>2.4916975156590104</v>
      </c>
      <c r="K360" s="39">
        <f t="shared" si="1229"/>
        <v>-0.33370676237025027</v>
      </c>
      <c r="L360" s="39">
        <f t="shared" si="1229"/>
        <v>-0.51729677850108391</v>
      </c>
      <c r="M360" s="39">
        <f t="shared" si="1229"/>
        <v>0.90835878742429299</v>
      </c>
      <c r="N360" s="39">
        <f t="shared" si="1229"/>
        <v>1.4222654454546488</v>
      </c>
      <c r="O360" s="39">
        <f t="shared" si="1229"/>
        <v>6.9748277376130075</v>
      </c>
      <c r="P360" s="39">
        <f t="shared" si="1229"/>
        <v>-3.4152909203452748</v>
      </c>
      <c r="Q360" s="39">
        <f t="shared" si="1229"/>
        <v>-0.71168924617952434</v>
      </c>
      <c r="R360" s="39">
        <f t="shared" si="1229"/>
        <v>1.9575201198651033</v>
      </c>
      <c r="S360" s="39">
        <f t="shared" si="1229"/>
        <v>1.6728325182373025</v>
      </c>
      <c r="T360" s="39">
        <f t="shared" si="1229"/>
        <v>1.1819888746456373</v>
      </c>
      <c r="U360" s="39">
        <f t="shared" si="1229"/>
        <v>0.70221068428354205</v>
      </c>
      <c r="V360" s="39">
        <f t="shared" si="1229"/>
        <v>0.32806521841440844</v>
      </c>
      <c r="W360" s="39">
        <f t="shared" si="1229"/>
        <v>0.27083747721165119</v>
      </c>
      <c r="X360" s="39">
        <f t="shared" si="1229"/>
        <v>1.0852263872671122</v>
      </c>
      <c r="Y360" s="39">
        <f t="shared" si="1229"/>
        <v>0.6088588725739742</v>
      </c>
      <c r="Z360" s="39">
        <f t="shared" si="1229"/>
        <v>0.76803523651114236</v>
      </c>
      <c r="AA360" s="39">
        <f t="shared" si="1229"/>
        <v>0.58166185232723489</v>
      </c>
      <c r="AB360" s="39">
        <f t="shared" si="1229"/>
        <v>5.280737808619965</v>
      </c>
      <c r="AC360" s="39">
        <f t="shared" si="1229"/>
        <v>0.1248738133705732</v>
      </c>
      <c r="AD360" s="39">
        <f t="shared" si="1229"/>
        <v>19.121036633858999</v>
      </c>
      <c r="AE360" s="39">
        <f t="shared" si="1229"/>
        <v>-0.69530654205412168</v>
      </c>
      <c r="AF360" s="39">
        <f t="shared" si="1229"/>
        <v>-0.7102178527240276</v>
      </c>
      <c r="AG360" s="40"/>
      <c r="AH360" s="39"/>
      <c r="AI360" s="39"/>
      <c r="AJ360" s="39"/>
      <c r="AK360" s="39"/>
      <c r="AL360" s="39"/>
      <c r="AM360" s="39">
        <f t="shared" ref="AM360:BR360" si="1230">-AM359/AM351</f>
        <v>-1.357965940378669</v>
      </c>
      <c r="AN360" s="39">
        <f t="shared" si="1230"/>
        <v>3.6901382657265769</v>
      </c>
      <c r="AO360" s="39">
        <f t="shared" si="1230"/>
        <v>1.4243974942820603</v>
      </c>
      <c r="AP360" s="39">
        <f t="shared" si="1230"/>
        <v>-1.5230341317297953</v>
      </c>
      <c r="AQ360" s="39">
        <f t="shared" si="1230"/>
        <v>-0.15200561471859206</v>
      </c>
      <c r="AR360" s="39">
        <f t="shared" si="1230"/>
        <v>3.9722610377286931</v>
      </c>
      <c r="AS360" s="39">
        <f t="shared" si="1230"/>
        <v>-2.4281811973594318</v>
      </c>
      <c r="AT360" s="39">
        <f t="shared" si="1230"/>
        <v>2.2913834708479528</v>
      </c>
      <c r="AU360" s="39">
        <f t="shared" si="1230"/>
        <v>-1.545034444458947</v>
      </c>
      <c r="AV360" s="39">
        <f t="shared" si="1230"/>
        <v>1.0999934323451748</v>
      </c>
      <c r="AW360" s="39">
        <f t="shared" si="1230"/>
        <v>-1.8842656189224234</v>
      </c>
      <c r="AX360" s="39">
        <f t="shared" si="1230"/>
        <v>0.36868677874340849</v>
      </c>
      <c r="AY360" s="39">
        <f t="shared" si="1230"/>
        <v>0.61728154188103002</v>
      </c>
      <c r="AZ360" s="39">
        <f t="shared" si="1230"/>
        <v>0.24378212187958528</v>
      </c>
      <c r="BA360" s="39">
        <f t="shared" si="1230"/>
        <v>8.5904831965340749E-3</v>
      </c>
      <c r="BB360" s="39">
        <f t="shared" si="1230"/>
        <v>1.0644820964760622</v>
      </c>
      <c r="BC360" s="39">
        <f t="shared" si="1230"/>
        <v>1.7875504817699024</v>
      </c>
      <c r="BD360" s="39">
        <f t="shared" si="1230"/>
        <v>2.6063222853829457</v>
      </c>
      <c r="BE360" s="39">
        <f t="shared" si="1230"/>
        <v>6.0333395016037175</v>
      </c>
      <c r="BF360" s="39">
        <f t="shared" si="1230"/>
        <v>2.0620401436223461</v>
      </c>
      <c r="BG360" s="39">
        <f t="shared" si="1230"/>
        <v>-0.8079383468493444</v>
      </c>
      <c r="BH360" s="39">
        <f t="shared" si="1230"/>
        <v>-1.8168342115425391</v>
      </c>
      <c r="BI360" s="39">
        <f t="shared" si="1230"/>
        <v>-1.0558982266769423</v>
      </c>
      <c r="BJ360" s="39">
        <f t="shared" si="1230"/>
        <v>-0.97919064707608539</v>
      </c>
      <c r="BK360" s="39">
        <f t="shared" si="1230"/>
        <v>-1.4122126007763482</v>
      </c>
      <c r="BL360" s="39">
        <f t="shared" si="1230"/>
        <v>0.10301133661619782</v>
      </c>
      <c r="BM360" s="39">
        <f t="shared" si="1230"/>
        <v>-0.20463390521955488</v>
      </c>
      <c r="BN360" s="39">
        <f t="shared" si="1230"/>
        <v>0.31911224536673544</v>
      </c>
      <c r="BO360" s="39">
        <f t="shared" si="1230"/>
        <v>1.0552335592054329</v>
      </c>
      <c r="BP360" s="39">
        <f t="shared" si="1230"/>
        <v>0.71391034103252349</v>
      </c>
      <c r="BQ360" s="39">
        <f t="shared" si="1230"/>
        <v>1.7911219834642265</v>
      </c>
      <c r="BR360" s="39">
        <f t="shared" si="1230"/>
        <v>3.2337780241689384</v>
      </c>
      <c r="BS360" s="39">
        <f t="shared" ref="BS360:CX360" si="1231">-BS359/BS351</f>
        <v>6.3183428759151656</v>
      </c>
      <c r="BT360" s="39">
        <f t="shared" si="1231"/>
        <v>6.936906032423618</v>
      </c>
      <c r="BU360" s="39">
        <f t="shared" si="1231"/>
        <v>-18.586746639907531</v>
      </c>
      <c r="BV360" s="39">
        <f t="shared" si="1231"/>
        <v>32.905741055146663</v>
      </c>
      <c r="BW360" s="39">
        <f t="shared" si="1231"/>
        <v>15.762206179399007</v>
      </c>
      <c r="BX360" s="39">
        <f t="shared" si="1231"/>
        <v>3.8833956498515692</v>
      </c>
      <c r="BY360" s="39">
        <f t="shared" si="1231"/>
        <v>1.8655209911555852</v>
      </c>
      <c r="BZ360" s="39">
        <f t="shared" si="1231"/>
        <v>0.49004744200369349</v>
      </c>
      <c r="CA360" s="39">
        <f t="shared" si="1231"/>
        <v>2.5472655892566958</v>
      </c>
      <c r="CB360" s="39">
        <f t="shared" si="1231"/>
        <v>-3.8640592479279063</v>
      </c>
      <c r="CC360" s="39">
        <f t="shared" si="1231"/>
        <v>-7.0872764159785913</v>
      </c>
      <c r="CD360" s="39">
        <f t="shared" si="1231"/>
        <v>-2.9768323026651</v>
      </c>
      <c r="CE360" s="39">
        <f t="shared" si="1231"/>
        <v>-0.39714570968094026</v>
      </c>
      <c r="CF360" s="39">
        <f t="shared" si="1231"/>
        <v>2.3446916913875959E-2</v>
      </c>
      <c r="CG360" s="39">
        <f t="shared" si="1231"/>
        <v>-0.36342053444896233</v>
      </c>
      <c r="CH360" s="39">
        <f t="shared" si="1231"/>
        <v>0.70626299798961356</v>
      </c>
      <c r="CI360" s="39">
        <f t="shared" si="1231"/>
        <v>2.6370785015084222</v>
      </c>
      <c r="CJ360" s="39">
        <f t="shared" si="1231"/>
        <v>2.2717534777191579</v>
      </c>
      <c r="CK360" s="39">
        <f t="shared" si="1231"/>
        <v>1.9495728403966848</v>
      </c>
      <c r="CL360" s="39">
        <f t="shared" si="1231"/>
        <v>1.1158072389305491</v>
      </c>
      <c r="CM360" s="39">
        <f t="shared" si="1231"/>
        <v>2.3558158749940756</v>
      </c>
      <c r="CN360" s="39">
        <f t="shared" si="1231"/>
        <v>2.0113519209459594</v>
      </c>
      <c r="CO360" s="39">
        <f t="shared" si="1231"/>
        <v>1.3355450233227495</v>
      </c>
      <c r="CP360" s="39">
        <f t="shared" si="1231"/>
        <v>1.292452256952179</v>
      </c>
      <c r="CQ360" s="39">
        <f t="shared" si="1231"/>
        <v>1.2500723961922502</v>
      </c>
      <c r="CR360" s="39">
        <f t="shared" si="1231"/>
        <v>0.95642375194060303</v>
      </c>
      <c r="CS360" s="39">
        <f t="shared" si="1231"/>
        <v>1.251141163222752</v>
      </c>
      <c r="CT360" s="39">
        <f t="shared" si="1231"/>
        <v>1.0458000095944986</v>
      </c>
      <c r="CU360" s="39">
        <f t="shared" si="1231"/>
        <v>1.2558425402591831</v>
      </c>
      <c r="CV360" s="39">
        <f t="shared" si="1231"/>
        <v>2.093203116852177E-2</v>
      </c>
      <c r="CW360" s="39">
        <f t="shared" si="1231"/>
        <v>-0.65536992260856142</v>
      </c>
      <c r="CX360" s="39">
        <f t="shared" si="1231"/>
        <v>0.16826733961499565</v>
      </c>
      <c r="CY360" s="39">
        <f t="shared" ref="CY360:ED360" si="1232">-CY359/CY351</f>
        <v>0.70216898062310473</v>
      </c>
      <c r="CZ360" s="39">
        <f t="shared" si="1232"/>
        <v>-0.14421888480026041</v>
      </c>
      <c r="DA360" s="39">
        <f t="shared" si="1232"/>
        <v>0.5636051686548057</v>
      </c>
      <c r="DB360" s="39">
        <f t="shared" si="1232"/>
        <v>-0.40984978310931391</v>
      </c>
      <c r="DC360" s="39">
        <f t="shared" si="1232"/>
        <v>0.1274823890887411</v>
      </c>
      <c r="DD360" s="39">
        <f t="shared" si="1232"/>
        <v>0.6540412397423524</v>
      </c>
      <c r="DE360" s="39">
        <f t="shared" si="1232"/>
        <v>0.64788234781828991</v>
      </c>
      <c r="DF360" s="39">
        <f t="shared" si="1232"/>
        <v>0.97039845078279785</v>
      </c>
      <c r="DG360" s="39">
        <f t="shared" si="1232"/>
        <v>1.0621831153836456</v>
      </c>
      <c r="DH360" s="39">
        <f t="shared" si="1232"/>
        <v>1.8266436265398023</v>
      </c>
      <c r="DI360" s="39">
        <f t="shared" si="1232"/>
        <v>0.47307561263410786</v>
      </c>
      <c r="DJ360" s="39">
        <f t="shared" si="1232"/>
        <v>0.13127953324721803</v>
      </c>
      <c r="DK360" s="39">
        <f t="shared" si="1232"/>
        <v>1.3128646636526959</v>
      </c>
      <c r="DL360" s="39">
        <f t="shared" si="1232"/>
        <v>0.17863651389677723</v>
      </c>
      <c r="DM360" s="39">
        <f t="shared" si="1232"/>
        <v>0.80727195790677864</v>
      </c>
      <c r="DN360" s="39">
        <f t="shared" si="1232"/>
        <v>-3.1752629064125473E-2</v>
      </c>
      <c r="DO360" s="39">
        <f t="shared" si="1232"/>
        <v>0.91705851171748043</v>
      </c>
      <c r="DP360" s="39">
        <f t="shared" si="1232"/>
        <v>1.0166133856753121</v>
      </c>
      <c r="DQ360" s="39">
        <f t="shared" si="1232"/>
        <v>1.1104693802751278</v>
      </c>
      <c r="DR360" s="39">
        <f t="shared" si="1232"/>
        <v>1.1145188537885231</v>
      </c>
      <c r="DS360" s="39">
        <f t="shared" si="1232"/>
        <v>1.064661074262842</v>
      </c>
      <c r="DT360" s="39">
        <f t="shared" si="1232"/>
        <v>-0.98299986081696156</v>
      </c>
      <c r="DU360" s="39">
        <f t="shared" si="1232"/>
        <v>-21.174434891764612</v>
      </c>
      <c r="DV360" s="39">
        <f t="shared" si="1232"/>
        <v>-20.291259210498488</v>
      </c>
      <c r="DW360" s="39">
        <f t="shared" si="1232"/>
        <v>4.2821033872364929</v>
      </c>
      <c r="DX360" s="39">
        <f t="shared" si="1232"/>
        <v>2.3027825365145889</v>
      </c>
      <c r="DY360" s="39">
        <f t="shared" si="1232"/>
        <v>3.956111556605328</v>
      </c>
      <c r="DZ360" s="39">
        <f t="shared" si="1232"/>
        <v>0.78254934297077183</v>
      </c>
      <c r="EA360" s="39">
        <f t="shared" si="1232"/>
        <v>0.70300205094120327</v>
      </c>
      <c r="EB360" s="39">
        <f t="shared" ref="EB360:EC360" si="1233">-EB359/EB351</f>
        <v>-4.5299880744313841</v>
      </c>
      <c r="EC360" s="39">
        <f t="shared" si="1233"/>
        <v>3.3209218618572121</v>
      </c>
      <c r="ED360" s="39">
        <f t="shared" si="1232"/>
        <v>1035.9486631281645</v>
      </c>
      <c r="EE360" s="39">
        <f t="shared" ref="EE360:EP360" si="1234">-EE359/EE351</f>
        <v>-2.3492391666093928</v>
      </c>
      <c r="EF360" s="39">
        <f t="shared" si="1234"/>
        <v>2.1154326166323076</v>
      </c>
      <c r="EG360" s="39">
        <f t="shared" si="1234"/>
        <v>0.6679563028743688</v>
      </c>
      <c r="EH360" s="39">
        <f t="shared" si="1234"/>
        <v>-0.80110489149232511</v>
      </c>
      <c r="EI360" s="39">
        <f t="shared" si="1234"/>
        <v>-0.48304951258332585</v>
      </c>
      <c r="EJ360" s="39">
        <f t="shared" si="1234"/>
        <v>-0.78156033357814836</v>
      </c>
      <c r="EK360" s="39">
        <f t="shared" si="1234"/>
        <v>-0.72118295321097203</v>
      </c>
      <c r="EL360" s="39">
        <f t="shared" si="1234"/>
        <v>-0.46371423759750274</v>
      </c>
      <c r="EM360" s="39">
        <f t="shared" si="1234"/>
        <v>-0.74968065611460577</v>
      </c>
      <c r="EN360" s="39">
        <f t="shared" si="1234"/>
        <v>-0.8077361829082299</v>
      </c>
      <c r="EO360" s="39">
        <f t="shared" si="1234"/>
        <v>-0.83964354591651413</v>
      </c>
      <c r="EP360" s="39">
        <f t="shared" si="1234"/>
        <v>-0.80779595702672691</v>
      </c>
      <c r="EQ360" s="5"/>
      <c r="ER360" s="5"/>
      <c r="ES360" s="355">
        <f t="shared" si="1105"/>
        <v>355</v>
      </c>
      <c r="ET360"/>
      <c r="EU360"/>
      <c r="EV360"/>
      <c r="EW360"/>
      <c r="EX360"/>
      <c r="EY360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</row>
    <row r="361" spans="1:257" s="17" customFormat="1" hidden="1" outlineLevel="2">
      <c r="A361" s="38"/>
      <c r="B361" s="37" t="s">
        <v>11</v>
      </c>
      <c r="C361" s="5"/>
      <c r="D361" s="5"/>
      <c r="E361" s="12"/>
      <c r="F361" s="39">
        <f t="shared" ref="F361:AF361" si="1235">-F359/F231</f>
        <v>0.44886057890850922</v>
      </c>
      <c r="G361" s="39">
        <f t="shared" si="1235"/>
        <v>2.5116057612190536E-3</v>
      </c>
      <c r="H361" s="39">
        <f t="shared" si="1235"/>
        <v>-2.8125514742217261E-2</v>
      </c>
      <c r="I361" s="39">
        <f t="shared" si="1235"/>
        <v>0.18021271841083331</v>
      </c>
      <c r="J361" s="39">
        <f t="shared" si="1235"/>
        <v>2.016726414346488</v>
      </c>
      <c r="K361" s="39">
        <f t="shared" si="1235"/>
        <v>-0.12726379069151969</v>
      </c>
      <c r="L361" s="39">
        <f t="shared" si="1235"/>
        <v>-0.24567470619711002</v>
      </c>
      <c r="M361" s="39">
        <f t="shared" si="1235"/>
        <v>0.70993470858464602</v>
      </c>
      <c r="N361" s="39">
        <f t="shared" si="1235"/>
        <v>0.33436118413683635</v>
      </c>
      <c r="O361" s="39">
        <f t="shared" si="1235"/>
        <v>1.5769294537013998</v>
      </c>
      <c r="P361" s="39">
        <f t="shared" si="1235"/>
        <v>-0.46113875878219951</v>
      </c>
      <c r="Q361" s="39">
        <f t="shared" si="1235"/>
        <v>-0.35454536887833588</v>
      </c>
      <c r="R361" s="39">
        <f t="shared" si="1235"/>
        <v>1.7592260197712473</v>
      </c>
      <c r="S361" s="39">
        <f t="shared" si="1235"/>
        <v>1.0952167922904048</v>
      </c>
      <c r="T361" s="39">
        <f t="shared" si="1235"/>
        <v>0.81608406949255741</v>
      </c>
      <c r="U361" s="39">
        <f t="shared" si="1235"/>
        <v>0.27993500639126084</v>
      </c>
      <c r="V361" s="39">
        <f t="shared" si="1235"/>
        <v>0.2087954755729321</v>
      </c>
      <c r="W361" s="39">
        <f t="shared" si="1235"/>
        <v>0.12391258981619425</v>
      </c>
      <c r="X361" s="39">
        <f t="shared" si="1235"/>
        <v>0.61482787714478715</v>
      </c>
      <c r="Y361" s="39">
        <f t="shared" si="1235"/>
        <v>0.35101510752769127</v>
      </c>
      <c r="Z361" s="39">
        <f t="shared" si="1235"/>
        <v>0.44585874515230961</v>
      </c>
      <c r="AA361" s="39">
        <f t="shared" si="1235"/>
        <v>0.13240217110098942</v>
      </c>
      <c r="AB361" s="39">
        <f t="shared" si="1235"/>
        <v>-0.71979453209075872</v>
      </c>
      <c r="AC361" s="39">
        <f t="shared" si="1235"/>
        <v>-4.0261241766210779E-2</v>
      </c>
      <c r="AD361" s="39">
        <f t="shared" si="1235"/>
        <v>1.3844825309193383</v>
      </c>
      <c r="AE361" s="39">
        <f t="shared" si="1235"/>
        <v>-0.2086214891042503</v>
      </c>
      <c r="AF361" s="39">
        <f t="shared" si="1235"/>
        <v>-0.24098232863938845</v>
      </c>
      <c r="AG361" s="40"/>
      <c r="AH361" s="39"/>
      <c r="AI361" s="39"/>
      <c r="AJ361" s="39"/>
      <c r="AK361" s="39"/>
      <c r="AL361" s="39"/>
      <c r="AM361" s="39">
        <f t="shared" ref="AM361:BR361" si="1236">-AM359/AM231</f>
        <v>-0.37799224146087668</v>
      </c>
      <c r="AN361" s="39">
        <f t="shared" si="1236"/>
        <v>1.485052005943535</v>
      </c>
      <c r="AO361" s="39">
        <f t="shared" si="1236"/>
        <v>0.41214590799744977</v>
      </c>
      <c r="AP361" s="39">
        <f t="shared" si="1236"/>
        <v>-0.39328293108462076</v>
      </c>
      <c r="AQ361" s="39">
        <f t="shared" si="1236"/>
        <v>-2.7972719185530834E-2</v>
      </c>
      <c r="AR361" s="39">
        <f t="shared" si="1236"/>
        <v>1.4666272451770348</v>
      </c>
      <c r="AS361" s="39">
        <f t="shared" si="1236"/>
        <v>-0.54713787443578077</v>
      </c>
      <c r="AT361" s="39">
        <f t="shared" si="1236"/>
        <v>1.0675012272950408</v>
      </c>
      <c r="AU361" s="39">
        <f t="shared" si="1236"/>
        <v>-0.53317488116087164</v>
      </c>
      <c r="AV361" s="39">
        <f t="shared" si="1236"/>
        <v>0.74212606283182814</v>
      </c>
      <c r="AW361" s="39">
        <f t="shared" si="1236"/>
        <v>-0.83833515881708875</v>
      </c>
      <c r="AX361" s="39">
        <f t="shared" si="1236"/>
        <v>0.21587028492479202</v>
      </c>
      <c r="AY361" s="39">
        <f t="shared" si="1236"/>
        <v>0.50191959894660432</v>
      </c>
      <c r="AZ361" s="39">
        <f t="shared" si="1236"/>
        <v>0.13596318535288709</v>
      </c>
      <c r="BA361" s="39">
        <f t="shared" si="1236"/>
        <v>3.8687178742045315E-3</v>
      </c>
      <c r="BB361" s="39">
        <f t="shared" si="1236"/>
        <v>0.96715759383544453</v>
      </c>
      <c r="BC361" s="39">
        <f t="shared" si="1236"/>
        <v>1.5440135542168729</v>
      </c>
      <c r="BD361" s="39">
        <f t="shared" si="1236"/>
        <v>1.8837070075133915</v>
      </c>
      <c r="BE361" s="39">
        <f t="shared" si="1236"/>
        <v>4.3915442895893468</v>
      </c>
      <c r="BF361" s="39">
        <f t="shared" si="1236"/>
        <v>2.1740101774854206</v>
      </c>
      <c r="BG361" s="39">
        <f t="shared" si="1236"/>
        <v>-0.24870787678313058</v>
      </c>
      <c r="BH361" s="39">
        <f t="shared" si="1236"/>
        <v>-0.59659671943387904</v>
      </c>
      <c r="BI361" s="39">
        <f t="shared" si="1236"/>
        <v>-0.29885433715220855</v>
      </c>
      <c r="BJ361" s="39">
        <f t="shared" si="1236"/>
        <v>-0.39120829576194871</v>
      </c>
      <c r="BK361" s="39">
        <f t="shared" si="1236"/>
        <v>-0.59817871371656095</v>
      </c>
      <c r="BL361" s="39">
        <f t="shared" si="1236"/>
        <v>5.5766635523721304E-2</v>
      </c>
      <c r="BM361" s="39">
        <f t="shared" si="1236"/>
        <v>-0.10571825704680533</v>
      </c>
      <c r="BN361" s="39">
        <f t="shared" si="1236"/>
        <v>0.21690565334244727</v>
      </c>
      <c r="BO361" s="39">
        <f t="shared" si="1236"/>
        <v>0.75668156263514286</v>
      </c>
      <c r="BP361" s="39">
        <f t="shared" si="1236"/>
        <v>0.41631426950647271</v>
      </c>
      <c r="BQ361" s="39">
        <f t="shared" si="1236"/>
        <v>9.6664919636617945</v>
      </c>
      <c r="BR361" s="39">
        <f t="shared" si="1236"/>
        <v>1.7808626846859468</v>
      </c>
      <c r="BS361" s="39">
        <f t="shared" ref="BS361:CX361" si="1237">-BS359/BS231</f>
        <v>1.0702007154213062</v>
      </c>
      <c r="BT361" s="39">
        <f t="shared" si="1237"/>
        <v>1.6492674822534308</v>
      </c>
      <c r="BU361" s="39">
        <f t="shared" si="1237"/>
        <v>-1.9618655967903684</v>
      </c>
      <c r="BV361" s="39">
        <f t="shared" si="1237"/>
        <v>1.5487403351707267</v>
      </c>
      <c r="BW361" s="39">
        <f t="shared" si="1237"/>
        <v>4.9414889202423495</v>
      </c>
      <c r="BX361" s="39">
        <f t="shared" si="1237"/>
        <v>1.4037418147801728</v>
      </c>
      <c r="BY361" s="39">
        <f t="shared" si="1237"/>
        <v>0.43196846802826605</v>
      </c>
      <c r="BZ361" s="39">
        <f t="shared" si="1237"/>
        <v>8.1636617967054445E-2</v>
      </c>
      <c r="CA361" s="39">
        <f t="shared" si="1237"/>
        <v>0.51114802832910766</v>
      </c>
      <c r="CB361" s="39">
        <f t="shared" si="1237"/>
        <v>-0.42522998893895286</v>
      </c>
      <c r="CC361" s="39">
        <f t="shared" si="1237"/>
        <v>-0.88453525641025144</v>
      </c>
      <c r="CD361" s="39">
        <f t="shared" si="1237"/>
        <v>-1.559877057421087</v>
      </c>
      <c r="CE361" s="39">
        <f t="shared" si="1237"/>
        <v>-0.20432926546331992</v>
      </c>
      <c r="CF361" s="39">
        <f t="shared" si="1237"/>
        <v>1.3496649835857613E-2</v>
      </c>
      <c r="CG361" s="39">
        <f t="shared" si="1237"/>
        <v>-0.15613599883263113</v>
      </c>
      <c r="CH361" s="39">
        <f t="shared" si="1237"/>
        <v>0.60677315871283644</v>
      </c>
      <c r="CI361" s="39">
        <f t="shared" si="1237"/>
        <v>2.1433023821224442</v>
      </c>
      <c r="CJ361" s="39">
        <f t="shared" si="1237"/>
        <v>2.0687886163639759</v>
      </c>
      <c r="CK361" s="39">
        <f t="shared" si="1237"/>
        <v>1.9528384835935009</v>
      </c>
      <c r="CL361" s="39">
        <f t="shared" si="1237"/>
        <v>0.75738292530729168</v>
      </c>
      <c r="CM361" s="39">
        <f t="shared" si="1237"/>
        <v>1.7691004840486027</v>
      </c>
      <c r="CN361" s="39">
        <f t="shared" si="1237"/>
        <v>1.3154213310017655</v>
      </c>
      <c r="CO361" s="39">
        <f t="shared" si="1237"/>
        <v>0.77086891181091544</v>
      </c>
      <c r="CP361" s="39">
        <f t="shared" si="1237"/>
        <v>1.1777330892498066</v>
      </c>
      <c r="CQ361" s="39">
        <f t="shared" si="1237"/>
        <v>0.78196293087605739</v>
      </c>
      <c r="CR361" s="39">
        <f t="shared" si="1237"/>
        <v>0.59811570816212289</v>
      </c>
      <c r="CS361" s="39">
        <f t="shared" si="1237"/>
        <v>0.84240612293709682</v>
      </c>
      <c r="CT361" s="39">
        <f t="shared" si="1237"/>
        <v>0.56345574458223369</v>
      </c>
      <c r="CU361" s="39">
        <f t="shared" si="1237"/>
        <v>0.59832816891258667</v>
      </c>
      <c r="CV361" s="39">
        <f t="shared" si="1237"/>
        <v>5.2714094203735835E-3</v>
      </c>
      <c r="CW361" s="39">
        <f t="shared" si="1237"/>
        <v>-0.18505589583244261</v>
      </c>
      <c r="CX361" s="39">
        <f t="shared" si="1237"/>
        <v>9.2567623803581287E-2</v>
      </c>
      <c r="CY361" s="39">
        <f t="shared" ref="CY361:ED361" si="1238">-CY359/CY231</f>
        <v>0.52094845072392959</v>
      </c>
      <c r="CZ361" s="39">
        <f t="shared" si="1238"/>
        <v>-8.348757756378769E-2</v>
      </c>
      <c r="DA361" s="39">
        <f t="shared" si="1238"/>
        <v>0.39738488242615394</v>
      </c>
      <c r="DB361" s="39">
        <f t="shared" si="1238"/>
        <v>-0.18471014644571143</v>
      </c>
      <c r="DC361" s="39">
        <f t="shared" si="1238"/>
        <v>6.386443414112819E-2</v>
      </c>
      <c r="DD361" s="39">
        <f t="shared" si="1238"/>
        <v>0.29851325726615735</v>
      </c>
      <c r="DE361" s="39">
        <f t="shared" si="1238"/>
        <v>0.27946099199954694</v>
      </c>
      <c r="DF361" s="39">
        <f t="shared" si="1238"/>
        <v>0.59275771431469071</v>
      </c>
      <c r="DG361" s="39">
        <f t="shared" si="1238"/>
        <v>0.66978099157203053</v>
      </c>
      <c r="DH361" s="39">
        <f t="shared" si="1238"/>
        <v>1.5492374652610321</v>
      </c>
      <c r="DI361" s="39">
        <f t="shared" si="1238"/>
        <v>0.17951279707967349</v>
      </c>
      <c r="DJ361" s="39">
        <f t="shared" si="1238"/>
        <v>5.7826053895335315E-2</v>
      </c>
      <c r="DK361" s="39">
        <f t="shared" si="1238"/>
        <v>1.2549494392713449</v>
      </c>
      <c r="DL361" s="39">
        <f t="shared" si="1238"/>
        <v>0.10090898889013619</v>
      </c>
      <c r="DM361" s="39">
        <f t="shared" si="1238"/>
        <v>0.47565190072258917</v>
      </c>
      <c r="DN361" s="39">
        <f t="shared" si="1238"/>
        <v>-1.6148501925485882E-2</v>
      </c>
      <c r="DO361" s="39">
        <f t="shared" si="1238"/>
        <v>0.61135254196927691</v>
      </c>
      <c r="DP361" s="39">
        <f t="shared" si="1238"/>
        <v>0.6636111595804558</v>
      </c>
      <c r="DQ361" s="39">
        <f t="shared" si="1238"/>
        <v>0.58859999563385068</v>
      </c>
      <c r="DR361" s="39">
        <f t="shared" si="1238"/>
        <v>0.54282319794101797</v>
      </c>
      <c r="DS361" s="39">
        <f t="shared" si="1238"/>
        <v>0.25028202661823823</v>
      </c>
      <c r="DT361" s="39">
        <f t="shared" si="1238"/>
        <v>-8.4992626469480595E-2</v>
      </c>
      <c r="DU361" s="39">
        <f t="shared" si="1238"/>
        <v>-0.37263237848022374</v>
      </c>
      <c r="DV361" s="39">
        <f t="shared" si="1238"/>
        <v>-0.5623483735605449</v>
      </c>
      <c r="DW361" s="39">
        <f t="shared" si="1238"/>
        <v>-0.5633404802607167</v>
      </c>
      <c r="DX361" s="39">
        <f t="shared" si="1238"/>
        <v>-0.89471328716850218</v>
      </c>
      <c r="DY361" s="39">
        <f t="shared" si="1238"/>
        <v>-1.1240710052320368</v>
      </c>
      <c r="DZ361" s="39">
        <f t="shared" si="1238"/>
        <v>-0.42857951249876963</v>
      </c>
      <c r="EA361" s="39">
        <f t="shared" si="1238"/>
        <v>-0.39660640659688806</v>
      </c>
      <c r="EB361" s="39">
        <f t="shared" ref="EB361:EC361" si="1239">-EB359/EB231</f>
        <v>1.0159175717070423</v>
      </c>
      <c r="EC361" s="39">
        <f t="shared" si="1239"/>
        <v>-0.37395010034439186</v>
      </c>
      <c r="ED361" s="39">
        <f t="shared" si="1238"/>
        <v>7.8347850169632309</v>
      </c>
      <c r="EE361" s="39">
        <f t="shared" ref="EE361:EP361" si="1240">-EE359/EE231</f>
        <v>7.1159073989268115E-2</v>
      </c>
      <c r="EF361" s="39">
        <f t="shared" si="1240"/>
        <v>0.15189017893560042</v>
      </c>
      <c r="EG361" s="39">
        <f t="shared" si="1240"/>
        <v>0.13028585869089709</v>
      </c>
      <c r="EH361" s="39">
        <f t="shared" si="1240"/>
        <v>-0.19605591397037692</v>
      </c>
      <c r="EI361" s="39">
        <f t="shared" si="1240"/>
        <v>-0.14981728347505313</v>
      </c>
      <c r="EJ361" s="39">
        <f t="shared" si="1240"/>
        <v>-0.24186401346081099</v>
      </c>
      <c r="EK361" s="39">
        <f t="shared" si="1240"/>
        <v>-0.23700627163528903</v>
      </c>
      <c r="EL361" s="39">
        <f t="shared" si="1240"/>
        <v>-0.17611148000853169</v>
      </c>
      <c r="EM361" s="39">
        <f t="shared" si="1240"/>
        <v>-0.25076744791164557</v>
      </c>
      <c r="EN361" s="39">
        <f t="shared" si="1240"/>
        <v>-0.26201647572960513</v>
      </c>
      <c r="EO361" s="39">
        <f t="shared" si="1240"/>
        <v>-0.27007543343047136</v>
      </c>
      <c r="EP361" s="39">
        <f t="shared" si="1240"/>
        <v>-0.25940961250049832</v>
      </c>
      <c r="EQ361" s="5"/>
      <c r="ER361" s="5"/>
      <c r="ES361" s="355">
        <f t="shared" si="1105"/>
        <v>356</v>
      </c>
      <c r="ET361"/>
      <c r="EU361"/>
      <c r="EV361"/>
      <c r="EW361"/>
      <c r="EX361"/>
      <c r="EY36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</row>
    <row r="362" spans="1:257" s="17" customFormat="1" hidden="1" outlineLevel="2">
      <c r="A362" s="38"/>
      <c r="B362" s="37"/>
      <c r="C362" s="5"/>
      <c r="D362" s="5"/>
      <c r="E362" s="12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H362" s="5"/>
      <c r="AI362" s="5"/>
      <c r="AJ362" s="5"/>
      <c r="AK362" s="5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5"/>
      <c r="ER362" s="5"/>
      <c r="ES362" s="355">
        <f t="shared" si="1105"/>
        <v>357</v>
      </c>
      <c r="ET362"/>
      <c r="EU362"/>
      <c r="EV362"/>
      <c r="EW362"/>
      <c r="EX362"/>
      <c r="EY362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</row>
    <row r="363" spans="1:257" s="4" customFormat="1" ht="12.75" customHeight="1" outlineLevel="1" collapsed="1">
      <c r="A363" s="15" t="s">
        <v>0</v>
      </c>
      <c r="B363" s="35" t="s">
        <v>10</v>
      </c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2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  <c r="CL363" s="33"/>
      <c r="CM363" s="33"/>
      <c r="CN363" s="33"/>
      <c r="CO363" s="33"/>
      <c r="CP363" s="33"/>
      <c r="CQ363" s="33"/>
      <c r="CR363" s="33"/>
      <c r="CS363" s="33"/>
      <c r="CT363" s="33"/>
      <c r="CU363" s="33"/>
      <c r="CV363" s="33"/>
      <c r="CW363" s="33"/>
      <c r="CX363" s="33"/>
      <c r="CY363" s="33"/>
      <c r="CZ363" s="33"/>
      <c r="DA363" s="33"/>
      <c r="DB363" s="33"/>
      <c r="DC363" s="33"/>
      <c r="DD363" s="33"/>
      <c r="DE363" s="33"/>
      <c r="DF363" s="33"/>
      <c r="DG363" s="33"/>
      <c r="DH363" s="33"/>
      <c r="DI363" s="33"/>
      <c r="DJ363" s="33"/>
      <c r="DK363" s="33"/>
      <c r="DL363" s="33"/>
      <c r="DM363" s="33"/>
      <c r="DN363" s="33"/>
      <c r="DO363" s="33"/>
      <c r="DP363" s="33"/>
      <c r="DQ363" s="33"/>
      <c r="DR363" s="33"/>
      <c r="DS363" s="33"/>
      <c r="DT363" s="33"/>
      <c r="DU363" s="33"/>
      <c r="DV363" s="33"/>
      <c r="DW363" s="33"/>
      <c r="DX363" s="33"/>
      <c r="DY363" s="33"/>
      <c r="DZ363" s="33"/>
      <c r="EA363" s="33"/>
      <c r="EB363" s="33"/>
      <c r="EC363" s="33"/>
      <c r="ED363" s="33"/>
      <c r="EE363" s="33"/>
      <c r="EF363" s="33"/>
      <c r="EG363" s="33"/>
      <c r="EH363" s="33"/>
      <c r="EI363" s="33"/>
      <c r="EJ363" s="33"/>
      <c r="EK363" s="33"/>
      <c r="EL363" s="33"/>
      <c r="EM363" s="33"/>
      <c r="EN363" s="33"/>
      <c r="EO363" s="33"/>
      <c r="EP363" s="33"/>
      <c r="EQ363" s="32"/>
      <c r="ER363" s="32"/>
      <c r="ES363" s="355">
        <f t="shared" si="1105"/>
        <v>358</v>
      </c>
      <c r="ET363"/>
      <c r="EU363"/>
      <c r="EV363"/>
      <c r="EW363"/>
      <c r="EX363"/>
      <c r="EY363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</row>
    <row r="364" spans="1:257" s="4" customFormat="1" ht="12.75" hidden="1" customHeight="1" outlineLevel="2">
      <c r="A364" s="15"/>
      <c r="B364" s="31" t="s">
        <v>9</v>
      </c>
      <c r="C364" s="27"/>
      <c r="D364" s="27"/>
      <c r="E364" s="22">
        <f t="shared" ref="E364:AF364" si="1241">SUM(E365:E367)</f>
        <v>0.42</v>
      </c>
      <c r="F364" s="22">
        <f t="shared" si="1241"/>
        <v>0.38</v>
      </c>
      <c r="G364" s="22">
        <f t="shared" si="1241"/>
        <v>0.54</v>
      </c>
      <c r="H364" s="22">
        <f t="shared" si="1241"/>
        <v>0.37</v>
      </c>
      <c r="I364" s="22">
        <f t="shared" si="1241"/>
        <v>0.36</v>
      </c>
      <c r="J364" s="22">
        <f t="shared" si="1241"/>
        <v>0.37</v>
      </c>
      <c r="K364" s="22">
        <f t="shared" si="1241"/>
        <v>0.39999999999999997</v>
      </c>
      <c r="L364" s="22">
        <f t="shared" si="1241"/>
        <v>0.39999999999999997</v>
      </c>
      <c r="M364" s="22">
        <f t="shared" si="1241"/>
        <v>0.41</v>
      </c>
      <c r="N364" s="22">
        <f t="shared" si="1241"/>
        <v>0.44</v>
      </c>
      <c r="O364" s="22">
        <f t="shared" si="1241"/>
        <v>0.42999999999999994</v>
      </c>
      <c r="P364" s="22">
        <f t="shared" si="1241"/>
        <v>0.53</v>
      </c>
      <c r="Q364" s="22">
        <f t="shared" si="1241"/>
        <v>0.41000000000000003</v>
      </c>
      <c r="R364" s="22">
        <f t="shared" si="1241"/>
        <v>0.35</v>
      </c>
      <c r="S364" s="22">
        <f t="shared" si="1241"/>
        <v>0.36</v>
      </c>
      <c r="T364" s="22">
        <f t="shared" si="1241"/>
        <v>0.38</v>
      </c>
      <c r="U364" s="22">
        <f t="shared" si="1241"/>
        <v>0.38</v>
      </c>
      <c r="V364" s="22">
        <f t="shared" si="1241"/>
        <v>0.35</v>
      </c>
      <c r="W364" s="22">
        <f t="shared" si="1241"/>
        <v>0.36</v>
      </c>
      <c r="X364" s="22">
        <f t="shared" si="1241"/>
        <v>0.36</v>
      </c>
      <c r="Y364" s="22">
        <f t="shared" si="1241"/>
        <v>0.376</v>
      </c>
      <c r="Z364" s="22">
        <f t="shared" si="1241"/>
        <v>0.377</v>
      </c>
      <c r="AA364" s="22">
        <f t="shared" si="1241"/>
        <v>0.377</v>
      </c>
      <c r="AB364" s="22">
        <f t="shared" si="1241"/>
        <v>0.377</v>
      </c>
      <c r="AC364" s="22">
        <f t="shared" si="1241"/>
        <v>0.377</v>
      </c>
      <c r="AD364" s="22">
        <f t="shared" si="1241"/>
        <v>0.26700000000000002</v>
      </c>
      <c r="AE364" s="22">
        <f t="shared" si="1241"/>
        <v>0.26700000000000002</v>
      </c>
      <c r="AF364" s="22">
        <f t="shared" si="1241"/>
        <v>0.26700000000000002</v>
      </c>
      <c r="AG364" s="24"/>
      <c r="AH364" s="22">
        <f t="shared" ref="AH364:BM364" si="1242">SUM(AH365:AH367)</f>
        <v>0.42</v>
      </c>
      <c r="AI364" s="22">
        <f t="shared" si="1242"/>
        <v>0.42</v>
      </c>
      <c r="AJ364" s="22">
        <f t="shared" si="1242"/>
        <v>0.42</v>
      </c>
      <c r="AK364" s="22">
        <f t="shared" si="1242"/>
        <v>0.42</v>
      </c>
      <c r="AL364" s="22">
        <f t="shared" si="1242"/>
        <v>0.38</v>
      </c>
      <c r="AM364" s="22">
        <f t="shared" si="1242"/>
        <v>0.38</v>
      </c>
      <c r="AN364" s="22">
        <f t="shared" si="1242"/>
        <v>0.38</v>
      </c>
      <c r="AO364" s="22">
        <f t="shared" si="1242"/>
        <v>0.38</v>
      </c>
      <c r="AP364" s="22">
        <f t="shared" si="1242"/>
        <v>0.54</v>
      </c>
      <c r="AQ364" s="22">
        <f t="shared" si="1242"/>
        <v>0.54</v>
      </c>
      <c r="AR364" s="22">
        <f t="shared" si="1242"/>
        <v>0.54</v>
      </c>
      <c r="AS364" s="22">
        <f t="shared" si="1242"/>
        <v>0.54</v>
      </c>
      <c r="AT364" s="22">
        <f t="shared" si="1242"/>
        <v>0.37</v>
      </c>
      <c r="AU364" s="22">
        <f t="shared" si="1242"/>
        <v>0.37</v>
      </c>
      <c r="AV364" s="22">
        <f t="shared" si="1242"/>
        <v>0.37</v>
      </c>
      <c r="AW364" s="22">
        <f t="shared" si="1242"/>
        <v>0.37</v>
      </c>
      <c r="AX364" s="22">
        <f t="shared" si="1242"/>
        <v>0.36</v>
      </c>
      <c r="AY364" s="22">
        <f t="shared" si="1242"/>
        <v>0.36</v>
      </c>
      <c r="AZ364" s="22">
        <f t="shared" si="1242"/>
        <v>0.36</v>
      </c>
      <c r="BA364" s="22">
        <f t="shared" si="1242"/>
        <v>0.36</v>
      </c>
      <c r="BB364" s="22">
        <f t="shared" si="1242"/>
        <v>0.37</v>
      </c>
      <c r="BC364" s="22">
        <f t="shared" si="1242"/>
        <v>0.37</v>
      </c>
      <c r="BD364" s="22">
        <f t="shared" si="1242"/>
        <v>0.37</v>
      </c>
      <c r="BE364" s="22">
        <f t="shared" si="1242"/>
        <v>0.37</v>
      </c>
      <c r="BF364" s="22">
        <f t="shared" si="1242"/>
        <v>0.39999999999999997</v>
      </c>
      <c r="BG364" s="22">
        <f t="shared" si="1242"/>
        <v>0.39999999999999997</v>
      </c>
      <c r="BH364" s="22">
        <f t="shared" si="1242"/>
        <v>0.39999999999999997</v>
      </c>
      <c r="BI364" s="22">
        <f t="shared" si="1242"/>
        <v>0.39999999999999997</v>
      </c>
      <c r="BJ364" s="22">
        <f t="shared" si="1242"/>
        <v>0.39999999999999997</v>
      </c>
      <c r="BK364" s="22">
        <f t="shared" si="1242"/>
        <v>0.39999999999999997</v>
      </c>
      <c r="BL364" s="22">
        <f t="shared" si="1242"/>
        <v>0.39999999999999997</v>
      </c>
      <c r="BM364" s="22">
        <f t="shared" si="1242"/>
        <v>0.39999999999999997</v>
      </c>
      <c r="BN364" s="22">
        <f t="shared" ref="BN364:CS364" si="1243">SUM(BN365:BN367)</f>
        <v>0.41</v>
      </c>
      <c r="BO364" s="22">
        <f t="shared" si="1243"/>
        <v>0.41</v>
      </c>
      <c r="BP364" s="22">
        <f t="shared" si="1243"/>
        <v>0.41</v>
      </c>
      <c r="BQ364" s="22">
        <f t="shared" si="1243"/>
        <v>0.41</v>
      </c>
      <c r="BR364" s="22">
        <f t="shared" si="1243"/>
        <v>0.44</v>
      </c>
      <c r="BS364" s="22">
        <f t="shared" si="1243"/>
        <v>0.44</v>
      </c>
      <c r="BT364" s="22">
        <f t="shared" si="1243"/>
        <v>0.44</v>
      </c>
      <c r="BU364" s="22">
        <f t="shared" si="1243"/>
        <v>0.44</v>
      </c>
      <c r="BV364" s="22">
        <f t="shared" si="1243"/>
        <v>0.42999999999999994</v>
      </c>
      <c r="BW364" s="22">
        <f t="shared" si="1243"/>
        <v>0.42999999999999994</v>
      </c>
      <c r="BX364" s="22">
        <f t="shared" si="1243"/>
        <v>0.42999999999999994</v>
      </c>
      <c r="BY364" s="22">
        <f t="shared" si="1243"/>
        <v>0.42999999999999994</v>
      </c>
      <c r="BZ364" s="22">
        <f t="shared" si="1243"/>
        <v>0.53</v>
      </c>
      <c r="CA364" s="22">
        <f t="shared" si="1243"/>
        <v>0.53</v>
      </c>
      <c r="CB364" s="22">
        <f t="shared" si="1243"/>
        <v>0.53</v>
      </c>
      <c r="CC364" s="22">
        <f t="shared" si="1243"/>
        <v>0.53</v>
      </c>
      <c r="CD364" s="22">
        <f t="shared" si="1243"/>
        <v>0.41000000000000003</v>
      </c>
      <c r="CE364" s="22">
        <f t="shared" si="1243"/>
        <v>0.41000000000000003</v>
      </c>
      <c r="CF364" s="22">
        <f t="shared" si="1243"/>
        <v>0.41000000000000003</v>
      </c>
      <c r="CG364" s="22">
        <f t="shared" si="1243"/>
        <v>0.41000000000000003</v>
      </c>
      <c r="CH364" s="22">
        <f t="shared" si="1243"/>
        <v>0.35</v>
      </c>
      <c r="CI364" s="22">
        <f t="shared" si="1243"/>
        <v>0.35</v>
      </c>
      <c r="CJ364" s="22">
        <f t="shared" si="1243"/>
        <v>0.35</v>
      </c>
      <c r="CK364" s="22">
        <f t="shared" si="1243"/>
        <v>0.35</v>
      </c>
      <c r="CL364" s="22">
        <f t="shared" si="1243"/>
        <v>0.36</v>
      </c>
      <c r="CM364" s="22">
        <f t="shared" si="1243"/>
        <v>0.36</v>
      </c>
      <c r="CN364" s="22">
        <f t="shared" si="1243"/>
        <v>0.36</v>
      </c>
      <c r="CO364" s="22">
        <f t="shared" si="1243"/>
        <v>0.36</v>
      </c>
      <c r="CP364" s="22">
        <f t="shared" si="1243"/>
        <v>0.38</v>
      </c>
      <c r="CQ364" s="22">
        <f t="shared" si="1243"/>
        <v>0.38</v>
      </c>
      <c r="CR364" s="22">
        <f t="shared" si="1243"/>
        <v>0.38</v>
      </c>
      <c r="CS364" s="22">
        <f t="shared" si="1243"/>
        <v>0.38</v>
      </c>
      <c r="CT364" s="22">
        <f t="shared" ref="CT364:DY364" si="1244">SUM(CT365:CT367)</f>
        <v>0.38</v>
      </c>
      <c r="CU364" s="22">
        <f t="shared" si="1244"/>
        <v>0.38</v>
      </c>
      <c r="CV364" s="22">
        <f t="shared" si="1244"/>
        <v>0.38</v>
      </c>
      <c r="CW364" s="22">
        <f t="shared" si="1244"/>
        <v>0.38</v>
      </c>
      <c r="CX364" s="22">
        <f t="shared" si="1244"/>
        <v>0.35</v>
      </c>
      <c r="CY364" s="22">
        <f t="shared" si="1244"/>
        <v>0.35</v>
      </c>
      <c r="CZ364" s="22">
        <f t="shared" si="1244"/>
        <v>0.35</v>
      </c>
      <c r="DA364" s="22">
        <f t="shared" si="1244"/>
        <v>0.35</v>
      </c>
      <c r="DB364" s="22">
        <f t="shared" si="1244"/>
        <v>0.36</v>
      </c>
      <c r="DC364" s="22">
        <f t="shared" si="1244"/>
        <v>0.36</v>
      </c>
      <c r="DD364" s="22">
        <f t="shared" si="1244"/>
        <v>0.36</v>
      </c>
      <c r="DE364" s="22">
        <f t="shared" si="1244"/>
        <v>0.36</v>
      </c>
      <c r="DF364" s="22">
        <f t="shared" si="1244"/>
        <v>0.36</v>
      </c>
      <c r="DG364" s="22">
        <f t="shared" si="1244"/>
        <v>0.36</v>
      </c>
      <c r="DH364" s="22">
        <f t="shared" si="1244"/>
        <v>0.36</v>
      </c>
      <c r="DI364" s="22">
        <f t="shared" si="1244"/>
        <v>0.36</v>
      </c>
      <c r="DJ364" s="22">
        <f t="shared" si="1244"/>
        <v>0.36</v>
      </c>
      <c r="DK364" s="22">
        <f t="shared" si="1244"/>
        <v>0.36</v>
      </c>
      <c r="DL364" s="22">
        <f t="shared" si="1244"/>
        <v>0.36</v>
      </c>
      <c r="DM364" s="22">
        <f t="shared" si="1244"/>
        <v>0.376</v>
      </c>
      <c r="DN364" s="22">
        <f t="shared" si="1244"/>
        <v>0.376</v>
      </c>
      <c r="DO364" s="22">
        <f t="shared" si="1244"/>
        <v>0.376</v>
      </c>
      <c r="DP364" s="22">
        <f t="shared" si="1244"/>
        <v>0.376</v>
      </c>
      <c r="DQ364" s="22">
        <f t="shared" si="1244"/>
        <v>0.377</v>
      </c>
      <c r="DR364" s="22">
        <f t="shared" si="1244"/>
        <v>0.377</v>
      </c>
      <c r="DS364" s="22">
        <f t="shared" si="1244"/>
        <v>0.377</v>
      </c>
      <c r="DT364" s="22">
        <f t="shared" si="1244"/>
        <v>0.377</v>
      </c>
      <c r="DU364" s="22">
        <f t="shared" si="1244"/>
        <v>0.377</v>
      </c>
      <c r="DV364" s="22">
        <f t="shared" si="1244"/>
        <v>0.377</v>
      </c>
      <c r="DW364" s="22">
        <f t="shared" si="1244"/>
        <v>0.377</v>
      </c>
      <c r="DX364" s="22">
        <f t="shared" si="1244"/>
        <v>0.377</v>
      </c>
      <c r="DY364" s="22">
        <f t="shared" si="1244"/>
        <v>0.377</v>
      </c>
      <c r="DZ364" s="22">
        <f t="shared" ref="DZ364:EP364" si="1245">SUM(DZ365:DZ367)</f>
        <v>0.377</v>
      </c>
      <c r="EA364" s="22">
        <f t="shared" si="1245"/>
        <v>0.377</v>
      </c>
      <c r="EB364" s="22">
        <f t="shared" ref="EB364:EC364" si="1246">SUM(EB365:EB367)</f>
        <v>0.377</v>
      </c>
      <c r="EC364" s="22">
        <f t="shared" si="1246"/>
        <v>0.377</v>
      </c>
      <c r="ED364" s="22">
        <f t="shared" si="1245"/>
        <v>0.377</v>
      </c>
      <c r="EE364" s="22">
        <f t="shared" si="1245"/>
        <v>0.26700000000000002</v>
      </c>
      <c r="EF364" s="22">
        <f t="shared" si="1245"/>
        <v>0.26700000000000002</v>
      </c>
      <c r="EG364" s="22">
        <f t="shared" si="1245"/>
        <v>0.26700000000000002</v>
      </c>
      <c r="EH364" s="22">
        <f t="shared" si="1245"/>
        <v>0.26700000000000002</v>
      </c>
      <c r="EI364" s="22">
        <f t="shared" si="1245"/>
        <v>0.26700000000000002</v>
      </c>
      <c r="EJ364" s="22">
        <f t="shared" si="1245"/>
        <v>0.26700000000000002</v>
      </c>
      <c r="EK364" s="22">
        <f t="shared" si="1245"/>
        <v>0.26700000000000002</v>
      </c>
      <c r="EL364" s="22">
        <f t="shared" si="1245"/>
        <v>0.26700000000000002</v>
      </c>
      <c r="EM364" s="22">
        <f t="shared" si="1245"/>
        <v>0.26700000000000002</v>
      </c>
      <c r="EN364" s="22">
        <f t="shared" si="1245"/>
        <v>0.26700000000000002</v>
      </c>
      <c r="EO364" s="22">
        <f t="shared" si="1245"/>
        <v>0.26700000000000002</v>
      </c>
      <c r="EP364" s="22">
        <f t="shared" si="1245"/>
        <v>0.26700000000000002</v>
      </c>
      <c r="EQ364" s="20"/>
      <c r="ER364" s="20"/>
      <c r="ES364" s="355">
        <f t="shared" si="1105"/>
        <v>359</v>
      </c>
      <c r="ET364"/>
      <c r="EU364"/>
      <c r="EV364"/>
      <c r="EW364"/>
      <c r="EX364"/>
      <c r="EY364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</row>
    <row r="365" spans="1:257" s="4" customFormat="1" ht="12.75" hidden="1" customHeight="1" outlineLevel="2">
      <c r="A365" s="15"/>
      <c r="B365" s="31" t="s">
        <v>8</v>
      </c>
      <c r="C365" s="27"/>
      <c r="D365" s="27"/>
      <c r="E365" s="22">
        <f>AK365</f>
        <v>0.35</v>
      </c>
      <c r="F365" s="22">
        <f>AO365</f>
        <v>0.35</v>
      </c>
      <c r="G365" s="22">
        <f>AS365</f>
        <v>0.35</v>
      </c>
      <c r="H365" s="22">
        <f>AW365</f>
        <v>0.35</v>
      </c>
      <c r="I365" s="22">
        <f>BA365</f>
        <v>0.35</v>
      </c>
      <c r="J365" s="22">
        <f>BE365</f>
        <v>0.35</v>
      </c>
      <c r="K365" s="22">
        <f>BI365</f>
        <v>0.35</v>
      </c>
      <c r="L365" s="22">
        <f>BM365</f>
        <v>0.35</v>
      </c>
      <c r="M365" s="22">
        <f>BQ365</f>
        <v>0.35</v>
      </c>
      <c r="N365" s="22">
        <f>BU365</f>
        <v>0.35</v>
      </c>
      <c r="O365" s="26">
        <f>BY365</f>
        <v>0.35</v>
      </c>
      <c r="P365" s="22">
        <f>CC365</f>
        <v>0.35</v>
      </c>
      <c r="Q365" s="22">
        <f>CG365</f>
        <v>0.35</v>
      </c>
      <c r="R365" s="22">
        <f>CK365</f>
        <v>0.35</v>
      </c>
      <c r="S365" s="22">
        <f>CO365</f>
        <v>0.35</v>
      </c>
      <c r="T365" s="22">
        <f>CS365</f>
        <v>0.35</v>
      </c>
      <c r="U365" s="25">
        <f>CW365</f>
        <v>0.35</v>
      </c>
      <c r="V365" s="25">
        <f>DA365</f>
        <v>0.35</v>
      </c>
      <c r="W365" s="25">
        <f>DE365</f>
        <v>0.35</v>
      </c>
      <c r="X365" s="25">
        <f>DI365</f>
        <v>0.35</v>
      </c>
      <c r="Y365" s="25">
        <f>DM365</f>
        <v>0.35</v>
      </c>
      <c r="Z365" s="25">
        <f t="shared" ref="Z365:AA367" si="1247">DQ365</f>
        <v>0.35</v>
      </c>
      <c r="AA365" s="25">
        <f t="shared" si="1247"/>
        <v>0.35</v>
      </c>
      <c r="AB365" s="25">
        <f>DY365</f>
        <v>0.35</v>
      </c>
      <c r="AC365" s="25">
        <f t="shared" ref="AC365:AF367" si="1248">EC365</f>
        <v>0.35</v>
      </c>
      <c r="AD365" s="25">
        <f>EE365</f>
        <v>0.24</v>
      </c>
      <c r="AE365" s="25">
        <f t="shared" ref="AE365:AF365" si="1249">EF365</f>
        <v>0.24</v>
      </c>
      <c r="AF365" s="25">
        <f t="shared" si="1249"/>
        <v>0.24</v>
      </c>
      <c r="AG365" s="24"/>
      <c r="AH365" s="29">
        <f>$AK$365</f>
        <v>0.35</v>
      </c>
      <c r="AI365" s="29">
        <f>$AK$365</f>
        <v>0.35</v>
      </c>
      <c r="AJ365" s="29">
        <f>$AK$365</f>
        <v>0.35</v>
      </c>
      <c r="AK365" s="29">
        <v>0.35</v>
      </c>
      <c r="AL365" s="29">
        <f>$AO$365</f>
        <v>0.35</v>
      </c>
      <c r="AM365" s="29">
        <f>$AO$365</f>
        <v>0.35</v>
      </c>
      <c r="AN365" s="29">
        <f>$AO$365</f>
        <v>0.35</v>
      </c>
      <c r="AO365" s="29">
        <v>0.35</v>
      </c>
      <c r="AP365" s="29">
        <f>$AS$365</f>
        <v>0.35</v>
      </c>
      <c r="AQ365" s="29">
        <f>$AS$365</f>
        <v>0.35</v>
      </c>
      <c r="AR365" s="29">
        <f>$AS$365</f>
        <v>0.35</v>
      </c>
      <c r="AS365" s="29">
        <v>0.35</v>
      </c>
      <c r="AT365" s="29">
        <f t="shared" ref="AT365:AV367" si="1250">AU365</f>
        <v>0.35</v>
      </c>
      <c r="AU365" s="29">
        <f t="shared" si="1250"/>
        <v>0.35</v>
      </c>
      <c r="AV365" s="29">
        <f t="shared" si="1250"/>
        <v>0.35</v>
      </c>
      <c r="AW365" s="29">
        <v>0.35</v>
      </c>
      <c r="AX365" s="29">
        <f t="shared" ref="AX365:AZ367" si="1251">AY365</f>
        <v>0.35</v>
      </c>
      <c r="AY365" s="29">
        <f t="shared" si="1251"/>
        <v>0.35</v>
      </c>
      <c r="AZ365" s="29">
        <f t="shared" si="1251"/>
        <v>0.35</v>
      </c>
      <c r="BA365" s="29">
        <v>0.35</v>
      </c>
      <c r="BB365" s="29">
        <f t="shared" ref="BB365:BD367" si="1252">BC365</f>
        <v>0.35</v>
      </c>
      <c r="BC365" s="29">
        <f t="shared" si="1252"/>
        <v>0.35</v>
      </c>
      <c r="BD365" s="29">
        <f t="shared" si="1252"/>
        <v>0.35</v>
      </c>
      <c r="BE365" s="29">
        <v>0.35</v>
      </c>
      <c r="BF365" s="29">
        <f t="shared" ref="BF365:BH367" si="1253">BG365</f>
        <v>0.35</v>
      </c>
      <c r="BG365" s="29">
        <f t="shared" si="1253"/>
        <v>0.35</v>
      </c>
      <c r="BH365" s="29">
        <f t="shared" si="1253"/>
        <v>0.35</v>
      </c>
      <c r="BI365" s="29">
        <v>0.35</v>
      </c>
      <c r="BJ365" s="29">
        <f t="shared" ref="BJ365:BL367" si="1254">BK365</f>
        <v>0.35</v>
      </c>
      <c r="BK365" s="29">
        <f t="shared" si="1254"/>
        <v>0.35</v>
      </c>
      <c r="BL365" s="29">
        <f t="shared" si="1254"/>
        <v>0.35</v>
      </c>
      <c r="BM365" s="29">
        <v>0.35</v>
      </c>
      <c r="BN365" s="29">
        <f t="shared" ref="BN365:BP367" si="1255">BO365</f>
        <v>0.35</v>
      </c>
      <c r="BO365" s="29">
        <f t="shared" si="1255"/>
        <v>0.35</v>
      </c>
      <c r="BP365" s="29">
        <f t="shared" si="1255"/>
        <v>0.35</v>
      </c>
      <c r="BQ365" s="29">
        <v>0.35</v>
      </c>
      <c r="BR365" s="29">
        <f t="shared" ref="BR365:BT367" si="1256">BS365</f>
        <v>0.35</v>
      </c>
      <c r="BS365" s="29">
        <f t="shared" si="1256"/>
        <v>0.35</v>
      </c>
      <c r="BT365" s="29">
        <f t="shared" si="1256"/>
        <v>0.35</v>
      </c>
      <c r="BU365" s="29">
        <v>0.35</v>
      </c>
      <c r="BV365" s="30">
        <f t="shared" ref="BV365:BX367" si="1257">BW365</f>
        <v>0.35</v>
      </c>
      <c r="BW365" s="30">
        <f t="shared" si="1257"/>
        <v>0.35</v>
      </c>
      <c r="BX365" s="30">
        <f t="shared" si="1257"/>
        <v>0.35</v>
      </c>
      <c r="BY365" s="29">
        <v>0.35</v>
      </c>
      <c r="BZ365" s="29">
        <f t="shared" ref="BZ365:CB367" si="1258">CA365</f>
        <v>0.35</v>
      </c>
      <c r="CA365" s="29">
        <f t="shared" si="1258"/>
        <v>0.35</v>
      </c>
      <c r="CB365" s="29">
        <f t="shared" si="1258"/>
        <v>0.35</v>
      </c>
      <c r="CC365" s="29">
        <v>0.35</v>
      </c>
      <c r="CD365" s="29">
        <f t="shared" ref="CD365:CF367" si="1259">CE365</f>
        <v>0.35</v>
      </c>
      <c r="CE365" s="29">
        <f t="shared" si="1259"/>
        <v>0.35</v>
      </c>
      <c r="CF365" s="29">
        <f t="shared" si="1259"/>
        <v>0.35</v>
      </c>
      <c r="CG365" s="29">
        <v>0.35</v>
      </c>
      <c r="CH365" s="29">
        <f t="shared" ref="CH365:CJ367" si="1260">CI365</f>
        <v>0.35</v>
      </c>
      <c r="CI365" s="29">
        <f t="shared" si="1260"/>
        <v>0.35</v>
      </c>
      <c r="CJ365" s="29">
        <f t="shared" si="1260"/>
        <v>0.35</v>
      </c>
      <c r="CK365" s="29">
        <v>0.35</v>
      </c>
      <c r="CL365" s="29">
        <f t="shared" ref="CL365:CN367" si="1261">CM365</f>
        <v>0.35</v>
      </c>
      <c r="CM365" s="29">
        <f t="shared" si="1261"/>
        <v>0.35</v>
      </c>
      <c r="CN365" s="29">
        <f t="shared" si="1261"/>
        <v>0.35</v>
      </c>
      <c r="CO365" s="29">
        <v>0.35</v>
      </c>
      <c r="CP365" s="29">
        <f>CQ365</f>
        <v>0.35</v>
      </c>
      <c r="CQ365" s="29">
        <f>CR365</f>
        <v>0.35</v>
      </c>
      <c r="CR365" s="29">
        <f>CS365</f>
        <v>0.35</v>
      </c>
      <c r="CS365" s="29">
        <v>0.35</v>
      </c>
      <c r="CT365" s="29">
        <v>0.35</v>
      </c>
      <c r="CU365" s="29">
        <v>0.35</v>
      </c>
      <c r="CV365" s="29">
        <v>0.35</v>
      </c>
      <c r="CW365" s="29">
        <v>0.35</v>
      </c>
      <c r="CX365" s="29">
        <v>0.35</v>
      </c>
      <c r="CY365" s="29">
        <v>0.35</v>
      </c>
      <c r="CZ365" s="29">
        <v>0.35</v>
      </c>
      <c r="DA365" s="29">
        <v>0.35</v>
      </c>
      <c r="DB365" s="29">
        <v>0.35</v>
      </c>
      <c r="DC365" s="29">
        <v>0.35</v>
      </c>
      <c r="DD365" s="29">
        <v>0.35</v>
      </c>
      <c r="DE365" s="29">
        <v>0.35</v>
      </c>
      <c r="DF365" s="29">
        <v>0.35</v>
      </c>
      <c r="DG365" s="29">
        <v>0.35</v>
      </c>
      <c r="DH365" s="29">
        <v>0.35</v>
      </c>
      <c r="DI365" s="29">
        <v>0.35</v>
      </c>
      <c r="DJ365" s="29">
        <v>0.35</v>
      </c>
      <c r="DK365" s="29">
        <v>0.35</v>
      </c>
      <c r="DL365" s="29">
        <v>0.35</v>
      </c>
      <c r="DM365" s="29">
        <v>0.35</v>
      </c>
      <c r="DN365" s="29">
        <v>0.35</v>
      </c>
      <c r="DO365" s="29">
        <v>0.35</v>
      </c>
      <c r="DP365" s="29">
        <v>0.35</v>
      </c>
      <c r="DQ365" s="29">
        <v>0.35</v>
      </c>
      <c r="DR365" s="29">
        <v>0.35</v>
      </c>
      <c r="DS365" s="29">
        <v>0.35</v>
      </c>
      <c r="DT365" s="29">
        <v>0.35</v>
      </c>
      <c r="DU365" s="29">
        <v>0.35</v>
      </c>
      <c r="DV365" s="29">
        <v>0.35</v>
      </c>
      <c r="DW365" s="29">
        <v>0.35</v>
      </c>
      <c r="DX365" s="29">
        <v>0.35</v>
      </c>
      <c r="DY365" s="29">
        <v>0.35</v>
      </c>
      <c r="DZ365" s="29">
        <v>0.35</v>
      </c>
      <c r="EA365" s="29">
        <v>0.35</v>
      </c>
      <c r="EB365" s="29">
        <v>0.35</v>
      </c>
      <c r="EC365" s="29">
        <v>0.35</v>
      </c>
      <c r="ED365" s="29">
        <v>0.35</v>
      </c>
      <c r="EE365" s="29">
        <v>0.24</v>
      </c>
      <c r="EF365" s="29">
        <v>0.24</v>
      </c>
      <c r="EG365" s="29">
        <v>0.24</v>
      </c>
      <c r="EH365" s="29">
        <v>0.24</v>
      </c>
      <c r="EI365" s="29">
        <v>0.24</v>
      </c>
      <c r="EJ365" s="29">
        <v>0.24</v>
      </c>
      <c r="EK365" s="29">
        <v>0.24</v>
      </c>
      <c r="EL365" s="29">
        <v>0.24</v>
      </c>
      <c r="EM365" s="29">
        <v>0.24</v>
      </c>
      <c r="EN365" s="29">
        <v>0.24</v>
      </c>
      <c r="EO365" s="29">
        <v>0.24</v>
      </c>
      <c r="EP365" s="29">
        <v>0.24</v>
      </c>
      <c r="EQ365" s="20"/>
      <c r="ER365" s="20"/>
      <c r="ES365" s="355">
        <f t="shared" si="1105"/>
        <v>360</v>
      </c>
      <c r="ET365"/>
      <c r="EU365"/>
      <c r="EV365"/>
      <c r="EW365"/>
      <c r="EX365"/>
      <c r="EY365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</row>
    <row r="366" spans="1:257" s="4" customFormat="1" ht="12.75" hidden="1" customHeight="1" outlineLevel="2">
      <c r="A366" s="15"/>
      <c r="B366" s="31" t="s">
        <v>7</v>
      </c>
      <c r="C366" s="27"/>
      <c r="D366" s="27"/>
      <c r="E366" s="22">
        <f>AK366</f>
        <v>7.0000000000000007E-2</v>
      </c>
      <c r="F366" s="22">
        <f>AO366</f>
        <v>0.03</v>
      </c>
      <c r="G366" s="22">
        <f>AS366</f>
        <v>0.19</v>
      </c>
      <c r="H366" s="22">
        <f>AW366</f>
        <v>0.02</v>
      </c>
      <c r="I366" s="22">
        <f>BA366</f>
        <v>0.01</v>
      </c>
      <c r="J366" s="22">
        <f>BE366</f>
        <v>0.02</v>
      </c>
      <c r="K366" s="22">
        <f>BI366</f>
        <v>0.05</v>
      </c>
      <c r="L366" s="22">
        <f>BM366</f>
        <v>0.05</v>
      </c>
      <c r="M366" s="22">
        <f>BQ366</f>
        <v>0.04</v>
      </c>
      <c r="N366" s="22">
        <f>BU366</f>
        <v>7.0000000000000007E-2</v>
      </c>
      <c r="O366" s="26">
        <f>BY366</f>
        <v>0.04</v>
      </c>
      <c r="P366" s="22">
        <f>CC366</f>
        <v>0.18</v>
      </c>
      <c r="Q366" s="22">
        <f>CG366</f>
        <v>0.03</v>
      </c>
      <c r="R366" s="22">
        <f>CK366</f>
        <v>-0.01</v>
      </c>
      <c r="S366" s="22">
        <f>CO366</f>
        <v>-0.01</v>
      </c>
      <c r="T366" s="22">
        <f>CS366</f>
        <v>0.01</v>
      </c>
      <c r="U366" s="25">
        <f>CW366</f>
        <v>0.01</v>
      </c>
      <c r="V366" s="25">
        <f>DA366</f>
        <v>0.01</v>
      </c>
      <c r="W366" s="25">
        <f>DE366</f>
        <v>0</v>
      </c>
      <c r="X366" s="25">
        <f>DI366</f>
        <v>0</v>
      </c>
      <c r="Y366" s="25">
        <f>DM366</f>
        <v>1.0999999999999999E-2</v>
      </c>
      <c r="Z366" s="25">
        <f t="shared" si="1247"/>
        <v>1.2E-2</v>
      </c>
      <c r="AA366" s="25">
        <f t="shared" si="1247"/>
        <v>1.2E-2</v>
      </c>
      <c r="AB366" s="25">
        <f>DY366</f>
        <v>1.2E-2</v>
      </c>
      <c r="AC366" s="25">
        <f t="shared" si="1248"/>
        <v>1.2E-2</v>
      </c>
      <c r="AD366" s="25">
        <f t="shared" si="1248"/>
        <v>1.2E-2</v>
      </c>
      <c r="AE366" s="25">
        <f t="shared" si="1248"/>
        <v>1.2E-2</v>
      </c>
      <c r="AF366" s="25">
        <f t="shared" si="1248"/>
        <v>1.2E-2</v>
      </c>
      <c r="AG366" s="24"/>
      <c r="AH366" s="29">
        <f>$AK$366</f>
        <v>7.0000000000000007E-2</v>
      </c>
      <c r="AI366" s="29">
        <f>$AK$366</f>
        <v>7.0000000000000007E-2</v>
      </c>
      <c r="AJ366" s="29">
        <f>$AK$366</f>
        <v>7.0000000000000007E-2</v>
      </c>
      <c r="AK366" s="29">
        <v>7.0000000000000007E-2</v>
      </c>
      <c r="AL366" s="29">
        <f>$AO$366</f>
        <v>0.03</v>
      </c>
      <c r="AM366" s="29">
        <f>$AO$366</f>
        <v>0.03</v>
      </c>
      <c r="AN366" s="29">
        <f>$AO$366</f>
        <v>0.03</v>
      </c>
      <c r="AO366" s="29">
        <v>0.03</v>
      </c>
      <c r="AP366" s="29">
        <f>$AS$366</f>
        <v>0.19</v>
      </c>
      <c r="AQ366" s="29">
        <f>$AS$366</f>
        <v>0.19</v>
      </c>
      <c r="AR366" s="29">
        <f>$AS$366</f>
        <v>0.19</v>
      </c>
      <c r="AS366" s="29">
        <v>0.19</v>
      </c>
      <c r="AT366" s="29">
        <f t="shared" si="1250"/>
        <v>0.02</v>
      </c>
      <c r="AU366" s="29">
        <f t="shared" si="1250"/>
        <v>0.02</v>
      </c>
      <c r="AV366" s="29">
        <f t="shared" si="1250"/>
        <v>0.02</v>
      </c>
      <c r="AW366" s="29">
        <v>0.02</v>
      </c>
      <c r="AX366" s="29">
        <f t="shared" si="1251"/>
        <v>0.01</v>
      </c>
      <c r="AY366" s="29">
        <f t="shared" si="1251"/>
        <v>0.01</v>
      </c>
      <c r="AZ366" s="29">
        <f t="shared" si="1251"/>
        <v>0.01</v>
      </c>
      <c r="BA366" s="29">
        <v>0.01</v>
      </c>
      <c r="BB366" s="29">
        <f t="shared" si="1252"/>
        <v>0.02</v>
      </c>
      <c r="BC366" s="29">
        <f t="shared" si="1252"/>
        <v>0.02</v>
      </c>
      <c r="BD366" s="29">
        <f t="shared" si="1252"/>
        <v>0.02</v>
      </c>
      <c r="BE366" s="29">
        <v>0.02</v>
      </c>
      <c r="BF366" s="29">
        <f t="shared" si="1253"/>
        <v>0.05</v>
      </c>
      <c r="BG366" s="29">
        <f t="shared" si="1253"/>
        <v>0.05</v>
      </c>
      <c r="BH366" s="29">
        <f t="shared" si="1253"/>
        <v>0.05</v>
      </c>
      <c r="BI366" s="29">
        <v>0.05</v>
      </c>
      <c r="BJ366" s="29">
        <f t="shared" si="1254"/>
        <v>0.05</v>
      </c>
      <c r="BK366" s="29">
        <f t="shared" si="1254"/>
        <v>0.05</v>
      </c>
      <c r="BL366" s="29">
        <f t="shared" si="1254"/>
        <v>0.05</v>
      </c>
      <c r="BM366" s="29">
        <v>0.05</v>
      </c>
      <c r="BN366" s="29">
        <f t="shared" si="1255"/>
        <v>0.04</v>
      </c>
      <c r="BO366" s="29">
        <f t="shared" si="1255"/>
        <v>0.04</v>
      </c>
      <c r="BP366" s="29">
        <f t="shared" si="1255"/>
        <v>0.04</v>
      </c>
      <c r="BQ366" s="29">
        <v>0.04</v>
      </c>
      <c r="BR366" s="29">
        <f t="shared" si="1256"/>
        <v>7.0000000000000007E-2</v>
      </c>
      <c r="BS366" s="29">
        <f t="shared" si="1256"/>
        <v>7.0000000000000007E-2</v>
      </c>
      <c r="BT366" s="29">
        <f t="shared" si="1256"/>
        <v>7.0000000000000007E-2</v>
      </c>
      <c r="BU366" s="29">
        <v>7.0000000000000007E-2</v>
      </c>
      <c r="BV366" s="30">
        <f t="shared" si="1257"/>
        <v>0.04</v>
      </c>
      <c r="BW366" s="30">
        <f t="shared" si="1257"/>
        <v>0.04</v>
      </c>
      <c r="BX366" s="30">
        <f t="shared" si="1257"/>
        <v>0.04</v>
      </c>
      <c r="BY366" s="29">
        <v>0.04</v>
      </c>
      <c r="BZ366" s="29">
        <f t="shared" si="1258"/>
        <v>0.18</v>
      </c>
      <c r="CA366" s="29">
        <f t="shared" si="1258"/>
        <v>0.18</v>
      </c>
      <c r="CB366" s="29">
        <f t="shared" si="1258"/>
        <v>0.18</v>
      </c>
      <c r="CC366" s="29">
        <v>0.18</v>
      </c>
      <c r="CD366" s="29">
        <f t="shared" si="1259"/>
        <v>0.03</v>
      </c>
      <c r="CE366" s="29">
        <f t="shared" si="1259"/>
        <v>0.03</v>
      </c>
      <c r="CF366" s="29">
        <f t="shared" si="1259"/>
        <v>0.03</v>
      </c>
      <c r="CG366" s="29">
        <v>0.03</v>
      </c>
      <c r="CH366" s="29">
        <f t="shared" si="1260"/>
        <v>-0.01</v>
      </c>
      <c r="CI366" s="29">
        <f t="shared" si="1260"/>
        <v>-0.01</v>
      </c>
      <c r="CJ366" s="29">
        <f t="shared" si="1260"/>
        <v>-0.01</v>
      </c>
      <c r="CK366" s="29">
        <v>-0.01</v>
      </c>
      <c r="CL366" s="29">
        <f t="shared" si="1261"/>
        <v>-0.01</v>
      </c>
      <c r="CM366" s="29">
        <f t="shared" si="1261"/>
        <v>-0.01</v>
      </c>
      <c r="CN366" s="29">
        <f t="shared" si="1261"/>
        <v>-0.01</v>
      </c>
      <c r="CO366" s="29">
        <v>-0.01</v>
      </c>
      <c r="CP366" s="29">
        <f>CQ366</f>
        <v>0.01</v>
      </c>
      <c r="CQ366" s="29">
        <f>CR366</f>
        <v>0.01</v>
      </c>
      <c r="CR366" s="29">
        <v>0.01</v>
      </c>
      <c r="CS366" s="29">
        <v>0.01</v>
      </c>
      <c r="CT366" s="29">
        <v>0.01</v>
      </c>
      <c r="CU366" s="29">
        <v>0.01</v>
      </c>
      <c r="CV366" s="29">
        <v>0.01</v>
      </c>
      <c r="CW366" s="29">
        <v>0.01</v>
      </c>
      <c r="CX366" s="29">
        <v>0.01</v>
      </c>
      <c r="CY366" s="29">
        <v>0.01</v>
      </c>
      <c r="CZ366" s="29">
        <v>0.01</v>
      </c>
      <c r="DA366" s="29">
        <v>0.01</v>
      </c>
      <c r="DB366" s="29">
        <v>0</v>
      </c>
      <c r="DC366" s="29">
        <v>0</v>
      </c>
      <c r="DD366" s="29">
        <v>0</v>
      </c>
      <c r="DE366" s="29">
        <v>0</v>
      </c>
      <c r="DF366" s="29">
        <v>0</v>
      </c>
      <c r="DG366" s="29">
        <v>0</v>
      </c>
      <c r="DH366" s="29">
        <v>0</v>
      </c>
      <c r="DI366" s="29">
        <v>0</v>
      </c>
      <c r="DJ366" s="29">
        <v>0</v>
      </c>
      <c r="DK366" s="29">
        <v>0</v>
      </c>
      <c r="DL366" s="29">
        <v>0</v>
      </c>
      <c r="DM366" s="29">
        <v>1.0999999999999999E-2</v>
      </c>
      <c r="DN366" s="29">
        <v>1.0999999999999999E-2</v>
      </c>
      <c r="DO366" s="29">
        <v>1.0999999999999999E-2</v>
      </c>
      <c r="DP366" s="29">
        <v>1.0999999999999999E-2</v>
      </c>
      <c r="DQ366" s="29">
        <v>1.2E-2</v>
      </c>
      <c r="DR366" s="29">
        <v>1.2E-2</v>
      </c>
      <c r="DS366" s="29">
        <v>1.2E-2</v>
      </c>
      <c r="DT366" s="29">
        <v>1.2E-2</v>
      </c>
      <c r="DU366" s="29">
        <v>1.2E-2</v>
      </c>
      <c r="DV366" s="29">
        <v>1.2E-2</v>
      </c>
      <c r="DW366" s="29">
        <v>1.2E-2</v>
      </c>
      <c r="DX366" s="29">
        <v>1.2E-2</v>
      </c>
      <c r="DY366" s="29">
        <v>1.2E-2</v>
      </c>
      <c r="DZ366" s="29">
        <v>1.2E-2</v>
      </c>
      <c r="EA366" s="29">
        <v>1.2E-2</v>
      </c>
      <c r="EB366" s="29">
        <v>1.2E-2</v>
      </c>
      <c r="EC366" s="29">
        <v>1.2E-2</v>
      </c>
      <c r="ED366" s="29">
        <v>1.2E-2</v>
      </c>
      <c r="EE366" s="29">
        <v>1.2E-2</v>
      </c>
      <c r="EF366" s="29">
        <v>1.2E-2</v>
      </c>
      <c r="EG366" s="29">
        <v>1.2E-2</v>
      </c>
      <c r="EH366" s="29">
        <v>1.2E-2</v>
      </c>
      <c r="EI366" s="29">
        <v>1.2E-2</v>
      </c>
      <c r="EJ366" s="29">
        <v>1.2E-2</v>
      </c>
      <c r="EK366" s="29">
        <v>1.2E-2</v>
      </c>
      <c r="EL366" s="29">
        <v>1.2E-2</v>
      </c>
      <c r="EM366" s="29">
        <v>1.2E-2</v>
      </c>
      <c r="EN366" s="29">
        <v>1.2E-2</v>
      </c>
      <c r="EO366" s="29">
        <v>1.2E-2</v>
      </c>
      <c r="EP366" s="29">
        <v>1.2E-2</v>
      </c>
      <c r="EQ366" s="20"/>
      <c r="ER366" s="20"/>
      <c r="ES366" s="355">
        <f t="shared" si="1105"/>
        <v>361</v>
      </c>
      <c r="ET366"/>
      <c r="EU366"/>
      <c r="EV366"/>
      <c r="EW366"/>
      <c r="EX366"/>
      <c r="EY366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</row>
    <row r="367" spans="1:257" s="4" customFormat="1" ht="12.75" hidden="1" customHeight="1" outlineLevel="2">
      <c r="A367" s="15"/>
      <c r="B367" s="31" t="s">
        <v>6</v>
      </c>
      <c r="C367" s="27"/>
      <c r="D367" s="27"/>
      <c r="E367" s="22">
        <f>AK367</f>
        <v>0</v>
      </c>
      <c r="F367" s="22">
        <f>AO367</f>
        <v>0</v>
      </c>
      <c r="G367" s="22">
        <f>AS367</f>
        <v>0</v>
      </c>
      <c r="H367" s="22">
        <f>AW367</f>
        <v>0</v>
      </c>
      <c r="I367" s="22">
        <f>BA367</f>
        <v>0</v>
      </c>
      <c r="J367" s="22">
        <f>BE367</f>
        <v>0</v>
      </c>
      <c r="K367" s="22">
        <f>BI367</f>
        <v>0</v>
      </c>
      <c r="L367" s="22">
        <f>BM367</f>
        <v>0</v>
      </c>
      <c r="M367" s="22">
        <f>BQ367</f>
        <v>0.02</v>
      </c>
      <c r="N367" s="22">
        <f>BU367</f>
        <v>0.02</v>
      </c>
      <c r="O367" s="26">
        <f>BY367</f>
        <v>0.04</v>
      </c>
      <c r="P367" s="22">
        <f>CC367</f>
        <v>0</v>
      </c>
      <c r="Q367" s="22">
        <f>CG367</f>
        <v>0.03</v>
      </c>
      <c r="R367" s="22">
        <f>CK367</f>
        <v>0.01</v>
      </c>
      <c r="S367" s="22">
        <f>CO367</f>
        <v>0.02</v>
      </c>
      <c r="T367" s="22">
        <f>CS367</f>
        <v>0.02</v>
      </c>
      <c r="U367" s="25">
        <f>CW367</f>
        <v>0.02</v>
      </c>
      <c r="V367" s="25">
        <f>DA367</f>
        <v>-0.01</v>
      </c>
      <c r="W367" s="25">
        <f>DE367</f>
        <v>0.01</v>
      </c>
      <c r="X367" s="25">
        <f>DI367</f>
        <v>0.01</v>
      </c>
      <c r="Y367" s="25">
        <f>DM367</f>
        <v>1.4999999999999999E-2</v>
      </c>
      <c r="Z367" s="25">
        <f t="shared" si="1247"/>
        <v>1.4999999999999999E-2</v>
      </c>
      <c r="AA367" s="25">
        <f t="shared" si="1247"/>
        <v>1.4999999999999999E-2</v>
      </c>
      <c r="AB367" s="25">
        <f>DY367</f>
        <v>1.4999999999999999E-2</v>
      </c>
      <c r="AC367" s="25">
        <f t="shared" si="1248"/>
        <v>1.4999999999999999E-2</v>
      </c>
      <c r="AD367" s="25">
        <f t="shared" si="1248"/>
        <v>1.4999999999999999E-2</v>
      </c>
      <c r="AE367" s="25">
        <f t="shared" si="1248"/>
        <v>1.4999999999999999E-2</v>
      </c>
      <c r="AF367" s="25">
        <f t="shared" si="1248"/>
        <v>1.4999999999999999E-2</v>
      </c>
      <c r="AG367" s="24"/>
      <c r="AH367" s="29">
        <f>$AK$367</f>
        <v>0</v>
      </c>
      <c r="AI367" s="29">
        <f>$AK$367</f>
        <v>0</v>
      </c>
      <c r="AJ367" s="29">
        <f>$AK$367</f>
        <v>0</v>
      </c>
      <c r="AK367" s="29">
        <v>0</v>
      </c>
      <c r="AL367" s="29">
        <f>$AO$367</f>
        <v>0</v>
      </c>
      <c r="AM367" s="29">
        <f>$AO$367</f>
        <v>0</v>
      </c>
      <c r="AN367" s="29">
        <f>$AO$367</f>
        <v>0</v>
      </c>
      <c r="AO367" s="29">
        <v>0</v>
      </c>
      <c r="AP367" s="29">
        <f>$AS$367</f>
        <v>0</v>
      </c>
      <c r="AQ367" s="29">
        <f>$AS$367</f>
        <v>0</v>
      </c>
      <c r="AR367" s="29">
        <f>$AS$367</f>
        <v>0</v>
      </c>
      <c r="AS367" s="29">
        <v>0</v>
      </c>
      <c r="AT367" s="29">
        <f t="shared" si="1250"/>
        <v>0</v>
      </c>
      <c r="AU367" s="29">
        <f t="shared" si="1250"/>
        <v>0</v>
      </c>
      <c r="AV367" s="29">
        <f t="shared" si="1250"/>
        <v>0</v>
      </c>
      <c r="AW367" s="29">
        <v>0</v>
      </c>
      <c r="AX367" s="29">
        <f t="shared" si="1251"/>
        <v>0</v>
      </c>
      <c r="AY367" s="29">
        <f t="shared" si="1251"/>
        <v>0</v>
      </c>
      <c r="AZ367" s="29">
        <f t="shared" si="1251"/>
        <v>0</v>
      </c>
      <c r="BA367" s="29">
        <v>0</v>
      </c>
      <c r="BB367" s="29">
        <f t="shared" si="1252"/>
        <v>0</v>
      </c>
      <c r="BC367" s="29">
        <f t="shared" si="1252"/>
        <v>0</v>
      </c>
      <c r="BD367" s="29">
        <f t="shared" si="1252"/>
        <v>0</v>
      </c>
      <c r="BE367" s="29">
        <v>0</v>
      </c>
      <c r="BF367" s="29">
        <f t="shared" si="1253"/>
        <v>0</v>
      </c>
      <c r="BG367" s="29">
        <f t="shared" si="1253"/>
        <v>0</v>
      </c>
      <c r="BH367" s="29">
        <f t="shared" si="1253"/>
        <v>0</v>
      </c>
      <c r="BI367" s="29">
        <v>0</v>
      </c>
      <c r="BJ367" s="29">
        <f t="shared" si="1254"/>
        <v>0</v>
      </c>
      <c r="BK367" s="29">
        <f t="shared" si="1254"/>
        <v>0</v>
      </c>
      <c r="BL367" s="29">
        <f t="shared" si="1254"/>
        <v>0</v>
      </c>
      <c r="BM367" s="29">
        <v>0</v>
      </c>
      <c r="BN367" s="29">
        <f t="shared" si="1255"/>
        <v>0.02</v>
      </c>
      <c r="BO367" s="29">
        <f t="shared" si="1255"/>
        <v>0.02</v>
      </c>
      <c r="BP367" s="29">
        <f t="shared" si="1255"/>
        <v>0.02</v>
      </c>
      <c r="BQ367" s="29">
        <v>0.02</v>
      </c>
      <c r="BR367" s="29">
        <f t="shared" si="1256"/>
        <v>0.02</v>
      </c>
      <c r="BS367" s="29">
        <f t="shared" si="1256"/>
        <v>0.02</v>
      </c>
      <c r="BT367" s="29">
        <f t="shared" si="1256"/>
        <v>0.02</v>
      </c>
      <c r="BU367" s="29">
        <v>0.02</v>
      </c>
      <c r="BV367" s="30">
        <f t="shared" si="1257"/>
        <v>0.04</v>
      </c>
      <c r="BW367" s="30">
        <f t="shared" si="1257"/>
        <v>0.04</v>
      </c>
      <c r="BX367" s="30">
        <f t="shared" si="1257"/>
        <v>0.04</v>
      </c>
      <c r="BY367" s="29">
        <v>0.04</v>
      </c>
      <c r="BZ367" s="29">
        <f t="shared" si="1258"/>
        <v>0</v>
      </c>
      <c r="CA367" s="29">
        <f t="shared" si="1258"/>
        <v>0</v>
      </c>
      <c r="CB367" s="29">
        <f t="shared" si="1258"/>
        <v>0</v>
      </c>
      <c r="CC367" s="29">
        <v>0</v>
      </c>
      <c r="CD367" s="29">
        <f t="shared" si="1259"/>
        <v>0.03</v>
      </c>
      <c r="CE367" s="29">
        <f t="shared" si="1259"/>
        <v>0.03</v>
      </c>
      <c r="CF367" s="29">
        <f t="shared" si="1259"/>
        <v>0.03</v>
      </c>
      <c r="CG367" s="29">
        <f>3%</f>
        <v>0.03</v>
      </c>
      <c r="CH367" s="29">
        <f t="shared" si="1260"/>
        <v>0.01</v>
      </c>
      <c r="CI367" s="29">
        <f t="shared" si="1260"/>
        <v>0.01</v>
      </c>
      <c r="CJ367" s="29">
        <f t="shared" si="1260"/>
        <v>0.01</v>
      </c>
      <c r="CK367" s="29">
        <v>0.01</v>
      </c>
      <c r="CL367" s="29">
        <f t="shared" si="1261"/>
        <v>0.02</v>
      </c>
      <c r="CM367" s="29">
        <f t="shared" si="1261"/>
        <v>0.02</v>
      </c>
      <c r="CN367" s="29">
        <f t="shared" si="1261"/>
        <v>0.02</v>
      </c>
      <c r="CO367" s="29">
        <v>0.02</v>
      </c>
      <c r="CP367" s="29">
        <f>CQ367</f>
        <v>0.02</v>
      </c>
      <c r="CQ367" s="29">
        <f>CR367</f>
        <v>0.02</v>
      </c>
      <c r="CR367" s="29">
        <f>CS367</f>
        <v>0.02</v>
      </c>
      <c r="CS367" s="29">
        <v>0.02</v>
      </c>
      <c r="CT367" s="29">
        <v>0.02</v>
      </c>
      <c r="CU367" s="29">
        <v>0.02</v>
      </c>
      <c r="CV367" s="29">
        <v>0.02</v>
      </c>
      <c r="CW367" s="29">
        <v>0.02</v>
      </c>
      <c r="CX367" s="29">
        <v>-0.01</v>
      </c>
      <c r="CY367" s="29">
        <v>-0.01</v>
      </c>
      <c r="CZ367" s="29">
        <v>-0.01</v>
      </c>
      <c r="DA367" s="29">
        <v>-0.01</v>
      </c>
      <c r="DB367" s="29">
        <v>0.01</v>
      </c>
      <c r="DC367" s="29">
        <v>0.01</v>
      </c>
      <c r="DD367" s="29">
        <v>0.01</v>
      </c>
      <c r="DE367" s="29">
        <v>0.01</v>
      </c>
      <c r="DF367" s="29">
        <v>0.01</v>
      </c>
      <c r="DG367" s="29">
        <v>0.01</v>
      </c>
      <c r="DH367" s="29">
        <v>0.01</v>
      </c>
      <c r="DI367" s="29">
        <v>0.01</v>
      </c>
      <c r="DJ367" s="29">
        <v>0.01</v>
      </c>
      <c r="DK367" s="29">
        <v>0.01</v>
      </c>
      <c r="DL367" s="29">
        <v>0.01</v>
      </c>
      <c r="DM367" s="29">
        <v>1.4999999999999999E-2</v>
      </c>
      <c r="DN367" s="29">
        <v>1.4999999999999999E-2</v>
      </c>
      <c r="DO367" s="29">
        <v>1.4999999999999999E-2</v>
      </c>
      <c r="DP367" s="29">
        <v>1.4999999999999999E-2</v>
      </c>
      <c r="DQ367" s="29">
        <v>1.4999999999999999E-2</v>
      </c>
      <c r="DR367" s="29">
        <v>1.4999999999999999E-2</v>
      </c>
      <c r="DS367" s="29">
        <v>1.4999999999999999E-2</v>
      </c>
      <c r="DT367" s="29">
        <v>1.4999999999999999E-2</v>
      </c>
      <c r="DU367" s="29">
        <v>1.4999999999999999E-2</v>
      </c>
      <c r="DV367" s="29">
        <v>1.4999999999999999E-2</v>
      </c>
      <c r="DW367" s="29">
        <v>1.4999999999999999E-2</v>
      </c>
      <c r="DX367" s="29">
        <v>1.4999999999999999E-2</v>
      </c>
      <c r="DY367" s="29">
        <v>1.4999999999999999E-2</v>
      </c>
      <c r="DZ367" s="29">
        <v>1.4999999999999999E-2</v>
      </c>
      <c r="EA367" s="29">
        <v>1.4999999999999999E-2</v>
      </c>
      <c r="EB367" s="29">
        <v>1.4999999999999999E-2</v>
      </c>
      <c r="EC367" s="29">
        <v>1.4999999999999999E-2</v>
      </c>
      <c r="ED367" s="29">
        <v>1.4999999999999999E-2</v>
      </c>
      <c r="EE367" s="29">
        <v>1.4999999999999999E-2</v>
      </c>
      <c r="EF367" s="29">
        <v>1.4999999999999999E-2</v>
      </c>
      <c r="EG367" s="29">
        <v>1.4999999999999999E-2</v>
      </c>
      <c r="EH367" s="29">
        <v>1.4999999999999999E-2</v>
      </c>
      <c r="EI367" s="29">
        <v>1.4999999999999999E-2</v>
      </c>
      <c r="EJ367" s="29">
        <v>1.4999999999999999E-2</v>
      </c>
      <c r="EK367" s="29">
        <v>1.4999999999999999E-2</v>
      </c>
      <c r="EL367" s="29">
        <v>1.4999999999999999E-2</v>
      </c>
      <c r="EM367" s="29">
        <v>1.4999999999999999E-2</v>
      </c>
      <c r="EN367" s="29">
        <v>1.4999999999999999E-2</v>
      </c>
      <c r="EO367" s="29">
        <v>1.4999999999999999E-2</v>
      </c>
      <c r="EP367" s="29">
        <v>1.4999999999999999E-2</v>
      </c>
      <c r="EQ367" s="20"/>
      <c r="ER367" s="20"/>
      <c r="ES367" s="355">
        <f t="shared" si="1105"/>
        <v>362</v>
      </c>
      <c r="ET367"/>
      <c r="EU367"/>
      <c r="EV367"/>
      <c r="EW367"/>
      <c r="EX367"/>
      <c r="EY367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</row>
    <row r="368" spans="1:257" s="4" customFormat="1" ht="12.75" hidden="1" customHeight="1" outlineLevel="2">
      <c r="A368" s="15"/>
      <c r="B368" s="28"/>
      <c r="C368" s="27"/>
      <c r="D368" s="27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6"/>
      <c r="P368" s="22"/>
      <c r="Q368" s="22"/>
      <c r="R368" s="22"/>
      <c r="S368" s="22"/>
      <c r="T368" s="22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4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  <c r="BN368" s="22"/>
      <c r="BO368" s="22"/>
      <c r="BP368" s="22"/>
      <c r="BQ368" s="22"/>
      <c r="BR368" s="22"/>
      <c r="BS368" s="22"/>
      <c r="BT368" s="22"/>
      <c r="BU368" s="22"/>
      <c r="BV368" s="23"/>
      <c r="BW368" s="23"/>
      <c r="BX368" s="23"/>
      <c r="BY368" s="22"/>
      <c r="BZ368" s="22"/>
      <c r="CA368" s="22"/>
      <c r="CB368" s="22"/>
      <c r="CC368" s="22"/>
      <c r="CD368" s="22"/>
      <c r="CE368" s="22"/>
      <c r="CF368" s="22"/>
      <c r="CG368" s="22"/>
      <c r="CH368" s="22"/>
      <c r="CI368" s="22"/>
      <c r="CJ368" s="22"/>
      <c r="CK368" s="22"/>
      <c r="CL368" s="22"/>
      <c r="CM368" s="22"/>
      <c r="CN368" s="22"/>
      <c r="CO368" s="22"/>
      <c r="CP368" s="22"/>
      <c r="CQ368" s="22"/>
      <c r="CR368" s="22"/>
      <c r="CS368" s="22"/>
      <c r="CT368" s="22"/>
      <c r="CU368" s="22"/>
      <c r="CV368" s="22"/>
      <c r="CW368" s="22"/>
      <c r="CX368" s="22"/>
      <c r="CY368" s="22"/>
      <c r="CZ368" s="22"/>
      <c r="DA368" s="22"/>
      <c r="DB368" s="22"/>
      <c r="DC368" s="22"/>
      <c r="DD368" s="22"/>
      <c r="DE368" s="22"/>
      <c r="DF368" s="22"/>
      <c r="DG368" s="22"/>
      <c r="DH368" s="22"/>
      <c r="DI368" s="22"/>
      <c r="DJ368" s="22"/>
      <c r="DK368" s="22"/>
      <c r="DL368" s="22"/>
      <c r="DM368" s="22"/>
      <c r="DN368" s="22"/>
      <c r="DO368" s="22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0"/>
      <c r="ER368" s="20"/>
      <c r="ES368" s="355">
        <f t="shared" si="1105"/>
        <v>363</v>
      </c>
      <c r="ET368"/>
      <c r="EU368"/>
      <c r="EV368"/>
      <c r="EW368"/>
      <c r="EX368"/>
      <c r="EY368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</row>
    <row r="369" spans="1:257" s="4" customFormat="1" ht="12.75" hidden="1" customHeight="1" outlineLevel="2">
      <c r="A369" s="15"/>
      <c r="B369" s="19" t="s">
        <v>5</v>
      </c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7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8"/>
      <c r="BN369" s="18"/>
      <c r="BO369" s="18"/>
      <c r="BP369" s="18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  <c r="DG369" s="18"/>
      <c r="DH369" s="18"/>
      <c r="DI369" s="18"/>
      <c r="DJ369" s="18"/>
      <c r="DK369" s="18"/>
      <c r="DL369" s="18"/>
      <c r="DM369" s="18"/>
      <c r="DN369" s="18"/>
      <c r="DO369" s="18"/>
      <c r="DP369" s="18"/>
      <c r="DQ369" s="18"/>
      <c r="DR369" s="18"/>
      <c r="DS369" s="18"/>
      <c r="DT369" s="18"/>
      <c r="DU369" s="18"/>
      <c r="DV369" s="18"/>
      <c r="DW369" s="18"/>
      <c r="DX369" s="18"/>
      <c r="DY369" s="18"/>
      <c r="DZ369" s="18"/>
      <c r="EA369" s="18"/>
      <c r="EB369" s="18"/>
      <c r="EC369" s="18"/>
      <c r="ED369" s="18"/>
      <c r="EE369" s="18"/>
      <c r="EF369" s="18"/>
      <c r="EG369" s="18"/>
      <c r="EH369" s="18"/>
      <c r="EI369" s="18"/>
      <c r="EJ369" s="18"/>
      <c r="EK369" s="18"/>
      <c r="EL369" s="18"/>
      <c r="EM369" s="18"/>
      <c r="EN369" s="18"/>
      <c r="EO369" s="18"/>
      <c r="EP369" s="18"/>
      <c r="EQ369" s="18"/>
      <c r="ER369" s="18"/>
      <c r="ES369" s="355">
        <f t="shared" si="1105"/>
        <v>364</v>
      </c>
      <c r="ET369"/>
      <c r="EU369"/>
      <c r="EV369"/>
      <c r="EW369"/>
      <c r="EX369"/>
      <c r="EY369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</row>
    <row r="370" spans="1:257" s="4" customFormat="1" ht="12.75" hidden="1" customHeight="1" outlineLevel="2">
      <c r="A370" s="15"/>
      <c r="B370" s="14" t="s">
        <v>4</v>
      </c>
      <c r="C370" s="13"/>
      <c r="D370" s="13"/>
      <c r="E370" s="13"/>
      <c r="F370" s="13">
        <f>AO370</f>
        <v>0</v>
      </c>
      <c r="G370" s="13">
        <f>AS370</f>
        <v>0</v>
      </c>
      <c r="H370" s="13">
        <f>AW370</f>
        <v>0</v>
      </c>
      <c r="I370" s="13">
        <f>BA370</f>
        <v>0</v>
      </c>
      <c r="J370" s="13">
        <f>BE370</f>
        <v>0</v>
      </c>
      <c r="K370" s="13">
        <f>BI370</f>
        <v>0</v>
      </c>
      <c r="L370" s="13">
        <f>BM370</f>
        <v>0</v>
      </c>
      <c r="M370" s="13">
        <f>BQ370</f>
        <v>0</v>
      </c>
      <c r="N370" s="13">
        <f>BU370</f>
        <v>0</v>
      </c>
      <c r="O370" s="13">
        <f>BY370</f>
        <v>0</v>
      </c>
      <c r="P370" s="13">
        <f>CC370</f>
        <v>0</v>
      </c>
      <c r="Q370" s="13">
        <f>CG370</f>
        <v>0</v>
      </c>
      <c r="R370" s="13">
        <f>CK370</f>
        <v>0</v>
      </c>
      <c r="S370" s="13">
        <f>CO370</f>
        <v>0</v>
      </c>
      <c r="T370" s="13">
        <f>CS370</f>
        <v>0</v>
      </c>
      <c r="U370" s="13">
        <f>CW370</f>
        <v>0</v>
      </c>
      <c r="V370" s="13">
        <f>DA370</f>
        <v>0</v>
      </c>
      <c r="W370" s="13">
        <f>DE370</f>
        <v>0</v>
      </c>
      <c r="X370" s="13">
        <f>DI370</f>
        <v>0</v>
      </c>
      <c r="Y370" s="13">
        <f>DM370</f>
        <v>0</v>
      </c>
      <c r="Z370" s="13">
        <f>DQ370</f>
        <v>0</v>
      </c>
      <c r="AA370" s="13">
        <f>DU370</f>
        <v>0</v>
      </c>
      <c r="AB370" s="13">
        <f>DY370</f>
        <v>0</v>
      </c>
      <c r="AC370" s="13">
        <f>EC370</f>
        <v>0</v>
      </c>
      <c r="AD370" s="13">
        <f>ED370</f>
        <v>0</v>
      </c>
      <c r="AE370" s="13">
        <f>EE370</f>
        <v>0</v>
      </c>
      <c r="AF370" s="13">
        <f>EF370</f>
        <v>0</v>
      </c>
      <c r="AG370" s="17"/>
      <c r="AH370" s="13"/>
      <c r="AI370" s="13"/>
      <c r="AJ370" s="13"/>
      <c r="AK370" s="13"/>
      <c r="AL370" s="13">
        <v>0</v>
      </c>
      <c r="AM370" s="13">
        <v>0</v>
      </c>
      <c r="AN370" s="13">
        <v>0</v>
      </c>
      <c r="AO370" s="13">
        <v>0</v>
      </c>
      <c r="AP370" s="13">
        <v>0</v>
      </c>
      <c r="AQ370" s="13">
        <v>0</v>
      </c>
      <c r="AR370" s="13">
        <v>0</v>
      </c>
      <c r="AS370" s="13">
        <v>0</v>
      </c>
      <c r="AT370" s="13">
        <v>0</v>
      </c>
      <c r="AU370" s="13">
        <v>0</v>
      </c>
      <c r="AV370" s="13">
        <v>0</v>
      </c>
      <c r="AW370" s="13">
        <v>0</v>
      </c>
      <c r="AX370" s="13">
        <v>0</v>
      </c>
      <c r="AY370" s="13">
        <v>0</v>
      </c>
      <c r="AZ370" s="13">
        <v>0</v>
      </c>
      <c r="BA370" s="13">
        <v>0</v>
      </c>
      <c r="BB370" s="13">
        <v>0</v>
      </c>
      <c r="BC370" s="13">
        <v>0</v>
      </c>
      <c r="BD370" s="13">
        <v>0</v>
      </c>
      <c r="BE370" s="13">
        <v>0</v>
      </c>
      <c r="BF370" s="13">
        <v>0</v>
      </c>
      <c r="BG370" s="13">
        <v>0</v>
      </c>
      <c r="BH370" s="13">
        <v>0</v>
      </c>
      <c r="BI370" s="13">
        <v>0</v>
      </c>
      <c r="BJ370" s="13">
        <v>0</v>
      </c>
      <c r="BK370" s="13">
        <v>0</v>
      </c>
      <c r="BL370" s="13">
        <v>0</v>
      </c>
      <c r="BM370" s="13">
        <v>0</v>
      </c>
      <c r="BN370" s="13">
        <v>0</v>
      </c>
      <c r="BO370" s="13">
        <v>0</v>
      </c>
      <c r="BP370" s="13">
        <v>0</v>
      </c>
      <c r="BQ370" s="13">
        <v>0</v>
      </c>
      <c r="BR370" s="13">
        <v>0</v>
      </c>
      <c r="BS370" s="13">
        <v>0</v>
      </c>
      <c r="BT370" s="13">
        <v>0</v>
      </c>
      <c r="BU370" s="13">
        <v>0</v>
      </c>
      <c r="BV370" s="13">
        <v>0</v>
      </c>
      <c r="BW370" s="13">
        <v>0</v>
      </c>
      <c r="BX370" s="13">
        <v>0</v>
      </c>
      <c r="BY370" s="13">
        <v>0</v>
      </c>
      <c r="BZ370" s="13">
        <v>0</v>
      </c>
      <c r="CA370" s="13">
        <v>0</v>
      </c>
      <c r="CB370" s="13">
        <v>0</v>
      </c>
      <c r="CC370" s="13">
        <v>0</v>
      </c>
      <c r="CD370" s="13">
        <v>0</v>
      </c>
      <c r="CE370" s="13">
        <v>0</v>
      </c>
      <c r="CF370" s="13">
        <v>0</v>
      </c>
      <c r="CG370" s="13">
        <v>0</v>
      </c>
      <c r="CH370" s="13">
        <v>0</v>
      </c>
      <c r="CI370" s="13">
        <v>0</v>
      </c>
      <c r="CJ370" s="13">
        <v>0</v>
      </c>
      <c r="CK370" s="13">
        <v>0</v>
      </c>
      <c r="CL370" s="13">
        <v>0</v>
      </c>
      <c r="CM370" s="13">
        <v>0</v>
      </c>
      <c r="CN370" s="13">
        <v>0</v>
      </c>
      <c r="CO370" s="13">
        <v>0</v>
      </c>
      <c r="CP370" s="13">
        <v>0</v>
      </c>
      <c r="CQ370" s="13">
        <v>0</v>
      </c>
      <c r="CR370" s="13">
        <v>0</v>
      </c>
      <c r="CS370" s="12">
        <v>0</v>
      </c>
      <c r="CT370" s="12">
        <v>0</v>
      </c>
      <c r="CU370" s="12">
        <v>0</v>
      </c>
      <c r="CV370" s="12">
        <v>0</v>
      </c>
      <c r="CW370" s="12">
        <v>0</v>
      </c>
      <c r="CX370" s="12">
        <v>0</v>
      </c>
      <c r="CY370" s="12">
        <v>0</v>
      </c>
      <c r="CZ370" s="12">
        <v>0</v>
      </c>
      <c r="DA370" s="12">
        <v>0</v>
      </c>
      <c r="DB370" s="12">
        <v>0</v>
      </c>
      <c r="DC370" s="12">
        <v>0</v>
      </c>
      <c r="DD370" s="12">
        <v>0</v>
      </c>
      <c r="DE370" s="12">
        <v>0</v>
      </c>
      <c r="DF370" s="12">
        <v>0</v>
      </c>
      <c r="DG370" s="12">
        <v>0</v>
      </c>
      <c r="DH370" s="12">
        <v>0</v>
      </c>
      <c r="DI370" s="12">
        <v>0</v>
      </c>
      <c r="DJ370" s="12">
        <v>0</v>
      </c>
      <c r="DK370" s="12">
        <v>0</v>
      </c>
      <c r="DL370" s="12">
        <v>0</v>
      </c>
      <c r="DM370" s="12">
        <v>0</v>
      </c>
      <c r="DN370" s="12">
        <v>0</v>
      </c>
      <c r="DO370" s="12">
        <v>0</v>
      </c>
      <c r="DP370" s="12">
        <v>0</v>
      </c>
      <c r="DQ370" s="12">
        <v>0</v>
      </c>
      <c r="DR370" s="12">
        <v>0</v>
      </c>
      <c r="DS370" s="12">
        <v>0</v>
      </c>
      <c r="DT370" s="12">
        <v>0</v>
      </c>
      <c r="DU370" s="12">
        <v>0</v>
      </c>
      <c r="DV370" s="12">
        <v>0</v>
      </c>
      <c r="DW370" s="12">
        <v>0</v>
      </c>
      <c r="DX370" s="12">
        <v>0</v>
      </c>
      <c r="DY370" s="12">
        <v>0</v>
      </c>
      <c r="DZ370" s="12">
        <v>0</v>
      </c>
      <c r="EA370" s="12">
        <v>0</v>
      </c>
      <c r="EB370" s="12">
        <v>0</v>
      </c>
      <c r="EC370" s="12">
        <v>0</v>
      </c>
      <c r="ED370" s="12">
        <v>0</v>
      </c>
      <c r="EE370" s="16">
        <v>0</v>
      </c>
      <c r="EF370" s="16">
        <v>0</v>
      </c>
      <c r="EG370" s="16">
        <v>0</v>
      </c>
      <c r="EH370" s="16">
        <v>0</v>
      </c>
      <c r="EI370" s="16">
        <v>0</v>
      </c>
      <c r="EJ370" s="16">
        <v>0</v>
      </c>
      <c r="EK370" s="16">
        <v>0</v>
      </c>
      <c r="EL370" s="16">
        <v>0</v>
      </c>
      <c r="EM370" s="16">
        <v>0</v>
      </c>
      <c r="EN370" s="16">
        <v>0</v>
      </c>
      <c r="EO370" s="16">
        <v>0</v>
      </c>
      <c r="EP370" s="16">
        <v>0</v>
      </c>
      <c r="EQ370" s="12"/>
      <c r="ER370" s="12"/>
      <c r="ES370" s="355">
        <f t="shared" si="1105"/>
        <v>365</v>
      </c>
      <c r="ET370"/>
      <c r="EU370"/>
      <c r="EV370"/>
      <c r="EW370"/>
      <c r="EX370"/>
      <c r="EY370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</row>
    <row r="371" spans="1:257" s="4" customFormat="1" ht="12.75" hidden="1" customHeight="1" outlineLevel="2">
      <c r="A371" s="15"/>
      <c r="B371" s="14" t="s">
        <v>3</v>
      </c>
      <c r="C371" s="13"/>
      <c r="D371" s="12"/>
      <c r="E371" s="12"/>
      <c r="F371" s="12">
        <f t="shared" ref="F371:AF371" si="1262">SUM(F273:F274,F277)-SUM(E273:E274,E277)</f>
        <v>1.532</v>
      </c>
      <c r="G371" s="12">
        <f t="shared" si="1262"/>
        <v>0.68500000000000227</v>
      </c>
      <c r="H371" s="12">
        <f t="shared" si="1262"/>
        <v>3.1380000000000017</v>
      </c>
      <c r="I371" s="12">
        <f t="shared" si="1262"/>
        <v>4.6870000000000047</v>
      </c>
      <c r="J371" s="12">
        <f t="shared" si="1262"/>
        <v>-9.3750000000000071</v>
      </c>
      <c r="K371" s="12">
        <f t="shared" si="1262"/>
        <v>4.2689999999999984</v>
      </c>
      <c r="L371" s="12">
        <f t="shared" si="1262"/>
        <v>7.5730000000000004</v>
      </c>
      <c r="M371" s="12">
        <f t="shared" si="1262"/>
        <v>-3.1560000000000059</v>
      </c>
      <c r="N371" s="12">
        <f t="shared" si="1262"/>
        <v>4.3760000000000048</v>
      </c>
      <c r="O371" s="12">
        <f t="shared" si="1262"/>
        <v>2.5660000000000025</v>
      </c>
      <c r="P371" s="12">
        <f t="shared" si="1262"/>
        <v>6.2779999999999916</v>
      </c>
      <c r="Q371" s="12">
        <f t="shared" si="1262"/>
        <v>43.353000000000016</v>
      </c>
      <c r="R371" s="12">
        <f t="shared" si="1262"/>
        <v>4.6719999999999828</v>
      </c>
      <c r="S371" s="12">
        <f t="shared" si="1262"/>
        <v>-3.2550000000000097</v>
      </c>
      <c r="T371" s="12">
        <f t="shared" si="1262"/>
        <v>50.684000000000026</v>
      </c>
      <c r="U371" s="12">
        <f t="shared" si="1262"/>
        <v>11.066999999999979</v>
      </c>
      <c r="V371" s="12">
        <f t="shared" si="1262"/>
        <v>19.825000000000017</v>
      </c>
      <c r="W371" s="12">
        <f t="shared" si="1262"/>
        <v>41.487999999999971</v>
      </c>
      <c r="X371" s="12">
        <f t="shared" si="1262"/>
        <v>-54.032999999999959</v>
      </c>
      <c r="Y371" s="12">
        <f t="shared" si="1262"/>
        <v>45.637999999999977</v>
      </c>
      <c r="Z371" s="12">
        <f t="shared" si="1262"/>
        <v>73.519999999999982</v>
      </c>
      <c r="AA371" s="12">
        <f t="shared" si="1262"/>
        <v>-33.176999999999964</v>
      </c>
      <c r="AB371" s="12">
        <f t="shared" si="1262"/>
        <v>22.444999999999993</v>
      </c>
      <c r="AC371" s="12">
        <f t="shared" si="1262"/>
        <v>35.283000000000015</v>
      </c>
      <c r="AD371" s="12">
        <f t="shared" si="1262"/>
        <v>25.069061886999975</v>
      </c>
      <c r="AE371" s="12">
        <f t="shared" si="1262"/>
        <v>29.944485391620447</v>
      </c>
      <c r="AF371" s="12">
        <f t="shared" si="1262"/>
        <v>31.160351575906475</v>
      </c>
      <c r="AG371" s="12"/>
      <c r="AH371" s="12"/>
      <c r="AI371" s="12"/>
      <c r="AJ371" s="12"/>
      <c r="AK371" s="12"/>
      <c r="AL371" s="12">
        <f t="shared" ref="AL371:BQ371" si="1263">SUM(AL273:AL274,AL277)-SUM(AK273:AK274,AK277)</f>
        <v>0.81400000000000006</v>
      </c>
      <c r="AM371" s="12">
        <f t="shared" si="1263"/>
        <v>0</v>
      </c>
      <c r="AN371" s="12">
        <f t="shared" si="1263"/>
        <v>0.76399999999999935</v>
      </c>
      <c r="AO371" s="12">
        <f t="shared" si="1263"/>
        <v>-4.5999999999999375E-2</v>
      </c>
      <c r="AP371" s="12">
        <f t="shared" si="1263"/>
        <v>0.17500000000000426</v>
      </c>
      <c r="AQ371" s="12">
        <f t="shared" si="1263"/>
        <v>-0.2830000000000048</v>
      </c>
      <c r="AR371" s="12">
        <f t="shared" si="1263"/>
        <v>0.70400000000000063</v>
      </c>
      <c r="AS371" s="12">
        <f t="shared" si="1263"/>
        <v>8.9000000000002188E-2</v>
      </c>
      <c r="AT371" s="12">
        <f t="shared" si="1263"/>
        <v>0</v>
      </c>
      <c r="AU371" s="12">
        <f t="shared" si="1263"/>
        <v>1.0639999999999965</v>
      </c>
      <c r="AV371" s="12">
        <f t="shared" si="1263"/>
        <v>0.34799999999999898</v>
      </c>
      <c r="AW371" s="12">
        <f t="shared" si="1263"/>
        <v>1.7260000000000062</v>
      </c>
      <c r="AX371" s="12">
        <f t="shared" si="1263"/>
        <v>0.79599999999999937</v>
      </c>
      <c r="AY371" s="12">
        <f t="shared" si="1263"/>
        <v>0.36599999999999966</v>
      </c>
      <c r="AZ371" s="12">
        <f t="shared" si="1263"/>
        <v>1.0279999999999987</v>
      </c>
      <c r="BA371" s="12">
        <f t="shared" si="1263"/>
        <v>2.497000000000007</v>
      </c>
      <c r="BB371" s="12">
        <f t="shared" si="1263"/>
        <v>7.6629999999999967</v>
      </c>
      <c r="BC371" s="12">
        <f t="shared" si="1263"/>
        <v>0.27499999999999858</v>
      </c>
      <c r="BD371" s="12">
        <f t="shared" si="1263"/>
        <v>-6.4999999999997726E-2</v>
      </c>
      <c r="BE371" s="12">
        <f t="shared" si="1263"/>
        <v>-17.248000000000005</v>
      </c>
      <c r="BF371" s="12">
        <f t="shared" si="1263"/>
        <v>0.54999999999999716</v>
      </c>
      <c r="BG371" s="12">
        <f t="shared" si="1263"/>
        <v>0.21500000000000341</v>
      </c>
      <c r="BH371" s="12">
        <f t="shared" si="1263"/>
        <v>0.87299999999999756</v>
      </c>
      <c r="BI371" s="12">
        <f t="shared" si="1263"/>
        <v>2.6310000000000002</v>
      </c>
      <c r="BJ371" s="12">
        <f t="shared" si="1263"/>
        <v>0.5870000000000033</v>
      </c>
      <c r="BK371" s="12">
        <f t="shared" si="1263"/>
        <v>0.78999999999999915</v>
      </c>
      <c r="BL371" s="12">
        <f t="shared" si="1263"/>
        <v>2.2120000000000033</v>
      </c>
      <c r="BM371" s="12">
        <f t="shared" si="1263"/>
        <v>3.9839999999999947</v>
      </c>
      <c r="BN371" s="12">
        <f t="shared" si="1263"/>
        <v>2.1339999999999932</v>
      </c>
      <c r="BO371" s="12">
        <f t="shared" si="1263"/>
        <v>17.406000000000006</v>
      </c>
      <c r="BP371" s="12">
        <f t="shared" si="1263"/>
        <v>-1.6070000000000135</v>
      </c>
      <c r="BQ371" s="12">
        <f t="shared" si="1263"/>
        <v>-21.088999999999992</v>
      </c>
      <c r="BR371" s="12">
        <f t="shared" ref="BR371:CW371" si="1264">SUM(BR273:BR274,BR277)-SUM(BQ273:BQ274,BQ277)</f>
        <v>-1.8000000000000682E-2</v>
      </c>
      <c r="BS371" s="12">
        <f t="shared" si="1264"/>
        <v>0.992999999999995</v>
      </c>
      <c r="BT371" s="12">
        <f t="shared" si="1264"/>
        <v>2.3180000000000049</v>
      </c>
      <c r="BU371" s="12">
        <f t="shared" si="1264"/>
        <v>1.0830000000000055</v>
      </c>
      <c r="BV371" s="12">
        <f t="shared" si="1264"/>
        <v>7.799999999999585E-2</v>
      </c>
      <c r="BW371" s="12">
        <f t="shared" si="1264"/>
        <v>0.17400000000000659</v>
      </c>
      <c r="BX371" s="12">
        <f t="shared" si="1264"/>
        <v>1.2969999999999899</v>
      </c>
      <c r="BY371" s="12">
        <f t="shared" si="1264"/>
        <v>1.0170000000000101</v>
      </c>
      <c r="BZ371" s="12">
        <f t="shared" si="1264"/>
        <v>0.81799999999999073</v>
      </c>
      <c r="CA371" s="12">
        <f t="shared" si="1264"/>
        <v>4.2409999999999997</v>
      </c>
      <c r="CB371" s="12">
        <f t="shared" si="1264"/>
        <v>0.60099999999999909</v>
      </c>
      <c r="CC371" s="12">
        <f t="shared" si="1264"/>
        <v>0.6180000000000021</v>
      </c>
      <c r="CD371" s="12">
        <f t="shared" si="1264"/>
        <v>10.061999999999998</v>
      </c>
      <c r="CE371" s="12">
        <f t="shared" si="1264"/>
        <v>9.5990000000000109</v>
      </c>
      <c r="CF371" s="12">
        <f t="shared" si="1264"/>
        <v>6.3780000000000001</v>
      </c>
      <c r="CG371" s="12">
        <f t="shared" si="1264"/>
        <v>17.314000000000007</v>
      </c>
      <c r="CH371" s="12">
        <f t="shared" si="1264"/>
        <v>8.3549999999999898</v>
      </c>
      <c r="CI371" s="12">
        <f t="shared" si="1264"/>
        <v>17.956000000000017</v>
      </c>
      <c r="CJ371" s="12">
        <f t="shared" si="1264"/>
        <v>6.8779999999999859</v>
      </c>
      <c r="CK371" s="12">
        <f t="shared" si="1264"/>
        <v>-28.51700000000001</v>
      </c>
      <c r="CL371" s="12">
        <f t="shared" si="1264"/>
        <v>-13.496000000000009</v>
      </c>
      <c r="CM371" s="12">
        <f t="shared" si="1264"/>
        <v>2.269999999999996</v>
      </c>
      <c r="CN371" s="12">
        <f t="shared" si="1264"/>
        <v>5.467000000000013</v>
      </c>
      <c r="CO371" s="12">
        <f t="shared" si="1264"/>
        <v>2.5039999999999907</v>
      </c>
      <c r="CP371" s="12">
        <f t="shared" si="1264"/>
        <v>5.6819999999999879</v>
      </c>
      <c r="CQ371" s="12">
        <f t="shared" si="1264"/>
        <v>14.620000000000005</v>
      </c>
      <c r="CR371" s="12">
        <f t="shared" si="1264"/>
        <v>28.084000000000003</v>
      </c>
      <c r="CS371" s="12">
        <f t="shared" si="1264"/>
        <v>2.2980000000000302</v>
      </c>
      <c r="CT371" s="12">
        <f t="shared" si="1264"/>
        <v>2.4249999999999829</v>
      </c>
      <c r="CU371" s="12">
        <f t="shared" si="1264"/>
        <v>2.171999999999997</v>
      </c>
      <c r="CV371" s="12">
        <f t="shared" si="1264"/>
        <v>3.8120000000000118</v>
      </c>
      <c r="CW371" s="12">
        <f t="shared" si="1264"/>
        <v>2.657999999999987</v>
      </c>
      <c r="CX371" s="12">
        <f t="shared" ref="CX371:EC371" si="1265">SUM(CX273:CX274,CX277)-SUM(CW273:CW274,CW277)</f>
        <v>8.4860000000000184</v>
      </c>
      <c r="CY371" s="12">
        <f t="shared" si="1265"/>
        <v>4.1179999999999666</v>
      </c>
      <c r="CZ371" s="12">
        <f t="shared" si="1265"/>
        <v>3.9389999999996519</v>
      </c>
      <c r="DA371" s="12">
        <f t="shared" si="1265"/>
        <v>3.2820000000003802</v>
      </c>
      <c r="DB371" s="12">
        <f t="shared" si="1265"/>
        <v>9.8269999999999982</v>
      </c>
      <c r="DC371" s="12">
        <f t="shared" si="1265"/>
        <v>19.634999999999991</v>
      </c>
      <c r="DD371" s="12">
        <f t="shared" si="1265"/>
        <v>6.1159999999999854</v>
      </c>
      <c r="DE371" s="12">
        <f t="shared" si="1265"/>
        <v>5.9099999999999966</v>
      </c>
      <c r="DF371" s="12">
        <f t="shared" si="1265"/>
        <v>6.1480000000000246</v>
      </c>
      <c r="DG371" s="12">
        <f t="shared" si="1265"/>
        <v>7.1020000000000039</v>
      </c>
      <c r="DH371" s="12">
        <f t="shared" si="1265"/>
        <v>-72.47999999999999</v>
      </c>
      <c r="DI371" s="12">
        <f t="shared" si="1265"/>
        <v>5.1970000000000027</v>
      </c>
      <c r="DJ371" s="12">
        <f t="shared" si="1265"/>
        <v>11.520999999999958</v>
      </c>
      <c r="DK371" s="12">
        <f t="shared" si="1265"/>
        <v>11.271000000000015</v>
      </c>
      <c r="DL371" s="12">
        <f t="shared" si="1265"/>
        <v>7.3489999999999895</v>
      </c>
      <c r="DM371" s="12">
        <f t="shared" si="1265"/>
        <v>15.497000000000014</v>
      </c>
      <c r="DN371" s="12">
        <f t="shared" si="1265"/>
        <v>22.288000000000011</v>
      </c>
      <c r="DO371" s="12">
        <f t="shared" si="1265"/>
        <v>29.254999999999995</v>
      </c>
      <c r="DP371" s="12">
        <f t="shared" si="1265"/>
        <v>14.591000000000008</v>
      </c>
      <c r="DQ371" s="12">
        <f t="shared" si="1265"/>
        <v>7.3859999999999673</v>
      </c>
      <c r="DR371" s="12">
        <f t="shared" si="1265"/>
        <v>-56.258999999999958</v>
      </c>
      <c r="DS371" s="12">
        <f t="shared" si="1265"/>
        <v>7.1189999999999714</v>
      </c>
      <c r="DT371" s="12">
        <f t="shared" si="1265"/>
        <v>5.8620000000000232</v>
      </c>
      <c r="DU371" s="12">
        <f t="shared" si="1265"/>
        <v>10.100999999999999</v>
      </c>
      <c r="DV371" s="12">
        <f t="shared" si="1265"/>
        <v>3.8929999999999723</v>
      </c>
      <c r="DW371" s="12">
        <f t="shared" si="1265"/>
        <v>6.4970000000000709</v>
      </c>
      <c r="DX371" s="12">
        <f t="shared" si="1265"/>
        <v>6.602999999999895</v>
      </c>
      <c r="DY371" s="12">
        <f t="shared" si="1265"/>
        <v>5.452000000000055</v>
      </c>
      <c r="DZ371" s="12">
        <f t="shared" si="1265"/>
        <v>13.783999999999992</v>
      </c>
      <c r="EA371" s="12">
        <f t="shared" si="1265"/>
        <v>6.8809999999999718</v>
      </c>
      <c r="EB371" s="12">
        <f t="shared" si="1265"/>
        <v>7.3129999999999882</v>
      </c>
      <c r="EC371" s="12">
        <f t="shared" si="1265"/>
        <v>7.3050000000000637</v>
      </c>
      <c r="ED371" s="12">
        <f t="shared" ref="ED371:EP371" si="1266">SUM(ED273:ED274,ED277)-SUM(EC273:EC274,EC277)</f>
        <v>3.3799999999999955</v>
      </c>
      <c r="EE371" s="12">
        <f t="shared" si="1266"/>
        <v>7.1578700000000026</v>
      </c>
      <c r="EF371" s="12">
        <f t="shared" si="1266"/>
        <v>7.2294486999999776</v>
      </c>
      <c r="EG371" s="12">
        <f t="shared" si="1266"/>
        <v>7.3017431869999996</v>
      </c>
      <c r="EH371" s="12">
        <f t="shared" si="1266"/>
        <v>7.3747606188700274</v>
      </c>
      <c r="EI371" s="12">
        <f t="shared" si="1266"/>
        <v>7.4485082250587311</v>
      </c>
      <c r="EJ371" s="12">
        <f t="shared" si="1266"/>
        <v>7.5229933073093207</v>
      </c>
      <c r="EK371" s="12">
        <f t="shared" si="1266"/>
        <v>7.5982232403823673</v>
      </c>
      <c r="EL371" s="12">
        <f t="shared" si="1266"/>
        <v>7.6742054727861841</v>
      </c>
      <c r="EM371" s="12">
        <f t="shared" si="1266"/>
        <v>7.7509475275140858</v>
      </c>
      <c r="EN371" s="12">
        <f t="shared" si="1266"/>
        <v>7.8284570027891505</v>
      </c>
      <c r="EO371" s="12">
        <f t="shared" si="1266"/>
        <v>7.9067415728170545</v>
      </c>
      <c r="EP371" s="12">
        <f t="shared" si="1266"/>
        <v>7.9858089885452728</v>
      </c>
      <c r="EQ371" s="12"/>
      <c r="ER371" s="12"/>
      <c r="ES371" s="355">
        <f t="shared" si="1105"/>
        <v>366</v>
      </c>
      <c r="ET371"/>
      <c r="EU371"/>
      <c r="EV371"/>
      <c r="EW371"/>
      <c r="EX371"/>
      <c r="EY37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</row>
    <row r="372" spans="1:257" s="4" customFormat="1" ht="12.75" hidden="1" customHeight="1" outlineLevel="2">
      <c r="A372" s="15"/>
      <c r="B372" s="14" t="s">
        <v>2</v>
      </c>
      <c r="C372" s="13"/>
      <c r="D372" s="12"/>
      <c r="E372" s="12"/>
      <c r="F372" s="12">
        <f t="shared" ref="F372:AF372" si="1267">F238</f>
        <v>-11.965</v>
      </c>
      <c r="G372" s="12">
        <f t="shared" si="1267"/>
        <v>-12.365</v>
      </c>
      <c r="H372" s="12">
        <f t="shared" si="1267"/>
        <v>-12.53</v>
      </c>
      <c r="I372" s="12">
        <f t="shared" si="1267"/>
        <v>-12.97</v>
      </c>
      <c r="J372" s="12">
        <f t="shared" si="1267"/>
        <v>-13.802</v>
      </c>
      <c r="K372" s="12">
        <f t="shared" si="1267"/>
        <v>-13.849</v>
      </c>
      <c r="L372" s="12">
        <f t="shared" si="1267"/>
        <v>-14.175000000000001</v>
      </c>
      <c r="M372" s="12">
        <f t="shared" si="1267"/>
        <v>-15.047000000000001</v>
      </c>
      <c r="N372" s="12">
        <f t="shared" si="1267"/>
        <v>-15.221</v>
      </c>
      <c r="O372" s="12">
        <f t="shared" si="1267"/>
        <v>-16.026</v>
      </c>
      <c r="P372" s="12">
        <f t="shared" si="1267"/>
        <v>-16.222000000000001</v>
      </c>
      <c r="Q372" s="12">
        <f t="shared" si="1267"/>
        <v>-16.866</v>
      </c>
      <c r="R372" s="12">
        <f t="shared" si="1267"/>
        <v>-17.712</v>
      </c>
      <c r="S372" s="12">
        <f t="shared" si="1267"/>
        <v>-18.638000000000002</v>
      </c>
      <c r="T372" s="12">
        <f t="shared" si="1267"/>
        <v>-19.332999999999998</v>
      </c>
      <c r="U372" s="12">
        <f t="shared" si="1267"/>
        <v>-21.111000000000001</v>
      </c>
      <c r="V372" s="12">
        <f t="shared" si="1267"/>
        <v>-22.254000000000001</v>
      </c>
      <c r="W372" s="12">
        <f t="shared" si="1267"/>
        <v>-26.741</v>
      </c>
      <c r="X372" s="12">
        <f t="shared" si="1267"/>
        <v>-30.048999999999999</v>
      </c>
      <c r="Y372" s="12">
        <f t="shared" si="1267"/>
        <v>-93.052999999999997</v>
      </c>
      <c r="Z372" s="12">
        <f t="shared" si="1267"/>
        <v>-264.38600000000002</v>
      </c>
      <c r="AA372" s="12">
        <f t="shared" si="1267"/>
        <v>-298.36700000000002</v>
      </c>
      <c r="AB372" s="12">
        <f t="shared" si="1267"/>
        <v>-300.15199999999999</v>
      </c>
      <c r="AC372" s="12">
        <f t="shared" si="1267"/>
        <v>-305.51499999999999</v>
      </c>
      <c r="AD372" s="12">
        <f t="shared" si="1267"/>
        <v>-305.12390478508536</v>
      </c>
      <c r="AE372" s="12">
        <f t="shared" si="1267"/>
        <v>-304.93457702853658</v>
      </c>
      <c r="AF372" s="12">
        <f t="shared" si="1267"/>
        <v>-305.05656915664241</v>
      </c>
      <c r="AG372" s="12"/>
      <c r="AH372" s="12"/>
      <c r="AI372" s="12"/>
      <c r="AJ372" s="12"/>
      <c r="AK372" s="12"/>
      <c r="AL372" s="12">
        <f t="shared" ref="AL372:BQ372" si="1268">AL238</f>
        <v>-2.956</v>
      </c>
      <c r="AM372" s="12">
        <f t="shared" si="1268"/>
        <v>-2.9600000000000004</v>
      </c>
      <c r="AN372" s="12">
        <f t="shared" si="1268"/>
        <v>-2.9610000000000003</v>
      </c>
      <c r="AO372" s="12">
        <f t="shared" si="1268"/>
        <v>-3.0879999999999992</v>
      </c>
      <c r="AP372" s="12">
        <f t="shared" si="1268"/>
        <v>-3.0840000000000001</v>
      </c>
      <c r="AQ372" s="12">
        <f t="shared" si="1268"/>
        <v>-3.0879999999999996</v>
      </c>
      <c r="AR372" s="12">
        <f t="shared" si="1268"/>
        <v>-3.0930000000000009</v>
      </c>
      <c r="AS372" s="12">
        <f t="shared" si="1268"/>
        <v>-3.0999999999999996</v>
      </c>
      <c r="AT372" s="12">
        <f t="shared" si="1268"/>
        <v>-3.0950000000000002</v>
      </c>
      <c r="AU372" s="12">
        <f t="shared" si="1268"/>
        <v>-3.1089999999999995</v>
      </c>
      <c r="AV372" s="12">
        <f t="shared" si="1268"/>
        <v>-3.1060000000000008</v>
      </c>
      <c r="AW372" s="12">
        <f t="shared" si="1268"/>
        <v>-3.2199999999999989</v>
      </c>
      <c r="AX372" s="12">
        <f t="shared" si="1268"/>
        <v>-3.2429999999999999</v>
      </c>
      <c r="AY372" s="12">
        <f t="shared" si="1268"/>
        <v>-3.2420000000000004</v>
      </c>
      <c r="AZ372" s="12">
        <f t="shared" si="1268"/>
        <v>-3.2480000000000002</v>
      </c>
      <c r="BA372" s="12">
        <f t="shared" si="1268"/>
        <v>-3.2370000000000001</v>
      </c>
      <c r="BB372" s="12">
        <f t="shared" si="1268"/>
        <v>-3.524</v>
      </c>
      <c r="BC372" s="12">
        <f t="shared" si="1268"/>
        <v>-3.2519999999999998</v>
      </c>
      <c r="BD372" s="12">
        <f t="shared" si="1268"/>
        <v>-3.5210000000000008</v>
      </c>
      <c r="BE372" s="12">
        <f t="shared" si="1268"/>
        <v>-3.504999999999999</v>
      </c>
      <c r="BF372" s="12">
        <f t="shared" si="1268"/>
        <v>-3.4580000000000002</v>
      </c>
      <c r="BG372" s="12">
        <f t="shared" si="1268"/>
        <v>-3.4619999999999997</v>
      </c>
      <c r="BH372" s="12">
        <f t="shared" si="1268"/>
        <v>-3.4689999999999994</v>
      </c>
      <c r="BI372" s="12">
        <f t="shared" si="1268"/>
        <v>-3.4600000000000009</v>
      </c>
      <c r="BJ372" s="12">
        <f t="shared" si="1268"/>
        <v>-3.476</v>
      </c>
      <c r="BK372" s="12">
        <f t="shared" si="1268"/>
        <v>-3.4690000000000003</v>
      </c>
      <c r="BL372" s="12">
        <f t="shared" si="1268"/>
        <v>-3.7539999999999996</v>
      </c>
      <c r="BM372" s="12">
        <f t="shared" si="1268"/>
        <v>-3.4760000000000009</v>
      </c>
      <c r="BN372" s="12">
        <f t="shared" si="1268"/>
        <v>-3.7570000000000001</v>
      </c>
      <c r="BO372" s="12">
        <f t="shared" si="1268"/>
        <v>-3.8149999999999999</v>
      </c>
      <c r="BP372" s="12">
        <f t="shared" si="1268"/>
        <v>-3.7939999999999996</v>
      </c>
      <c r="BQ372" s="12">
        <f t="shared" si="1268"/>
        <v>-3.6810000000000009</v>
      </c>
      <c r="BR372" s="12">
        <f t="shared" ref="BR372:CW372" si="1269">BR238</f>
        <v>-3.7469999999999999</v>
      </c>
      <c r="BS372" s="12">
        <f t="shared" si="1269"/>
        <v>-3.742</v>
      </c>
      <c r="BT372" s="12">
        <f t="shared" si="1269"/>
        <v>-3.7510000000000003</v>
      </c>
      <c r="BU372" s="12">
        <f t="shared" si="1269"/>
        <v>-3.9809999999999999</v>
      </c>
      <c r="BV372" s="12">
        <f t="shared" si="1269"/>
        <v>-4.0019999999999998</v>
      </c>
      <c r="BW372" s="12">
        <f t="shared" si="1269"/>
        <v>-4.0019999999999998</v>
      </c>
      <c r="BX372" s="12">
        <f t="shared" si="1269"/>
        <v>-4.0080000000000009</v>
      </c>
      <c r="BY372" s="12">
        <f t="shared" si="1269"/>
        <v>-4.0139999999999993</v>
      </c>
      <c r="BZ372" s="12">
        <f t="shared" si="1269"/>
        <v>-4.0149999999999997</v>
      </c>
      <c r="CA372" s="12">
        <f t="shared" si="1269"/>
        <v>-4.035000000000001</v>
      </c>
      <c r="CB372" s="12">
        <f t="shared" si="1269"/>
        <v>-4.0329999999999995</v>
      </c>
      <c r="CC372" s="12">
        <f t="shared" si="1269"/>
        <v>-4.1390000000000011</v>
      </c>
      <c r="CD372" s="12">
        <f t="shared" si="1269"/>
        <v>-4.1660000000000004</v>
      </c>
      <c r="CE372" s="12">
        <f t="shared" si="1269"/>
        <v>-4.2140000000000004</v>
      </c>
      <c r="CF372" s="12">
        <f t="shared" si="1269"/>
        <v>-4.2269999999999985</v>
      </c>
      <c r="CG372" s="12">
        <f t="shared" si="1269"/>
        <v>-4.2590000000000003</v>
      </c>
      <c r="CH372" s="12">
        <f t="shared" si="1269"/>
        <v>-4.2910000000000004</v>
      </c>
      <c r="CI372" s="12">
        <f t="shared" si="1269"/>
        <v>-4.3330000000000002</v>
      </c>
      <c r="CJ372" s="12">
        <f t="shared" si="1269"/>
        <v>-4.3360000000000003</v>
      </c>
      <c r="CK372" s="12">
        <f t="shared" si="1269"/>
        <v>-4.7519999999999989</v>
      </c>
      <c r="CL372" s="12">
        <f t="shared" si="1269"/>
        <v>-4.6550000000000002</v>
      </c>
      <c r="CM372" s="12">
        <f t="shared" si="1269"/>
        <v>-4.6559999999999997</v>
      </c>
      <c r="CN372" s="12">
        <f t="shared" si="1269"/>
        <v>-4.66</v>
      </c>
      <c r="CO372" s="12">
        <f t="shared" si="1269"/>
        <v>-4.6670000000000016</v>
      </c>
      <c r="CP372" s="12">
        <f t="shared" si="1269"/>
        <v>-4.6680000000000001</v>
      </c>
      <c r="CQ372" s="12">
        <f t="shared" si="1269"/>
        <v>-4.6859999999999991</v>
      </c>
      <c r="CR372" s="12">
        <f t="shared" si="1269"/>
        <v>-4.7060000000000013</v>
      </c>
      <c r="CS372" s="12">
        <f t="shared" si="1269"/>
        <v>-5.2729999999999979</v>
      </c>
      <c r="CT372" s="12">
        <f t="shared" si="1269"/>
        <v>-5.2729999999999997</v>
      </c>
      <c r="CU372" s="12">
        <f t="shared" si="1269"/>
        <v>-5.2750000000000004</v>
      </c>
      <c r="CV372" s="12">
        <f t="shared" si="1269"/>
        <v>-5.2810000000000006</v>
      </c>
      <c r="CW372" s="12">
        <f t="shared" si="1269"/>
        <v>-5.282</v>
      </c>
      <c r="CX372" s="12">
        <f t="shared" ref="CX372:EA372" si="1270">CX238</f>
        <v>-5.2869999999999999</v>
      </c>
      <c r="CY372" s="12">
        <f t="shared" si="1270"/>
        <v>-5.3</v>
      </c>
      <c r="CZ372" s="12">
        <f t="shared" si="1270"/>
        <v>-5.3040000000000012</v>
      </c>
      <c r="DA372" s="12">
        <f t="shared" si="1270"/>
        <v>-6.3629999999999987</v>
      </c>
      <c r="DB372" s="12">
        <f t="shared" si="1270"/>
        <v>-6.3760000000000003</v>
      </c>
      <c r="DC372" s="12">
        <f t="shared" si="1270"/>
        <v>-6.4080000000000004</v>
      </c>
      <c r="DD372" s="12">
        <f t="shared" si="1270"/>
        <v>-6.4380000000000006</v>
      </c>
      <c r="DE372" s="12">
        <f t="shared" si="1270"/>
        <v>-7.5189999999999984</v>
      </c>
      <c r="DF372" s="12">
        <f t="shared" si="1270"/>
        <v>-7.5220000000000002</v>
      </c>
      <c r="DG372" s="12">
        <f t="shared" si="1270"/>
        <v>-7.548</v>
      </c>
      <c r="DH372" s="12">
        <f t="shared" si="1270"/>
        <v>-7.5500000000000007</v>
      </c>
      <c r="DI372" s="12">
        <f t="shared" si="1270"/>
        <v>-7.4289999999999985</v>
      </c>
      <c r="DJ372" s="12">
        <f t="shared" si="1270"/>
        <v>-7.4320000000000004</v>
      </c>
      <c r="DK372" s="12">
        <f t="shared" si="1270"/>
        <v>-16.036999999999999</v>
      </c>
      <c r="DL372" s="12">
        <f t="shared" si="1270"/>
        <v>-16.049999999999997</v>
      </c>
      <c r="DM372" s="12">
        <f t="shared" si="1270"/>
        <v>-53.534000000000006</v>
      </c>
      <c r="DN372" s="12">
        <f t="shared" si="1270"/>
        <v>-53.86</v>
      </c>
      <c r="DO372" s="12">
        <f t="shared" si="1270"/>
        <v>-67.685000000000002</v>
      </c>
      <c r="DP372" s="12">
        <f t="shared" si="1270"/>
        <v>-67.997</v>
      </c>
      <c r="DQ372" s="12">
        <f t="shared" si="1270"/>
        <v>-74.844000000000008</v>
      </c>
      <c r="DR372" s="12">
        <f t="shared" si="1270"/>
        <v>-74.822000000000003</v>
      </c>
      <c r="DS372" s="12">
        <f t="shared" si="1270"/>
        <v>-74.525000000000006</v>
      </c>
      <c r="DT372" s="12">
        <f t="shared" si="1270"/>
        <v>-74.47999999999999</v>
      </c>
      <c r="DU372" s="12">
        <f t="shared" si="1270"/>
        <v>-74.54000000000002</v>
      </c>
      <c r="DV372" s="12">
        <f t="shared" si="1270"/>
        <v>-74.56</v>
      </c>
      <c r="DW372" s="12">
        <f t="shared" si="1270"/>
        <v>-74.740000000000009</v>
      </c>
      <c r="DX372" s="12">
        <f t="shared" si="1270"/>
        <v>-74.739999999999981</v>
      </c>
      <c r="DY372" s="12">
        <f t="shared" si="1270"/>
        <v>-76.111999999999995</v>
      </c>
      <c r="DZ372" s="12">
        <f t="shared" si="1270"/>
        <v>-76.176000000000002</v>
      </c>
      <c r="EA372" s="12">
        <f t="shared" si="1270"/>
        <v>-76.440999999999988</v>
      </c>
      <c r="EB372" s="12">
        <f t="shared" ref="EB372:EC372" si="1271">EB238</f>
        <v>-76.444000000000003</v>
      </c>
      <c r="EC372" s="12">
        <f t="shared" si="1271"/>
        <v>-76.453999999999994</v>
      </c>
      <c r="ED372" s="12">
        <f t="shared" ref="ED372:EP372" si="1272">ED238</f>
        <v>-76.503</v>
      </c>
      <c r="EE372" s="12">
        <f t="shared" si="1272"/>
        <v>-76.19934807288999</v>
      </c>
      <c r="EF372" s="12">
        <f t="shared" si="1272"/>
        <v>-76.206968007697284</v>
      </c>
      <c r="EG372" s="12">
        <f t="shared" si="1272"/>
        <v>-76.214588704498041</v>
      </c>
      <c r="EH372" s="12">
        <f t="shared" si="1272"/>
        <v>-76.222210163368487</v>
      </c>
      <c r="EI372" s="12">
        <f t="shared" si="1272"/>
        <v>-76.229832384384821</v>
      </c>
      <c r="EJ372" s="12">
        <f t="shared" si="1272"/>
        <v>-76.237455367623255</v>
      </c>
      <c r="EK372" s="12">
        <f t="shared" si="1272"/>
        <v>-76.245079113160031</v>
      </c>
      <c r="EL372" s="12">
        <f t="shared" si="1272"/>
        <v>-76.252703621071348</v>
      </c>
      <c r="EM372" s="12">
        <f t="shared" si="1272"/>
        <v>-76.260328891433446</v>
      </c>
      <c r="EN372" s="12">
        <f t="shared" si="1272"/>
        <v>-76.267954924322581</v>
      </c>
      <c r="EO372" s="12">
        <f t="shared" si="1272"/>
        <v>-76.275581719815023</v>
      </c>
      <c r="EP372" s="12">
        <f t="shared" si="1272"/>
        <v>-76.283209277987012</v>
      </c>
      <c r="EQ372" s="12"/>
      <c r="ER372" s="12"/>
      <c r="ES372" s="355">
        <f t="shared" si="1105"/>
        <v>367</v>
      </c>
      <c r="ET372"/>
      <c r="EU372"/>
      <c r="EV372"/>
      <c r="EW372"/>
      <c r="EX372"/>
      <c r="EY372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</row>
    <row r="373" spans="1:257" s="4" customFormat="1" ht="12.75" hidden="1" customHeight="1" outlineLevel="2">
      <c r="A373" s="15"/>
      <c r="B373" s="14" t="s">
        <v>1</v>
      </c>
      <c r="C373" s="13"/>
      <c r="D373" s="12"/>
      <c r="E373" s="12"/>
      <c r="F373" s="12">
        <f t="shared" ref="F373:AF373" si="1273">F276-E276</f>
        <v>0</v>
      </c>
      <c r="G373" s="12">
        <f t="shared" si="1273"/>
        <v>38.003999999999998</v>
      </c>
      <c r="H373" s="12">
        <f t="shared" si="1273"/>
        <v>18.545999999999999</v>
      </c>
      <c r="I373" s="12">
        <f t="shared" si="1273"/>
        <v>57.903999999999996</v>
      </c>
      <c r="J373" s="12">
        <f t="shared" si="1273"/>
        <v>-65.36999999999999</v>
      </c>
      <c r="K373" s="12">
        <f t="shared" si="1273"/>
        <v>21.611000000000004</v>
      </c>
      <c r="L373" s="12">
        <f t="shared" si="1273"/>
        <v>32.091999999999985</v>
      </c>
      <c r="M373" s="12">
        <f t="shared" si="1273"/>
        <v>-55.289999999999992</v>
      </c>
      <c r="N373" s="12">
        <f t="shared" si="1273"/>
        <v>-31.506999999999998</v>
      </c>
      <c r="O373" s="12">
        <f t="shared" si="1273"/>
        <v>17.667999999999999</v>
      </c>
      <c r="P373" s="12">
        <f t="shared" si="1273"/>
        <v>2.5940000000000012</v>
      </c>
      <c r="Q373" s="12">
        <f t="shared" si="1273"/>
        <v>11.157999999999994</v>
      </c>
      <c r="R373" s="12">
        <f t="shared" si="1273"/>
        <v>22.234999999999999</v>
      </c>
      <c r="S373" s="12">
        <f t="shared" si="1273"/>
        <v>6.2400000000000091</v>
      </c>
      <c r="T373" s="12">
        <f t="shared" si="1273"/>
        <v>-37.478000000000009</v>
      </c>
      <c r="U373" s="12">
        <f t="shared" si="1273"/>
        <v>74.043999999999997</v>
      </c>
      <c r="V373" s="12">
        <f t="shared" si="1273"/>
        <v>-28.343999999999994</v>
      </c>
      <c r="W373" s="12">
        <f t="shared" si="1273"/>
        <v>14.801000000000002</v>
      </c>
      <c r="X373" s="12">
        <f t="shared" si="1273"/>
        <v>67.898999999999987</v>
      </c>
      <c r="Y373" s="12">
        <f t="shared" si="1273"/>
        <v>-34.276999999999987</v>
      </c>
      <c r="Z373" s="12">
        <f t="shared" si="1273"/>
        <v>-49.403999999999996</v>
      </c>
      <c r="AA373" s="12">
        <f t="shared" si="1273"/>
        <v>-84.503</v>
      </c>
      <c r="AB373" s="12">
        <f t="shared" si="1273"/>
        <v>1.173</v>
      </c>
      <c r="AC373" s="12">
        <f t="shared" si="1273"/>
        <v>2.504</v>
      </c>
      <c r="AD373" s="12">
        <f t="shared" si="1273"/>
        <v>-0.26099999999999968</v>
      </c>
      <c r="AE373" s="12">
        <f t="shared" si="1273"/>
        <v>0</v>
      </c>
      <c r="AF373" s="12">
        <f t="shared" si="1273"/>
        <v>0</v>
      </c>
      <c r="AG373" s="12"/>
      <c r="AH373" s="12"/>
      <c r="AI373" s="12"/>
      <c r="AJ373" s="12"/>
      <c r="AK373" s="12"/>
      <c r="AL373" s="12">
        <f t="shared" ref="AL373:BQ373" si="1274">AL276-AK276</f>
        <v>0</v>
      </c>
      <c r="AM373" s="12">
        <f t="shared" si="1274"/>
        <v>0</v>
      </c>
      <c r="AN373" s="12">
        <f t="shared" si="1274"/>
        <v>0</v>
      </c>
      <c r="AO373" s="12">
        <f t="shared" si="1274"/>
        <v>0</v>
      </c>
      <c r="AP373" s="12">
        <f t="shared" si="1274"/>
        <v>30.7</v>
      </c>
      <c r="AQ373" s="12">
        <f t="shared" si="1274"/>
        <v>5.1359999999999992</v>
      </c>
      <c r="AR373" s="12">
        <f t="shared" si="1274"/>
        <v>1.0290000000000035</v>
      </c>
      <c r="AS373" s="12">
        <f t="shared" si="1274"/>
        <v>1.1389999999999958</v>
      </c>
      <c r="AT373" s="12">
        <f t="shared" si="1274"/>
        <v>5.328000000000003</v>
      </c>
      <c r="AU373" s="12">
        <f t="shared" si="1274"/>
        <v>7.3629999999999995</v>
      </c>
      <c r="AV373" s="12">
        <f t="shared" si="1274"/>
        <v>5.3860000000000028</v>
      </c>
      <c r="AW373" s="12">
        <f t="shared" si="1274"/>
        <v>0.46899999999999409</v>
      </c>
      <c r="AX373" s="12">
        <f t="shared" si="1274"/>
        <v>13.225000000000009</v>
      </c>
      <c r="AY373" s="12">
        <f t="shared" si="1274"/>
        <v>-1.6910000000000025</v>
      </c>
      <c r="AZ373" s="12">
        <f t="shared" si="1274"/>
        <v>14.448999999999998</v>
      </c>
      <c r="BA373" s="12">
        <f t="shared" si="1274"/>
        <v>31.920999999999992</v>
      </c>
      <c r="BB373" s="12">
        <f t="shared" si="1274"/>
        <v>-12.686999999999998</v>
      </c>
      <c r="BC373" s="12">
        <f t="shared" si="1274"/>
        <v>1.1550000000000011</v>
      </c>
      <c r="BD373" s="12">
        <f t="shared" si="1274"/>
        <v>-20.441999999999993</v>
      </c>
      <c r="BE373" s="12">
        <f t="shared" si="1274"/>
        <v>-33.396000000000001</v>
      </c>
      <c r="BF373" s="12">
        <f t="shared" si="1274"/>
        <v>-1.4550000000000054</v>
      </c>
      <c r="BG373" s="12">
        <f t="shared" si="1274"/>
        <v>11.100000000000001</v>
      </c>
      <c r="BH373" s="12">
        <f t="shared" si="1274"/>
        <v>11.568000000000012</v>
      </c>
      <c r="BI373" s="12">
        <f t="shared" si="1274"/>
        <v>0.39799999999999613</v>
      </c>
      <c r="BJ373" s="12">
        <f t="shared" si="1274"/>
        <v>3.9249999999999829</v>
      </c>
      <c r="BK373" s="12">
        <f t="shared" si="1274"/>
        <v>21.499000000000009</v>
      </c>
      <c r="BL373" s="12">
        <f t="shared" si="1274"/>
        <v>-9.5700000000000074</v>
      </c>
      <c r="BM373" s="12">
        <f t="shared" si="1274"/>
        <v>16.238</v>
      </c>
      <c r="BN373" s="12">
        <f t="shared" si="1274"/>
        <v>-7.3810000000000002</v>
      </c>
      <c r="BO373" s="12">
        <f t="shared" si="1274"/>
        <v>-27.625</v>
      </c>
      <c r="BP373" s="12">
        <f t="shared" si="1274"/>
        <v>1.3120000000000118</v>
      </c>
      <c r="BQ373" s="12">
        <f t="shared" si="1274"/>
        <v>-21.596000000000004</v>
      </c>
      <c r="BR373" s="12">
        <f t="shared" ref="BR373:CW373" si="1275">BR276-BQ276</f>
        <v>17.695000000000007</v>
      </c>
      <c r="BS373" s="12">
        <f t="shared" si="1275"/>
        <v>3.9000000000000057</v>
      </c>
      <c r="BT373" s="12">
        <f t="shared" si="1275"/>
        <v>-33.352000000000011</v>
      </c>
      <c r="BU373" s="12">
        <f t="shared" si="1275"/>
        <v>-19.75</v>
      </c>
      <c r="BV373" s="12">
        <f t="shared" si="1275"/>
        <v>6.2409999999999979</v>
      </c>
      <c r="BW373" s="12">
        <f t="shared" si="1275"/>
        <v>-3.6509999999999998</v>
      </c>
      <c r="BX373" s="12">
        <f t="shared" si="1275"/>
        <v>13.128</v>
      </c>
      <c r="BY373" s="12">
        <f t="shared" si="1275"/>
        <v>1.9500000000000028</v>
      </c>
      <c r="BZ373" s="12">
        <f t="shared" si="1275"/>
        <v>6.3639999999999972</v>
      </c>
      <c r="CA373" s="12">
        <f t="shared" si="1275"/>
        <v>4.6910000000000025</v>
      </c>
      <c r="CB373" s="12">
        <f t="shared" si="1275"/>
        <v>-1.1980000000000004</v>
      </c>
      <c r="CC373" s="12">
        <f t="shared" si="1275"/>
        <v>-7.2629999999999981</v>
      </c>
      <c r="CD373" s="12">
        <f t="shared" si="1275"/>
        <v>0.87299999999999756</v>
      </c>
      <c r="CE373" s="12">
        <f t="shared" si="1275"/>
        <v>1.8350000000000009</v>
      </c>
      <c r="CF373" s="12">
        <f t="shared" si="1275"/>
        <v>4.6229999999999976</v>
      </c>
      <c r="CG373" s="12">
        <f t="shared" si="1275"/>
        <v>3.8269999999999982</v>
      </c>
      <c r="CH373" s="12">
        <f t="shared" si="1275"/>
        <v>8.3780000000000001</v>
      </c>
      <c r="CI373" s="12">
        <f t="shared" si="1275"/>
        <v>23.012</v>
      </c>
      <c r="CJ373" s="12">
        <f t="shared" si="1275"/>
        <v>-4.1940000000000026</v>
      </c>
      <c r="CK373" s="12">
        <f t="shared" si="1275"/>
        <v>-4.9609999999999985</v>
      </c>
      <c r="CL373" s="12">
        <f t="shared" si="1275"/>
        <v>-16.236999999999995</v>
      </c>
      <c r="CM373" s="12">
        <f t="shared" si="1275"/>
        <v>6.3399999999999963</v>
      </c>
      <c r="CN373" s="12">
        <f t="shared" si="1275"/>
        <v>-0.6109999999999971</v>
      </c>
      <c r="CO373" s="12">
        <f t="shared" si="1275"/>
        <v>16.748000000000005</v>
      </c>
      <c r="CP373" s="12">
        <f t="shared" si="1275"/>
        <v>-5.2870000000000061</v>
      </c>
      <c r="CQ373" s="12">
        <f t="shared" si="1275"/>
        <v>-11.902999999999999</v>
      </c>
      <c r="CR373" s="12">
        <f t="shared" si="1275"/>
        <v>3.9200000000000017</v>
      </c>
      <c r="CS373" s="12">
        <f t="shared" si="1275"/>
        <v>-24.208000000000006</v>
      </c>
      <c r="CT373" s="12">
        <f t="shared" si="1275"/>
        <v>-21.450999999999997</v>
      </c>
      <c r="CU373" s="12">
        <f t="shared" si="1275"/>
        <v>-1.0259999999999998</v>
      </c>
      <c r="CV373" s="12">
        <f t="shared" si="1275"/>
        <v>56.317</v>
      </c>
      <c r="CW373" s="12">
        <f t="shared" si="1275"/>
        <v>40.203999999999994</v>
      </c>
      <c r="CX373" s="12">
        <f t="shared" ref="CX373:EC373" si="1276">CX276-CW276</f>
        <v>6.554000000000002</v>
      </c>
      <c r="CY373" s="12">
        <f t="shared" si="1276"/>
        <v>-6.75</v>
      </c>
      <c r="CZ373" s="12">
        <f t="shared" si="1276"/>
        <v>-50.124999999999993</v>
      </c>
      <c r="DA373" s="12">
        <f t="shared" si="1276"/>
        <v>21.976999999999997</v>
      </c>
      <c r="DB373" s="12">
        <f t="shared" si="1276"/>
        <v>48.305000000000007</v>
      </c>
      <c r="DC373" s="12">
        <f t="shared" si="1276"/>
        <v>51.670999999999992</v>
      </c>
      <c r="DD373" s="12">
        <f t="shared" si="1276"/>
        <v>-15.179000000000002</v>
      </c>
      <c r="DE373" s="12">
        <f t="shared" si="1276"/>
        <v>-69.995999999999995</v>
      </c>
      <c r="DF373" s="12">
        <f t="shared" si="1276"/>
        <v>32.876999999999995</v>
      </c>
      <c r="DG373" s="12">
        <f t="shared" si="1276"/>
        <v>27.019000000000005</v>
      </c>
      <c r="DH373" s="12">
        <f t="shared" si="1276"/>
        <v>-37.516000000000005</v>
      </c>
      <c r="DI373" s="12">
        <f t="shared" si="1276"/>
        <v>45.518999999999991</v>
      </c>
      <c r="DJ373" s="12">
        <f t="shared" si="1276"/>
        <v>0.29900000000000659</v>
      </c>
      <c r="DK373" s="12">
        <f t="shared" si="1276"/>
        <v>37.948000000000008</v>
      </c>
      <c r="DL373" s="12">
        <f t="shared" si="1276"/>
        <v>-99.597000000000008</v>
      </c>
      <c r="DM373" s="12">
        <f t="shared" si="1276"/>
        <v>27.073000000000008</v>
      </c>
      <c r="DN373" s="12">
        <f t="shared" si="1276"/>
        <v>-2.813999999999993</v>
      </c>
      <c r="DO373" s="12">
        <f t="shared" si="1276"/>
        <v>-16.291000000000011</v>
      </c>
      <c r="DP373" s="12">
        <f t="shared" si="1276"/>
        <v>-0.98000000000000398</v>
      </c>
      <c r="DQ373" s="12">
        <f t="shared" si="1276"/>
        <v>-29.318999999999988</v>
      </c>
      <c r="DR373" s="12">
        <f t="shared" si="1276"/>
        <v>-42.048000000000002</v>
      </c>
      <c r="DS373" s="12">
        <f t="shared" si="1276"/>
        <v>-1.0060000000000002</v>
      </c>
      <c r="DT373" s="12">
        <f t="shared" si="1276"/>
        <v>-3.1099999999999994</v>
      </c>
      <c r="DU373" s="12">
        <f t="shared" si="1276"/>
        <v>-38.339000000000006</v>
      </c>
      <c r="DV373" s="12">
        <f t="shared" si="1276"/>
        <v>-10.696999999999999</v>
      </c>
      <c r="DW373" s="12">
        <f t="shared" si="1276"/>
        <v>-1.1400000000000006</v>
      </c>
      <c r="DX373" s="12">
        <f t="shared" si="1276"/>
        <v>10.058</v>
      </c>
      <c r="DY373" s="12">
        <f t="shared" si="1276"/>
        <v>2.952</v>
      </c>
      <c r="DZ373" s="12">
        <f t="shared" si="1276"/>
        <v>12.778</v>
      </c>
      <c r="EA373" s="12">
        <f t="shared" si="1276"/>
        <v>-10.141</v>
      </c>
      <c r="EB373" s="12">
        <f t="shared" si="1276"/>
        <v>-6.5339999999999998</v>
      </c>
      <c r="EC373" s="12">
        <f t="shared" si="1276"/>
        <v>6.4009999999999998</v>
      </c>
      <c r="ED373" s="12">
        <f t="shared" ref="ED373:EP373" si="1277">ED276-EC276</f>
        <v>-0.26099999999999968</v>
      </c>
      <c r="EE373" s="12">
        <f t="shared" si="1277"/>
        <v>0</v>
      </c>
      <c r="EF373" s="12">
        <f t="shared" si="1277"/>
        <v>0</v>
      </c>
      <c r="EG373" s="12">
        <f t="shared" si="1277"/>
        <v>0</v>
      </c>
      <c r="EH373" s="12">
        <f t="shared" si="1277"/>
        <v>0</v>
      </c>
      <c r="EI373" s="12">
        <f t="shared" si="1277"/>
        <v>0</v>
      </c>
      <c r="EJ373" s="12">
        <f t="shared" si="1277"/>
        <v>0</v>
      </c>
      <c r="EK373" s="12">
        <f t="shared" si="1277"/>
        <v>0</v>
      </c>
      <c r="EL373" s="12">
        <f t="shared" si="1277"/>
        <v>0</v>
      </c>
      <c r="EM373" s="12">
        <f t="shared" si="1277"/>
        <v>0</v>
      </c>
      <c r="EN373" s="12">
        <f t="shared" si="1277"/>
        <v>0</v>
      </c>
      <c r="EO373" s="12">
        <f t="shared" si="1277"/>
        <v>0</v>
      </c>
      <c r="EP373" s="12">
        <f t="shared" si="1277"/>
        <v>0</v>
      </c>
      <c r="EQ373" s="12"/>
      <c r="ER373" s="12"/>
      <c r="ES373" s="355">
        <f t="shared" si="1105"/>
        <v>368</v>
      </c>
      <c r="ET373"/>
      <c r="EU373"/>
      <c r="EV373"/>
      <c r="EW373"/>
      <c r="EX373"/>
      <c r="EY373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</row>
    <row r="374" spans="1:257" s="10" customFormat="1" outlineLevel="1" collapsed="1">
      <c r="A374" s="9"/>
      <c r="AG374" s="5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S374" s="355">
        <f t="shared" si="1105"/>
        <v>369</v>
      </c>
      <c r="ET374"/>
      <c r="EU374"/>
      <c r="EV374"/>
      <c r="EW374"/>
      <c r="EX374"/>
      <c r="EY374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</row>
    <row r="375" spans="1:257" customFormat="1" ht="11.45" customHeight="1"/>
  </sheetData>
  <conditionalFormatting sqref="DE2:EP2">
    <cfRule type="cellIs" dxfId="6" priority="7" stopIfTrue="1" operator="equal">
      <formula>0</formula>
    </cfRule>
  </conditionalFormatting>
  <conditionalFormatting sqref="DO280:EP280">
    <cfRule type="cellIs" dxfId="5" priority="6" stopIfTrue="1" operator="equal">
      <formula>0</formula>
    </cfRule>
  </conditionalFormatting>
  <conditionalFormatting sqref="W280:AF280">
    <cfRule type="cellIs" dxfId="4" priority="5" stopIfTrue="1" operator="equal">
      <formula>0</formula>
    </cfRule>
  </conditionalFormatting>
  <conditionalFormatting sqref="AL247:EC247 EE247:EP247">
    <cfRule type="cellIs" dxfId="3" priority="4" stopIfTrue="1" operator="equal">
      <formula>0</formula>
    </cfRule>
  </conditionalFormatting>
  <conditionalFormatting sqref="W247:AF247">
    <cfRule type="cellIs" dxfId="2" priority="3" stopIfTrue="1" operator="equal">
      <formula>0</formula>
    </cfRule>
  </conditionalFormatting>
  <conditionalFormatting sqref="X2:AE2">
    <cfRule type="cellIs" dxfId="1" priority="2" stopIfTrue="1" operator="equal">
      <formula>0</formula>
    </cfRule>
  </conditionalFormatting>
  <conditionalFormatting sqref="ED247">
    <cfRule type="cellIs" dxfId="0" priority="1" stopIfTrue="1" operator="equal">
      <formula>0</formula>
    </cfRule>
  </conditionalFormatting>
  <pageMargins left="0" right="0" top="0" bottom="0" header="0" footer="0"/>
  <pageSetup paperSize="5" orientation="landscape" r:id="rId1"/>
  <headerFooter alignWithMargins="0">
    <oddHeader>&amp;LMorgan Stanley
&amp;8Helmerich &amp; Payne (HP) Earnings Model</oddHeader>
    <oddFooter>&amp;R&amp;P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34.5" style="1" bestFit="1" customWidth="1"/>
    <col min="2" max="2" width="23.1640625" style="392" customWidth="1"/>
    <col min="3" max="3" width="14" style="1" bestFit="1" customWidth="1"/>
    <col min="4" max="256" width="9.33203125" style="1"/>
    <col min="257" max="257" width="34.5" style="1" bestFit="1" customWidth="1"/>
    <col min="258" max="258" width="23.1640625" style="1" customWidth="1"/>
    <col min="259" max="259" width="14" style="1" bestFit="1" customWidth="1"/>
    <col min="260" max="512" width="9.33203125" style="1"/>
    <col min="513" max="513" width="34.5" style="1" bestFit="1" customWidth="1"/>
    <col min="514" max="514" width="23.1640625" style="1" customWidth="1"/>
    <col min="515" max="515" width="14" style="1" bestFit="1" customWidth="1"/>
    <col min="516" max="768" width="9.33203125" style="1"/>
    <col min="769" max="769" width="34.5" style="1" bestFit="1" customWidth="1"/>
    <col min="770" max="770" width="23.1640625" style="1" customWidth="1"/>
    <col min="771" max="771" width="14" style="1" bestFit="1" customWidth="1"/>
    <col min="772" max="1024" width="9.33203125" style="1"/>
    <col min="1025" max="1025" width="34.5" style="1" bestFit="1" customWidth="1"/>
    <col min="1026" max="1026" width="23.1640625" style="1" customWidth="1"/>
    <col min="1027" max="1027" width="14" style="1" bestFit="1" customWidth="1"/>
    <col min="1028" max="1280" width="9.33203125" style="1"/>
    <col min="1281" max="1281" width="34.5" style="1" bestFit="1" customWidth="1"/>
    <col min="1282" max="1282" width="23.1640625" style="1" customWidth="1"/>
    <col min="1283" max="1283" width="14" style="1" bestFit="1" customWidth="1"/>
    <col min="1284" max="1536" width="9.33203125" style="1"/>
    <col min="1537" max="1537" width="34.5" style="1" bestFit="1" customWidth="1"/>
    <col min="1538" max="1538" width="23.1640625" style="1" customWidth="1"/>
    <col min="1539" max="1539" width="14" style="1" bestFit="1" customWidth="1"/>
    <col min="1540" max="1792" width="9.33203125" style="1"/>
    <col min="1793" max="1793" width="34.5" style="1" bestFit="1" customWidth="1"/>
    <col min="1794" max="1794" width="23.1640625" style="1" customWidth="1"/>
    <col min="1795" max="1795" width="14" style="1" bestFit="1" customWidth="1"/>
    <col min="1796" max="2048" width="9.33203125" style="1"/>
    <col min="2049" max="2049" width="34.5" style="1" bestFit="1" customWidth="1"/>
    <col min="2050" max="2050" width="23.1640625" style="1" customWidth="1"/>
    <col min="2051" max="2051" width="14" style="1" bestFit="1" customWidth="1"/>
    <col min="2052" max="2304" width="9.33203125" style="1"/>
    <col min="2305" max="2305" width="34.5" style="1" bestFit="1" customWidth="1"/>
    <col min="2306" max="2306" width="23.1640625" style="1" customWidth="1"/>
    <col min="2307" max="2307" width="14" style="1" bestFit="1" customWidth="1"/>
    <col min="2308" max="2560" width="9.33203125" style="1"/>
    <col min="2561" max="2561" width="34.5" style="1" bestFit="1" customWidth="1"/>
    <col min="2562" max="2562" width="23.1640625" style="1" customWidth="1"/>
    <col min="2563" max="2563" width="14" style="1" bestFit="1" customWidth="1"/>
    <col min="2564" max="2816" width="9.33203125" style="1"/>
    <col min="2817" max="2817" width="34.5" style="1" bestFit="1" customWidth="1"/>
    <col min="2818" max="2818" width="23.1640625" style="1" customWidth="1"/>
    <col min="2819" max="2819" width="14" style="1" bestFit="1" customWidth="1"/>
    <col min="2820" max="3072" width="9.33203125" style="1"/>
    <col min="3073" max="3073" width="34.5" style="1" bestFit="1" customWidth="1"/>
    <col min="3074" max="3074" width="23.1640625" style="1" customWidth="1"/>
    <col min="3075" max="3075" width="14" style="1" bestFit="1" customWidth="1"/>
    <col min="3076" max="3328" width="9.33203125" style="1"/>
    <col min="3329" max="3329" width="34.5" style="1" bestFit="1" customWidth="1"/>
    <col min="3330" max="3330" width="23.1640625" style="1" customWidth="1"/>
    <col min="3331" max="3331" width="14" style="1" bestFit="1" customWidth="1"/>
    <col min="3332" max="3584" width="9.33203125" style="1"/>
    <col min="3585" max="3585" width="34.5" style="1" bestFit="1" customWidth="1"/>
    <col min="3586" max="3586" width="23.1640625" style="1" customWidth="1"/>
    <col min="3587" max="3587" width="14" style="1" bestFit="1" customWidth="1"/>
    <col min="3588" max="3840" width="9.33203125" style="1"/>
    <col min="3841" max="3841" width="34.5" style="1" bestFit="1" customWidth="1"/>
    <col min="3842" max="3842" width="23.1640625" style="1" customWidth="1"/>
    <col min="3843" max="3843" width="14" style="1" bestFit="1" customWidth="1"/>
    <col min="3844" max="4096" width="9.33203125" style="1"/>
    <col min="4097" max="4097" width="34.5" style="1" bestFit="1" customWidth="1"/>
    <col min="4098" max="4098" width="23.1640625" style="1" customWidth="1"/>
    <col min="4099" max="4099" width="14" style="1" bestFit="1" customWidth="1"/>
    <col min="4100" max="4352" width="9.33203125" style="1"/>
    <col min="4353" max="4353" width="34.5" style="1" bestFit="1" customWidth="1"/>
    <col min="4354" max="4354" width="23.1640625" style="1" customWidth="1"/>
    <col min="4355" max="4355" width="14" style="1" bestFit="1" customWidth="1"/>
    <col min="4356" max="4608" width="9.33203125" style="1"/>
    <col min="4609" max="4609" width="34.5" style="1" bestFit="1" customWidth="1"/>
    <col min="4610" max="4610" width="23.1640625" style="1" customWidth="1"/>
    <col min="4611" max="4611" width="14" style="1" bestFit="1" customWidth="1"/>
    <col min="4612" max="4864" width="9.33203125" style="1"/>
    <col min="4865" max="4865" width="34.5" style="1" bestFit="1" customWidth="1"/>
    <col min="4866" max="4866" width="23.1640625" style="1" customWidth="1"/>
    <col min="4867" max="4867" width="14" style="1" bestFit="1" customWidth="1"/>
    <col min="4868" max="5120" width="9.33203125" style="1"/>
    <col min="5121" max="5121" width="34.5" style="1" bestFit="1" customWidth="1"/>
    <col min="5122" max="5122" width="23.1640625" style="1" customWidth="1"/>
    <col min="5123" max="5123" width="14" style="1" bestFit="1" customWidth="1"/>
    <col min="5124" max="5376" width="9.33203125" style="1"/>
    <col min="5377" max="5377" width="34.5" style="1" bestFit="1" customWidth="1"/>
    <col min="5378" max="5378" width="23.1640625" style="1" customWidth="1"/>
    <col min="5379" max="5379" width="14" style="1" bestFit="1" customWidth="1"/>
    <col min="5380" max="5632" width="9.33203125" style="1"/>
    <col min="5633" max="5633" width="34.5" style="1" bestFit="1" customWidth="1"/>
    <col min="5634" max="5634" width="23.1640625" style="1" customWidth="1"/>
    <col min="5635" max="5635" width="14" style="1" bestFit="1" customWidth="1"/>
    <col min="5636" max="5888" width="9.33203125" style="1"/>
    <col min="5889" max="5889" width="34.5" style="1" bestFit="1" customWidth="1"/>
    <col min="5890" max="5890" width="23.1640625" style="1" customWidth="1"/>
    <col min="5891" max="5891" width="14" style="1" bestFit="1" customWidth="1"/>
    <col min="5892" max="6144" width="9.33203125" style="1"/>
    <col min="6145" max="6145" width="34.5" style="1" bestFit="1" customWidth="1"/>
    <col min="6146" max="6146" width="23.1640625" style="1" customWidth="1"/>
    <col min="6147" max="6147" width="14" style="1" bestFit="1" customWidth="1"/>
    <col min="6148" max="6400" width="9.33203125" style="1"/>
    <col min="6401" max="6401" width="34.5" style="1" bestFit="1" customWidth="1"/>
    <col min="6402" max="6402" width="23.1640625" style="1" customWidth="1"/>
    <col min="6403" max="6403" width="14" style="1" bestFit="1" customWidth="1"/>
    <col min="6404" max="6656" width="9.33203125" style="1"/>
    <col min="6657" max="6657" width="34.5" style="1" bestFit="1" customWidth="1"/>
    <col min="6658" max="6658" width="23.1640625" style="1" customWidth="1"/>
    <col min="6659" max="6659" width="14" style="1" bestFit="1" customWidth="1"/>
    <col min="6660" max="6912" width="9.33203125" style="1"/>
    <col min="6913" max="6913" width="34.5" style="1" bestFit="1" customWidth="1"/>
    <col min="6914" max="6914" width="23.1640625" style="1" customWidth="1"/>
    <col min="6915" max="6915" width="14" style="1" bestFit="1" customWidth="1"/>
    <col min="6916" max="7168" width="9.33203125" style="1"/>
    <col min="7169" max="7169" width="34.5" style="1" bestFit="1" customWidth="1"/>
    <col min="7170" max="7170" width="23.1640625" style="1" customWidth="1"/>
    <col min="7171" max="7171" width="14" style="1" bestFit="1" customWidth="1"/>
    <col min="7172" max="7424" width="9.33203125" style="1"/>
    <col min="7425" max="7425" width="34.5" style="1" bestFit="1" customWidth="1"/>
    <col min="7426" max="7426" width="23.1640625" style="1" customWidth="1"/>
    <col min="7427" max="7427" width="14" style="1" bestFit="1" customWidth="1"/>
    <col min="7428" max="7680" width="9.33203125" style="1"/>
    <col min="7681" max="7681" width="34.5" style="1" bestFit="1" customWidth="1"/>
    <col min="7682" max="7682" width="23.1640625" style="1" customWidth="1"/>
    <col min="7683" max="7683" width="14" style="1" bestFit="1" customWidth="1"/>
    <col min="7684" max="7936" width="9.33203125" style="1"/>
    <col min="7937" max="7937" width="34.5" style="1" bestFit="1" customWidth="1"/>
    <col min="7938" max="7938" width="23.1640625" style="1" customWidth="1"/>
    <col min="7939" max="7939" width="14" style="1" bestFit="1" customWidth="1"/>
    <col min="7940" max="8192" width="9.33203125" style="1"/>
    <col min="8193" max="8193" width="34.5" style="1" bestFit="1" customWidth="1"/>
    <col min="8194" max="8194" width="23.1640625" style="1" customWidth="1"/>
    <col min="8195" max="8195" width="14" style="1" bestFit="1" customWidth="1"/>
    <col min="8196" max="8448" width="9.33203125" style="1"/>
    <col min="8449" max="8449" width="34.5" style="1" bestFit="1" customWidth="1"/>
    <col min="8450" max="8450" width="23.1640625" style="1" customWidth="1"/>
    <col min="8451" max="8451" width="14" style="1" bestFit="1" customWidth="1"/>
    <col min="8452" max="8704" width="9.33203125" style="1"/>
    <col min="8705" max="8705" width="34.5" style="1" bestFit="1" customWidth="1"/>
    <col min="8706" max="8706" width="23.1640625" style="1" customWidth="1"/>
    <col min="8707" max="8707" width="14" style="1" bestFit="1" customWidth="1"/>
    <col min="8708" max="8960" width="9.33203125" style="1"/>
    <col min="8961" max="8961" width="34.5" style="1" bestFit="1" customWidth="1"/>
    <col min="8962" max="8962" width="23.1640625" style="1" customWidth="1"/>
    <col min="8963" max="8963" width="14" style="1" bestFit="1" customWidth="1"/>
    <col min="8964" max="9216" width="9.33203125" style="1"/>
    <col min="9217" max="9217" width="34.5" style="1" bestFit="1" customWidth="1"/>
    <col min="9218" max="9218" width="23.1640625" style="1" customWidth="1"/>
    <col min="9219" max="9219" width="14" style="1" bestFit="1" customWidth="1"/>
    <col min="9220" max="9472" width="9.33203125" style="1"/>
    <col min="9473" max="9473" width="34.5" style="1" bestFit="1" customWidth="1"/>
    <col min="9474" max="9474" width="23.1640625" style="1" customWidth="1"/>
    <col min="9475" max="9475" width="14" style="1" bestFit="1" customWidth="1"/>
    <col min="9476" max="9728" width="9.33203125" style="1"/>
    <col min="9729" max="9729" width="34.5" style="1" bestFit="1" customWidth="1"/>
    <col min="9730" max="9730" width="23.1640625" style="1" customWidth="1"/>
    <col min="9731" max="9731" width="14" style="1" bestFit="1" customWidth="1"/>
    <col min="9732" max="9984" width="9.33203125" style="1"/>
    <col min="9985" max="9985" width="34.5" style="1" bestFit="1" customWidth="1"/>
    <col min="9986" max="9986" width="23.1640625" style="1" customWidth="1"/>
    <col min="9987" max="9987" width="14" style="1" bestFit="1" customWidth="1"/>
    <col min="9988" max="10240" width="9.33203125" style="1"/>
    <col min="10241" max="10241" width="34.5" style="1" bestFit="1" customWidth="1"/>
    <col min="10242" max="10242" width="23.1640625" style="1" customWidth="1"/>
    <col min="10243" max="10243" width="14" style="1" bestFit="1" customWidth="1"/>
    <col min="10244" max="10496" width="9.33203125" style="1"/>
    <col min="10497" max="10497" width="34.5" style="1" bestFit="1" customWidth="1"/>
    <col min="10498" max="10498" width="23.1640625" style="1" customWidth="1"/>
    <col min="10499" max="10499" width="14" style="1" bestFit="1" customWidth="1"/>
    <col min="10500" max="10752" width="9.33203125" style="1"/>
    <col min="10753" max="10753" width="34.5" style="1" bestFit="1" customWidth="1"/>
    <col min="10754" max="10754" width="23.1640625" style="1" customWidth="1"/>
    <col min="10755" max="10755" width="14" style="1" bestFit="1" customWidth="1"/>
    <col min="10756" max="11008" width="9.33203125" style="1"/>
    <col min="11009" max="11009" width="34.5" style="1" bestFit="1" customWidth="1"/>
    <col min="11010" max="11010" width="23.1640625" style="1" customWidth="1"/>
    <col min="11011" max="11011" width="14" style="1" bestFit="1" customWidth="1"/>
    <col min="11012" max="11264" width="9.33203125" style="1"/>
    <col min="11265" max="11265" width="34.5" style="1" bestFit="1" customWidth="1"/>
    <col min="11266" max="11266" width="23.1640625" style="1" customWidth="1"/>
    <col min="11267" max="11267" width="14" style="1" bestFit="1" customWidth="1"/>
    <col min="11268" max="11520" width="9.33203125" style="1"/>
    <col min="11521" max="11521" width="34.5" style="1" bestFit="1" customWidth="1"/>
    <col min="11522" max="11522" width="23.1640625" style="1" customWidth="1"/>
    <col min="11523" max="11523" width="14" style="1" bestFit="1" customWidth="1"/>
    <col min="11524" max="11776" width="9.33203125" style="1"/>
    <col min="11777" max="11777" width="34.5" style="1" bestFit="1" customWidth="1"/>
    <col min="11778" max="11778" width="23.1640625" style="1" customWidth="1"/>
    <col min="11779" max="11779" width="14" style="1" bestFit="1" customWidth="1"/>
    <col min="11780" max="12032" width="9.33203125" style="1"/>
    <col min="12033" max="12033" width="34.5" style="1" bestFit="1" customWidth="1"/>
    <col min="12034" max="12034" width="23.1640625" style="1" customWidth="1"/>
    <col min="12035" max="12035" width="14" style="1" bestFit="1" customWidth="1"/>
    <col min="12036" max="12288" width="9.33203125" style="1"/>
    <col min="12289" max="12289" width="34.5" style="1" bestFit="1" customWidth="1"/>
    <col min="12290" max="12290" width="23.1640625" style="1" customWidth="1"/>
    <col min="12291" max="12291" width="14" style="1" bestFit="1" customWidth="1"/>
    <col min="12292" max="12544" width="9.33203125" style="1"/>
    <col min="12545" max="12545" width="34.5" style="1" bestFit="1" customWidth="1"/>
    <col min="12546" max="12546" width="23.1640625" style="1" customWidth="1"/>
    <col min="12547" max="12547" width="14" style="1" bestFit="1" customWidth="1"/>
    <col min="12548" max="12800" width="9.33203125" style="1"/>
    <col min="12801" max="12801" width="34.5" style="1" bestFit="1" customWidth="1"/>
    <col min="12802" max="12802" width="23.1640625" style="1" customWidth="1"/>
    <col min="12803" max="12803" width="14" style="1" bestFit="1" customWidth="1"/>
    <col min="12804" max="13056" width="9.33203125" style="1"/>
    <col min="13057" max="13057" width="34.5" style="1" bestFit="1" customWidth="1"/>
    <col min="13058" max="13058" width="23.1640625" style="1" customWidth="1"/>
    <col min="13059" max="13059" width="14" style="1" bestFit="1" customWidth="1"/>
    <col min="13060" max="13312" width="9.33203125" style="1"/>
    <col min="13313" max="13313" width="34.5" style="1" bestFit="1" customWidth="1"/>
    <col min="13314" max="13314" width="23.1640625" style="1" customWidth="1"/>
    <col min="13315" max="13315" width="14" style="1" bestFit="1" customWidth="1"/>
    <col min="13316" max="13568" width="9.33203125" style="1"/>
    <col min="13569" max="13569" width="34.5" style="1" bestFit="1" customWidth="1"/>
    <col min="13570" max="13570" width="23.1640625" style="1" customWidth="1"/>
    <col min="13571" max="13571" width="14" style="1" bestFit="1" customWidth="1"/>
    <col min="13572" max="13824" width="9.33203125" style="1"/>
    <col min="13825" max="13825" width="34.5" style="1" bestFit="1" customWidth="1"/>
    <col min="13826" max="13826" width="23.1640625" style="1" customWidth="1"/>
    <col min="13827" max="13827" width="14" style="1" bestFit="1" customWidth="1"/>
    <col min="13828" max="14080" width="9.33203125" style="1"/>
    <col min="14081" max="14081" width="34.5" style="1" bestFit="1" customWidth="1"/>
    <col min="14082" max="14082" width="23.1640625" style="1" customWidth="1"/>
    <col min="14083" max="14083" width="14" style="1" bestFit="1" customWidth="1"/>
    <col min="14084" max="14336" width="9.33203125" style="1"/>
    <col min="14337" max="14337" width="34.5" style="1" bestFit="1" customWidth="1"/>
    <col min="14338" max="14338" width="23.1640625" style="1" customWidth="1"/>
    <col min="14339" max="14339" width="14" style="1" bestFit="1" customWidth="1"/>
    <col min="14340" max="14592" width="9.33203125" style="1"/>
    <col min="14593" max="14593" width="34.5" style="1" bestFit="1" customWidth="1"/>
    <col min="14594" max="14594" width="23.1640625" style="1" customWidth="1"/>
    <col min="14595" max="14595" width="14" style="1" bestFit="1" customWidth="1"/>
    <col min="14596" max="14848" width="9.33203125" style="1"/>
    <col min="14849" max="14849" width="34.5" style="1" bestFit="1" customWidth="1"/>
    <col min="14850" max="14850" width="23.1640625" style="1" customWidth="1"/>
    <col min="14851" max="14851" width="14" style="1" bestFit="1" customWidth="1"/>
    <col min="14852" max="15104" width="9.33203125" style="1"/>
    <col min="15105" max="15105" width="34.5" style="1" bestFit="1" customWidth="1"/>
    <col min="15106" max="15106" width="23.1640625" style="1" customWidth="1"/>
    <col min="15107" max="15107" width="14" style="1" bestFit="1" customWidth="1"/>
    <col min="15108" max="15360" width="9.33203125" style="1"/>
    <col min="15361" max="15361" width="34.5" style="1" bestFit="1" customWidth="1"/>
    <col min="15362" max="15362" width="23.1640625" style="1" customWidth="1"/>
    <col min="15363" max="15363" width="14" style="1" bestFit="1" customWidth="1"/>
    <col min="15364" max="15616" width="9.33203125" style="1"/>
    <col min="15617" max="15617" width="34.5" style="1" bestFit="1" customWidth="1"/>
    <col min="15618" max="15618" width="23.1640625" style="1" customWidth="1"/>
    <col min="15619" max="15619" width="14" style="1" bestFit="1" customWidth="1"/>
    <col min="15620" max="15872" width="9.33203125" style="1"/>
    <col min="15873" max="15873" width="34.5" style="1" bestFit="1" customWidth="1"/>
    <col min="15874" max="15874" width="23.1640625" style="1" customWidth="1"/>
    <col min="15875" max="15875" width="14" style="1" bestFit="1" customWidth="1"/>
    <col min="15876" max="16128" width="9.33203125" style="1"/>
    <col min="16129" max="16129" width="34.5" style="1" bestFit="1" customWidth="1"/>
    <col min="16130" max="16130" width="23.1640625" style="1" customWidth="1"/>
    <col min="16131" max="16131" width="14" style="1" bestFit="1" customWidth="1"/>
    <col min="16132" max="16384" width="9.33203125" style="1"/>
  </cols>
  <sheetData>
    <row r="1" spans="1:2">
      <c r="A1" s="1" t="s">
        <v>687</v>
      </c>
      <c r="B1" s="391">
        <v>6.1</v>
      </c>
    </row>
    <row r="2" spans="1:2">
      <c r="A2" s="1" t="s">
        <v>688</v>
      </c>
      <c r="B2" s="394">
        <v>43201.496446759258</v>
      </c>
    </row>
    <row r="3" spans="1:2">
      <c r="A3" s="1" t="s">
        <v>689</v>
      </c>
      <c r="B3" s="392" t="s">
        <v>398</v>
      </c>
    </row>
    <row r="4" spans="1:2">
      <c r="A4" s="1" t="s">
        <v>690</v>
      </c>
      <c r="B4" s="392" t="s">
        <v>691</v>
      </c>
    </row>
    <row r="5" spans="1:2">
      <c r="A5" s="1" t="s">
        <v>692</v>
      </c>
      <c r="B5" s="392" t="s">
        <v>693</v>
      </c>
    </row>
    <row r="6" spans="1:2">
      <c r="A6" s="1" t="s">
        <v>694</v>
      </c>
    </row>
    <row r="7" spans="1:2">
      <c r="A7" s="1" t="s">
        <v>695</v>
      </c>
      <c r="B7" s="392" t="s">
        <v>386</v>
      </c>
    </row>
    <row r="8" spans="1:2">
      <c r="A8" s="1" t="s">
        <v>696</v>
      </c>
      <c r="B8" s="392" t="s">
        <v>697</v>
      </c>
    </row>
    <row r="9" spans="1:2">
      <c r="A9" s="1" t="s">
        <v>698</v>
      </c>
      <c r="B9" s="392" t="s">
        <v>735</v>
      </c>
    </row>
    <row r="10" spans="1:2">
      <c r="A10" s="1" t="s">
        <v>699</v>
      </c>
    </row>
    <row r="11" spans="1:2">
      <c r="A11" s="1" t="s">
        <v>700</v>
      </c>
    </row>
    <row r="12" spans="1:2">
      <c r="A12" s="1" t="s">
        <v>701</v>
      </c>
    </row>
    <row r="13" spans="1:2">
      <c r="A13" s="1" t="s">
        <v>702</v>
      </c>
    </row>
    <row r="14" spans="1:2">
      <c r="A14" s="1" t="s">
        <v>703</v>
      </c>
    </row>
    <row r="15" spans="1:2">
      <c r="A15" s="1" t="s">
        <v>704</v>
      </c>
    </row>
    <row r="16" spans="1:2">
      <c r="A16" s="1" t="s">
        <v>705</v>
      </c>
    </row>
    <row r="17" spans="1:4">
      <c r="A17" s="1" t="s">
        <v>706</v>
      </c>
      <c r="B17" s="392" t="s">
        <v>736</v>
      </c>
    </row>
    <row r="18" spans="1:4">
      <c r="A18" s="1" t="s">
        <v>707</v>
      </c>
      <c r="B18" s="392" t="s">
        <v>399</v>
      </c>
    </row>
    <row r="19" spans="1:4">
      <c r="A19" s="1" t="s">
        <v>708</v>
      </c>
      <c r="B19" s="392" t="s">
        <v>381</v>
      </c>
    </row>
    <row r="20" spans="1:4">
      <c r="A20" s="1" t="s">
        <v>709</v>
      </c>
      <c r="B20" s="393">
        <v>423452101</v>
      </c>
    </row>
    <row r="21" spans="1:4">
      <c r="A21" s="1" t="s">
        <v>710</v>
      </c>
      <c r="B21" s="392" t="s">
        <v>381</v>
      </c>
    </row>
    <row r="22" spans="1:4">
      <c r="A22" s="1" t="s">
        <v>711</v>
      </c>
      <c r="B22" s="393">
        <v>2420101</v>
      </c>
    </row>
    <row r="23" spans="1:4">
      <c r="A23" s="1" t="s">
        <v>384</v>
      </c>
      <c r="B23" s="391">
        <v>71.69</v>
      </c>
    </row>
    <row r="24" spans="1:4">
      <c r="A24" s="1" t="s">
        <v>385</v>
      </c>
      <c r="B24" s="392" t="s">
        <v>382</v>
      </c>
      <c r="D24" s="1" t="s">
        <v>712</v>
      </c>
    </row>
    <row r="25" spans="1:4">
      <c r="A25" s="1" t="s">
        <v>713</v>
      </c>
      <c r="B25" s="392" t="s">
        <v>739</v>
      </c>
    </row>
    <row r="26" spans="1:4">
      <c r="A26" s="1" t="s">
        <v>714</v>
      </c>
      <c r="B26" s="392">
        <v>0</v>
      </c>
    </row>
    <row r="27" spans="1:4">
      <c r="A27" s="1" t="s">
        <v>715</v>
      </c>
      <c r="B27" s="392" t="s">
        <v>716</v>
      </c>
    </row>
    <row r="28" spans="1:4">
      <c r="A28" s="1" t="s">
        <v>717</v>
      </c>
      <c r="B28" s="392" t="s">
        <v>718</v>
      </c>
    </row>
    <row r="29" spans="1:4">
      <c r="A29" s="1" t="s">
        <v>719</v>
      </c>
    </row>
    <row r="30" spans="1:4">
      <c r="A30" s="1" t="s">
        <v>720</v>
      </c>
    </row>
    <row r="31" spans="1:4">
      <c r="A31" s="1" t="s">
        <v>721</v>
      </c>
    </row>
    <row r="32" spans="1:4">
      <c r="A32" s="1" t="s">
        <v>722</v>
      </c>
      <c r="B32" s="391"/>
    </row>
    <row r="33" spans="1:2">
      <c r="A33" s="1" t="s">
        <v>723</v>
      </c>
      <c r="B33" s="391"/>
    </row>
    <row r="34" spans="1:2">
      <c r="A34" s="1" t="s">
        <v>724</v>
      </c>
      <c r="B34" s="391"/>
    </row>
    <row r="35" spans="1:2">
      <c r="A35" s="1" t="s">
        <v>387</v>
      </c>
      <c r="B35" s="392">
        <v>1000000</v>
      </c>
    </row>
    <row r="36" spans="1:2">
      <c r="A36" s="1" t="s">
        <v>725</v>
      </c>
      <c r="B36" s="392" t="s">
        <v>737</v>
      </c>
    </row>
    <row r="37" spans="1:2">
      <c r="A37" s="1" t="s">
        <v>726</v>
      </c>
      <c r="B37" s="392" t="s">
        <v>727</v>
      </c>
    </row>
    <row r="38" spans="1:2">
      <c r="A38" s="1" t="s">
        <v>728</v>
      </c>
      <c r="B38" s="392" t="s">
        <v>729</v>
      </c>
    </row>
    <row r="39" spans="1:2">
      <c r="A39" s="1" t="s">
        <v>730</v>
      </c>
      <c r="B39" s="392" t="s">
        <v>738</v>
      </c>
    </row>
    <row r="40" spans="1:2">
      <c r="A40" s="1" t="s">
        <v>731</v>
      </c>
      <c r="B40" s="392">
        <v>1500000135</v>
      </c>
    </row>
    <row r="41" spans="1:2">
      <c r="A41" s="1" t="s">
        <v>732</v>
      </c>
      <c r="B41" s="392">
        <v>1</v>
      </c>
    </row>
    <row r="42" spans="1:2">
      <c r="A42" s="2" t="s">
        <v>733</v>
      </c>
    </row>
    <row r="43" spans="1:2">
      <c r="A43" s="1" t="s">
        <v>734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1" bestFit="1" customWidth="1"/>
    <col min="2" max="256" width="9.33203125" style="1"/>
    <col min="257" max="257" width="33.33203125" style="1" bestFit="1" customWidth="1"/>
    <col min="258" max="512" width="9.33203125" style="1"/>
    <col min="513" max="513" width="33.33203125" style="1" bestFit="1" customWidth="1"/>
    <col min="514" max="768" width="9.33203125" style="1"/>
    <col min="769" max="769" width="33.33203125" style="1" bestFit="1" customWidth="1"/>
    <col min="770" max="1024" width="9.33203125" style="1"/>
    <col min="1025" max="1025" width="33.33203125" style="1" bestFit="1" customWidth="1"/>
    <col min="1026" max="1280" width="9.33203125" style="1"/>
    <col min="1281" max="1281" width="33.33203125" style="1" bestFit="1" customWidth="1"/>
    <col min="1282" max="1536" width="9.33203125" style="1"/>
    <col min="1537" max="1537" width="33.33203125" style="1" bestFit="1" customWidth="1"/>
    <col min="1538" max="1792" width="9.33203125" style="1"/>
    <col min="1793" max="1793" width="33.33203125" style="1" bestFit="1" customWidth="1"/>
    <col min="1794" max="2048" width="9.33203125" style="1"/>
    <col min="2049" max="2049" width="33.33203125" style="1" bestFit="1" customWidth="1"/>
    <col min="2050" max="2304" width="9.33203125" style="1"/>
    <col min="2305" max="2305" width="33.33203125" style="1" bestFit="1" customWidth="1"/>
    <col min="2306" max="2560" width="9.33203125" style="1"/>
    <col min="2561" max="2561" width="33.33203125" style="1" bestFit="1" customWidth="1"/>
    <col min="2562" max="2816" width="9.33203125" style="1"/>
    <col min="2817" max="2817" width="33.33203125" style="1" bestFit="1" customWidth="1"/>
    <col min="2818" max="3072" width="9.33203125" style="1"/>
    <col min="3073" max="3073" width="33.33203125" style="1" bestFit="1" customWidth="1"/>
    <col min="3074" max="3328" width="9.33203125" style="1"/>
    <col min="3329" max="3329" width="33.33203125" style="1" bestFit="1" customWidth="1"/>
    <col min="3330" max="3584" width="9.33203125" style="1"/>
    <col min="3585" max="3585" width="33.33203125" style="1" bestFit="1" customWidth="1"/>
    <col min="3586" max="3840" width="9.33203125" style="1"/>
    <col min="3841" max="3841" width="33.33203125" style="1" bestFit="1" customWidth="1"/>
    <col min="3842" max="4096" width="9.33203125" style="1"/>
    <col min="4097" max="4097" width="33.33203125" style="1" bestFit="1" customWidth="1"/>
    <col min="4098" max="4352" width="9.33203125" style="1"/>
    <col min="4353" max="4353" width="33.33203125" style="1" bestFit="1" customWidth="1"/>
    <col min="4354" max="4608" width="9.33203125" style="1"/>
    <col min="4609" max="4609" width="33.33203125" style="1" bestFit="1" customWidth="1"/>
    <col min="4610" max="4864" width="9.33203125" style="1"/>
    <col min="4865" max="4865" width="33.33203125" style="1" bestFit="1" customWidth="1"/>
    <col min="4866" max="5120" width="9.33203125" style="1"/>
    <col min="5121" max="5121" width="33.33203125" style="1" bestFit="1" customWidth="1"/>
    <col min="5122" max="5376" width="9.33203125" style="1"/>
    <col min="5377" max="5377" width="33.33203125" style="1" bestFit="1" customWidth="1"/>
    <col min="5378" max="5632" width="9.33203125" style="1"/>
    <col min="5633" max="5633" width="33.33203125" style="1" bestFit="1" customWidth="1"/>
    <col min="5634" max="5888" width="9.33203125" style="1"/>
    <col min="5889" max="5889" width="33.33203125" style="1" bestFit="1" customWidth="1"/>
    <col min="5890" max="6144" width="9.33203125" style="1"/>
    <col min="6145" max="6145" width="33.33203125" style="1" bestFit="1" customWidth="1"/>
    <col min="6146" max="6400" width="9.33203125" style="1"/>
    <col min="6401" max="6401" width="33.33203125" style="1" bestFit="1" customWidth="1"/>
    <col min="6402" max="6656" width="9.33203125" style="1"/>
    <col min="6657" max="6657" width="33.33203125" style="1" bestFit="1" customWidth="1"/>
    <col min="6658" max="6912" width="9.33203125" style="1"/>
    <col min="6913" max="6913" width="33.33203125" style="1" bestFit="1" customWidth="1"/>
    <col min="6914" max="7168" width="9.33203125" style="1"/>
    <col min="7169" max="7169" width="33.33203125" style="1" bestFit="1" customWidth="1"/>
    <col min="7170" max="7424" width="9.33203125" style="1"/>
    <col min="7425" max="7425" width="33.33203125" style="1" bestFit="1" customWidth="1"/>
    <col min="7426" max="7680" width="9.33203125" style="1"/>
    <col min="7681" max="7681" width="33.33203125" style="1" bestFit="1" customWidth="1"/>
    <col min="7682" max="7936" width="9.33203125" style="1"/>
    <col min="7937" max="7937" width="33.33203125" style="1" bestFit="1" customWidth="1"/>
    <col min="7938" max="8192" width="9.33203125" style="1"/>
    <col min="8193" max="8193" width="33.33203125" style="1" bestFit="1" customWidth="1"/>
    <col min="8194" max="8448" width="9.33203125" style="1"/>
    <col min="8449" max="8449" width="33.33203125" style="1" bestFit="1" customWidth="1"/>
    <col min="8450" max="8704" width="9.33203125" style="1"/>
    <col min="8705" max="8705" width="33.33203125" style="1" bestFit="1" customWidth="1"/>
    <col min="8706" max="8960" width="9.33203125" style="1"/>
    <col min="8961" max="8961" width="33.33203125" style="1" bestFit="1" customWidth="1"/>
    <col min="8962" max="9216" width="9.33203125" style="1"/>
    <col min="9217" max="9217" width="33.33203125" style="1" bestFit="1" customWidth="1"/>
    <col min="9218" max="9472" width="9.33203125" style="1"/>
    <col min="9473" max="9473" width="33.33203125" style="1" bestFit="1" customWidth="1"/>
    <col min="9474" max="9728" width="9.33203125" style="1"/>
    <col min="9729" max="9729" width="33.33203125" style="1" bestFit="1" customWidth="1"/>
    <col min="9730" max="9984" width="9.33203125" style="1"/>
    <col min="9985" max="9985" width="33.33203125" style="1" bestFit="1" customWidth="1"/>
    <col min="9986" max="10240" width="9.33203125" style="1"/>
    <col min="10241" max="10241" width="33.33203125" style="1" bestFit="1" customWidth="1"/>
    <col min="10242" max="10496" width="9.33203125" style="1"/>
    <col min="10497" max="10497" width="33.33203125" style="1" bestFit="1" customWidth="1"/>
    <col min="10498" max="10752" width="9.33203125" style="1"/>
    <col min="10753" max="10753" width="33.33203125" style="1" bestFit="1" customWidth="1"/>
    <col min="10754" max="11008" width="9.33203125" style="1"/>
    <col min="11009" max="11009" width="33.33203125" style="1" bestFit="1" customWidth="1"/>
    <col min="11010" max="11264" width="9.33203125" style="1"/>
    <col min="11265" max="11265" width="33.33203125" style="1" bestFit="1" customWidth="1"/>
    <col min="11266" max="11520" width="9.33203125" style="1"/>
    <col min="11521" max="11521" width="33.33203125" style="1" bestFit="1" customWidth="1"/>
    <col min="11522" max="11776" width="9.33203125" style="1"/>
    <col min="11777" max="11777" width="33.33203125" style="1" bestFit="1" customWidth="1"/>
    <col min="11778" max="12032" width="9.33203125" style="1"/>
    <col min="12033" max="12033" width="33.33203125" style="1" bestFit="1" customWidth="1"/>
    <col min="12034" max="12288" width="9.33203125" style="1"/>
    <col min="12289" max="12289" width="33.33203125" style="1" bestFit="1" customWidth="1"/>
    <col min="12290" max="12544" width="9.33203125" style="1"/>
    <col min="12545" max="12545" width="33.33203125" style="1" bestFit="1" customWidth="1"/>
    <col min="12546" max="12800" width="9.33203125" style="1"/>
    <col min="12801" max="12801" width="33.33203125" style="1" bestFit="1" customWidth="1"/>
    <col min="12802" max="13056" width="9.33203125" style="1"/>
    <col min="13057" max="13057" width="33.33203125" style="1" bestFit="1" customWidth="1"/>
    <col min="13058" max="13312" width="9.33203125" style="1"/>
    <col min="13313" max="13313" width="33.33203125" style="1" bestFit="1" customWidth="1"/>
    <col min="13314" max="13568" width="9.33203125" style="1"/>
    <col min="13569" max="13569" width="33.33203125" style="1" bestFit="1" customWidth="1"/>
    <col min="13570" max="13824" width="9.33203125" style="1"/>
    <col min="13825" max="13825" width="33.33203125" style="1" bestFit="1" customWidth="1"/>
    <col min="13826" max="14080" width="9.33203125" style="1"/>
    <col min="14081" max="14081" width="33.33203125" style="1" bestFit="1" customWidth="1"/>
    <col min="14082" max="14336" width="9.33203125" style="1"/>
    <col min="14337" max="14337" width="33.33203125" style="1" bestFit="1" customWidth="1"/>
    <col min="14338" max="14592" width="9.33203125" style="1"/>
    <col min="14593" max="14593" width="33.33203125" style="1" bestFit="1" customWidth="1"/>
    <col min="14594" max="14848" width="9.33203125" style="1"/>
    <col min="14849" max="14849" width="33.33203125" style="1" bestFit="1" customWidth="1"/>
    <col min="14850" max="15104" width="9.33203125" style="1"/>
    <col min="15105" max="15105" width="33.33203125" style="1" bestFit="1" customWidth="1"/>
    <col min="15106" max="15360" width="9.33203125" style="1"/>
    <col min="15361" max="15361" width="33.33203125" style="1" bestFit="1" customWidth="1"/>
    <col min="15362" max="15616" width="9.33203125" style="1"/>
    <col min="15617" max="15617" width="33.33203125" style="1" bestFit="1" customWidth="1"/>
    <col min="15618" max="15872" width="9.33203125" style="1"/>
    <col min="15873" max="15873" width="33.33203125" style="1" bestFit="1" customWidth="1"/>
    <col min="15874" max="16128" width="9.33203125" style="1"/>
    <col min="16129" max="16129" width="33.33203125" style="1" bestFit="1" customWidth="1"/>
    <col min="16130" max="16384" width="9.33203125" style="1"/>
  </cols>
  <sheetData>
    <row r="1" spans="1:1">
      <c r="A1" s="395" t="s">
        <v>740</v>
      </c>
    </row>
    <row r="2" spans="1:1">
      <c r="A2" s="395" t="s">
        <v>745</v>
      </c>
    </row>
    <row r="3" spans="1:1">
      <c r="A3" s="395" t="s">
        <v>746</v>
      </c>
    </row>
    <row r="4" spans="1:1">
      <c r="A4" s="395" t="s">
        <v>747</v>
      </c>
    </row>
    <row r="5" spans="1:1">
      <c r="A5" s="395" t="s">
        <v>748</v>
      </c>
    </row>
    <row r="6" spans="1:1">
      <c r="A6" s="395" t="s">
        <v>741</v>
      </c>
    </row>
    <row r="7" spans="1:1">
      <c r="A7" s="395" t="s">
        <v>749</v>
      </c>
    </row>
    <row r="8" spans="1:1">
      <c r="A8" s="395" t="s">
        <v>750</v>
      </c>
    </row>
    <row r="9" spans="1:1">
      <c r="A9" s="395" t="s">
        <v>751</v>
      </c>
    </row>
    <row r="10" spans="1:1">
      <c r="A10" s="395" t="s">
        <v>742</v>
      </c>
    </row>
    <row r="11" spans="1:1">
      <c r="A11" s="395" t="s">
        <v>752</v>
      </c>
    </row>
    <row r="12" spans="1:1">
      <c r="A12" s="395" t="s">
        <v>743</v>
      </c>
    </row>
    <row r="13" spans="1:1">
      <c r="A13" s="395" t="s">
        <v>744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"/>
  <sheetViews>
    <sheetView workbookViewId="0"/>
  </sheetViews>
  <sheetFormatPr defaultRowHeight="11.25"/>
  <sheetData>
    <row r="1" spans="1:6">
      <c r="A1" t="s">
        <v>391</v>
      </c>
    </row>
    <row r="2" spans="1:6">
      <c r="A2" s="354" t="s">
        <v>388</v>
      </c>
      <c r="B2" s="354" t="s">
        <v>382</v>
      </c>
      <c r="C2" s="354" t="s">
        <v>390</v>
      </c>
      <c r="D2" s="354" t="s">
        <v>393</v>
      </c>
      <c r="E2" s="354" t="s">
        <v>389</v>
      </c>
      <c r="F2" s="354" t="s">
        <v>392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96</vt:i4>
      </vt:variant>
    </vt:vector>
  </HeadingPairs>
  <TitlesOfParts>
    <vt:vector size="100" baseType="lpstr">
      <vt:lpstr>ImportantDisclosures</vt:lpstr>
      <vt:lpstr>Financials</vt:lpstr>
      <vt:lpstr>IndexInformation</vt:lpstr>
      <vt:lpstr>ModPubIndex</vt:lpstr>
      <vt:lpstr>Financials!_FilterDatabase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Linking_10</vt:lpstr>
      <vt:lpstr>Linking_12</vt:lpstr>
      <vt:lpstr>Linking_13</vt:lpstr>
      <vt:lpstr>Linking_14</vt:lpstr>
      <vt:lpstr>Linking_15</vt:lpstr>
      <vt:lpstr>Linking_16</vt:lpstr>
      <vt:lpstr>Linking_17</vt:lpstr>
      <vt:lpstr>Linking_2</vt:lpstr>
      <vt:lpstr>Linking_3</vt:lpstr>
      <vt:lpstr>Linking_4</vt:lpstr>
      <vt:lpstr>Linking_7</vt:lpstr>
      <vt:lpstr>Linking_8</vt:lpstr>
      <vt:lpstr>Linking_9</vt:lpstr>
      <vt:lpstr>Linking_Range_10</vt:lpstr>
      <vt:lpstr>Linking_Range_11</vt:lpstr>
      <vt:lpstr>Linking_Range_12</vt:lpstr>
      <vt:lpstr>Linking_Range_3</vt:lpstr>
      <vt:lpstr>Linking_Range_5</vt:lpstr>
      <vt:lpstr>Linking_Range_6</vt:lpstr>
      <vt:lpstr>Linking_Range_7</vt:lpstr>
      <vt:lpstr>Linking_Range_8</vt:lpstr>
      <vt:lpstr>Linking_Range_9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Financials!Print_Area</vt:lpstr>
      <vt:lpstr>Financials!Print_Titles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2017-05-17T13:52:33Z</dcterms:created>
  <dc:creator>Lynagh, Connor J (Research)</dc:creator>
  <cp:lastModifiedBy>Lynagh, Connor J (Research)</cp:lastModifiedBy>
  <cp:lastPrinted>2017-11-21T20:03:34Z</cp:lastPrinted>
  <dcterms:modified xsi:type="dcterms:W3CDTF">2018-04-11T15:54:54Z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761019</vt:lpwstr>
  </property>
  <property fmtid="{D5CDD505-2E9C-101B-9397-08002B2CF9AE}" name="ERModPubCompanyName" pid="5">
    <vt:lpwstr>Helmerich &amp; Payne Inc</vt:lpwstr>
  </property>
  <property fmtid="{D5CDD505-2E9C-101B-9397-08002B2CF9AE}" name="MSDH34TAG" pid="6">
    <vt:lpwstr>.TEZUF76X5TAHATHESADREYAK-00-INB160+*94600-06=b0fd6754/-3da0/-11e8/-b3f7/-7a79cfe26848,MD=20180411115616/-0400,ZZ=000Z-ea2a.</vt:lpwstr>
  </property>
</Properties>
</file>